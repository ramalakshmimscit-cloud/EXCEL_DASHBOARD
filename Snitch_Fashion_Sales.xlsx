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drawings/drawing3.xml" ContentType="application/vnd.openxmlformats-officedocument.drawing+xml"/>
  <Override PartName="/xl/tables/table4.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https://d.docs.live.net/775ba1b19af96dcd/entri app/EXCEL ASSIGNMENTS/EXCEL MODULE ASSIGNMENT/GITHUB EXCEL DATASETS/"/>
    </mc:Choice>
  </mc:AlternateContent>
  <xr:revisionPtr revIDLastSave="10" documentId="8_{987F7BE3-101E-4DA8-A623-8EBFDE3EE2C7}" xr6:coauthVersionLast="47" xr6:coauthVersionMax="47" xr10:uidLastSave="{BD280551-58D0-4F17-9F29-32B54D627E33}"/>
  <bookViews>
    <workbookView xWindow="-110" yWindow="-110" windowWidth="19420" windowHeight="10300" firstSheet="1" activeTab="3" xr2:uid="{D134E95E-D43E-43CA-8836-BAD6FA55B0C3}"/>
  </bookViews>
  <sheets>
    <sheet name="FORECAST" sheetId="5" r:id="rId1"/>
    <sheet name="DASHBOARD" sheetId="6" r:id="rId2"/>
    <sheet name="DESCRIPTIVE STATISTICS,XLOOKUP," sheetId="10" r:id="rId3"/>
    <sheet name="SNITCH_FASHION" sheetId="4" r:id="rId4"/>
  </sheets>
  <definedNames>
    <definedName name="_xlnm._FilterDatabase" localSheetId="3" hidden="1">SNITCH_FASHION!$A$2:$N$200</definedName>
    <definedName name="ExternalData_1" localSheetId="3" hidden="1">SNITCH_FASHION!$A$1:$N$2501</definedName>
    <definedName name="Slicer_City">#N/A</definedName>
    <definedName name="Slicer_Segmen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 i="10" l="1"/>
  <c r="F14" i="10" s="1"/>
  <c r="O7" i="10"/>
  <c r="O8" i="10"/>
  <c r="O9" i="10"/>
  <c r="O10" i="10"/>
  <c r="O4" i="10"/>
  <c r="O3" i="10"/>
  <c r="O5" i="10"/>
  <c r="O11" i="10"/>
  <c r="O12" i="10"/>
  <c r="O13" i="10"/>
  <c r="O14" i="10"/>
  <c r="O15" i="10"/>
  <c r="O16" i="10"/>
  <c r="O17" i="10"/>
  <c r="C733" i="5" l="1"/>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E13D1E-7373-4D5C-B7C2-5BC06E4B1552}"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<sst xmlns="http://schemas.openxmlformats.org/spreadsheetml/2006/main" count="15120" uniqueCount="1300">
  <si>
    <t>Units_Sold</t>
  </si>
  <si>
    <t>Sales_Amount</t>
  </si>
  <si>
    <t>Order_Date</t>
  </si>
  <si>
    <t>City</t>
  </si>
  <si>
    <t>Segment</t>
  </si>
  <si>
    <t>Profit</t>
  </si>
  <si>
    <t>Slim Fit Jeans</t>
  </si>
  <si>
    <t>Delhi</t>
  </si>
  <si>
    <t>B2C</t>
  </si>
  <si>
    <t>Ahmedabad</t>
  </si>
  <si>
    <t>Puffer Coat</t>
  </si>
  <si>
    <t>Mumbai</t>
  </si>
  <si>
    <t>B2B</t>
  </si>
  <si>
    <t>Loafers</t>
  </si>
  <si>
    <t>Belts</t>
  </si>
  <si>
    <t>Crop Top</t>
  </si>
  <si>
    <t>Boyfriend Jeans</t>
  </si>
  <si>
    <t>Casual Midi</t>
  </si>
  <si>
    <t>Bangalore</t>
  </si>
  <si>
    <t>Sunglasses</t>
  </si>
  <si>
    <t>Pune</t>
  </si>
  <si>
    <t>Straight Cut</t>
  </si>
  <si>
    <t>Sneakers</t>
  </si>
  <si>
    <t>Hyderabad</t>
  </si>
  <si>
    <t>Maxi Dress</t>
  </si>
  <si>
    <t>Wrap Dress</t>
  </si>
  <si>
    <t>Classic Tee</t>
  </si>
  <si>
    <t>Bomber Jacket</t>
  </si>
  <si>
    <t>Graphic Tee</t>
  </si>
  <si>
    <t>Boots</t>
  </si>
  <si>
    <t>Denim Jacket</t>
  </si>
  <si>
    <t>Bodycon</t>
  </si>
  <si>
    <t>Ripped Denim</t>
  </si>
  <si>
    <t>Watches</t>
  </si>
  <si>
    <t>Leather Jacket</t>
  </si>
  <si>
    <t>Caps</t>
  </si>
  <si>
    <t>Grand Total</t>
  </si>
  <si>
    <t>Oversized T-Shirt</t>
  </si>
  <si>
    <t>Slip-Ons</t>
  </si>
  <si>
    <t>Discount%</t>
  </si>
  <si>
    <t>UNKNOWN</t>
  </si>
  <si>
    <t>Last name</t>
  </si>
  <si>
    <t>Revenue</t>
  </si>
  <si>
    <t>Brian</t>
  </si>
  <si>
    <t>Thompson</t>
  </si>
  <si>
    <t>Shaun</t>
  </si>
  <si>
    <t>Ross</t>
  </si>
  <si>
    <t>Aaron</t>
  </si>
  <si>
    <t>Adams</t>
  </si>
  <si>
    <t>Travis</t>
  </si>
  <si>
    <t>Thomas</t>
  </si>
  <si>
    <t>Strong</t>
  </si>
  <si>
    <t>Jeff</t>
  </si>
  <si>
    <t>Bowman</t>
  </si>
  <si>
    <t>Jessica</t>
  </si>
  <si>
    <t>Gibson</t>
  </si>
  <si>
    <t>Sarah</t>
  </si>
  <si>
    <t>Snyder</t>
  </si>
  <si>
    <t>Jay</t>
  </si>
  <si>
    <t>Briggs</t>
  </si>
  <si>
    <t>Mark</t>
  </si>
  <si>
    <t>Williams</t>
  </si>
  <si>
    <t>Tammy</t>
  </si>
  <si>
    <t>Jennings</t>
  </si>
  <si>
    <t>Pittman</t>
  </si>
  <si>
    <t>Christopher</t>
  </si>
  <si>
    <t>Ferguson</t>
  </si>
  <si>
    <t>Sandra</t>
  </si>
  <si>
    <t>Ho</t>
  </si>
  <si>
    <t>Maria</t>
  </si>
  <si>
    <t>Blake</t>
  </si>
  <si>
    <t>Heather</t>
  </si>
  <si>
    <t>Gordon</t>
  </si>
  <si>
    <t>Raymond</t>
  </si>
  <si>
    <t>Hernandez</t>
  </si>
  <si>
    <t>Cheryl</t>
  </si>
  <si>
    <t>Baker</t>
  </si>
  <si>
    <t>Samuel</t>
  </si>
  <si>
    <t>Miller</t>
  </si>
  <si>
    <t>Andrew</t>
  </si>
  <si>
    <t>Davis</t>
  </si>
  <si>
    <t>Laura</t>
  </si>
  <si>
    <t>Smith</t>
  </si>
  <si>
    <t>Tara</t>
  </si>
  <si>
    <t>Rivas</t>
  </si>
  <si>
    <t>Lisa</t>
  </si>
  <si>
    <t>Thornton</t>
  </si>
  <si>
    <t>Rhonda</t>
  </si>
  <si>
    <t>Rodriguez</t>
  </si>
  <si>
    <t>Jeffrey</t>
  </si>
  <si>
    <t>Dalton</t>
  </si>
  <si>
    <t>Kenneth</t>
  </si>
  <si>
    <t>Harris</t>
  </si>
  <si>
    <t>John</t>
  </si>
  <si>
    <t>Mclean</t>
  </si>
  <si>
    <t>Wilson</t>
  </si>
  <si>
    <t>Dr.</t>
  </si>
  <si>
    <t>Kathryn</t>
  </si>
  <si>
    <t>Marie</t>
  </si>
  <si>
    <t>Fisher</t>
  </si>
  <si>
    <t>Vance</t>
  </si>
  <si>
    <t>Renee</t>
  </si>
  <si>
    <t>Martinez</t>
  </si>
  <si>
    <t>Dale</t>
  </si>
  <si>
    <t>Perry</t>
  </si>
  <si>
    <t>Oscar</t>
  </si>
  <si>
    <t>Turner</t>
  </si>
  <si>
    <t>Steve</t>
  </si>
  <si>
    <t>Mann</t>
  </si>
  <si>
    <t>Logan</t>
  </si>
  <si>
    <t>Nicholas</t>
  </si>
  <si>
    <t>Leslie</t>
  </si>
  <si>
    <t>Chandler</t>
  </si>
  <si>
    <t>Jacob</t>
  </si>
  <si>
    <t>Sanchez</t>
  </si>
  <si>
    <t>Katie</t>
  </si>
  <si>
    <t>Ryan</t>
  </si>
  <si>
    <t>Valerie</t>
  </si>
  <si>
    <t>Hampton</t>
  </si>
  <si>
    <t>Manuel</t>
  </si>
  <si>
    <t>Prince</t>
  </si>
  <si>
    <t>Michael</t>
  </si>
  <si>
    <t>James</t>
  </si>
  <si>
    <t>Tamara</t>
  </si>
  <si>
    <t>Hopkins</t>
  </si>
  <si>
    <t>Amanda</t>
  </si>
  <si>
    <t>Rios</t>
  </si>
  <si>
    <t>Delgado</t>
  </si>
  <si>
    <t>Keith</t>
  </si>
  <si>
    <t>Schroeder</t>
  </si>
  <si>
    <t>Jonathan</t>
  </si>
  <si>
    <t>Montgomery</t>
  </si>
  <si>
    <t>Gregory</t>
  </si>
  <si>
    <t>Palmer</t>
  </si>
  <si>
    <t>Joshua</t>
  </si>
  <si>
    <t>Wade</t>
  </si>
  <si>
    <t>Robin</t>
  </si>
  <si>
    <t>Sally</t>
  </si>
  <si>
    <t>Morales</t>
  </si>
  <si>
    <t>Richard</t>
  </si>
  <si>
    <t>Hood</t>
  </si>
  <si>
    <t>Stephanie</t>
  </si>
  <si>
    <t>Gonzalez</t>
  </si>
  <si>
    <t>Julie</t>
  </si>
  <si>
    <t>Fox</t>
  </si>
  <si>
    <t>Amy</t>
  </si>
  <si>
    <t>Ramsey</t>
  </si>
  <si>
    <t>Garner</t>
  </si>
  <si>
    <t>Alejandro</t>
  </si>
  <si>
    <t>Johnson</t>
  </si>
  <si>
    <t>Cole</t>
  </si>
  <si>
    <t>Washington</t>
  </si>
  <si>
    <t>Allison</t>
  </si>
  <si>
    <t>Catherine</t>
  </si>
  <si>
    <t>Good</t>
  </si>
  <si>
    <t>Russell</t>
  </si>
  <si>
    <t>Eaton</t>
  </si>
  <si>
    <t>Preston</t>
  </si>
  <si>
    <t>Gomez</t>
  </si>
  <si>
    <t>Amber</t>
  </si>
  <si>
    <t>Bryan</t>
  </si>
  <si>
    <t>Molina</t>
  </si>
  <si>
    <t>Julia</t>
  </si>
  <si>
    <t>Campbell</t>
  </si>
  <si>
    <t>David</t>
  </si>
  <si>
    <t>Arnold</t>
  </si>
  <si>
    <t>Joseph</t>
  </si>
  <si>
    <t>William</t>
  </si>
  <si>
    <t>Long</t>
  </si>
  <si>
    <t>Pierce</t>
  </si>
  <si>
    <t>Sharon</t>
  </si>
  <si>
    <t>Cain</t>
  </si>
  <si>
    <t>Christine</t>
  </si>
  <si>
    <t>Reed</t>
  </si>
  <si>
    <t>Brandi</t>
  </si>
  <si>
    <t>Walker</t>
  </si>
  <si>
    <t>Morris</t>
  </si>
  <si>
    <t>Colton</t>
  </si>
  <si>
    <t>Baxter</t>
  </si>
  <si>
    <t>Mike</t>
  </si>
  <si>
    <t>Velasquez</t>
  </si>
  <si>
    <t>Caroline</t>
  </si>
  <si>
    <t>Roth</t>
  </si>
  <si>
    <t>Timothy</t>
  </si>
  <si>
    <t>Murphy</t>
  </si>
  <si>
    <t>Elizabeth</t>
  </si>
  <si>
    <t>Vargas</t>
  </si>
  <si>
    <t>Morgan</t>
  </si>
  <si>
    <t>Sharp</t>
  </si>
  <si>
    <t>Rebecca</t>
  </si>
  <si>
    <t>Dorsey</t>
  </si>
  <si>
    <t>Cox</t>
  </si>
  <si>
    <t>Ashley</t>
  </si>
  <si>
    <t>Nancy</t>
  </si>
  <si>
    <t>Wood</t>
  </si>
  <si>
    <t>Felicia</t>
  </si>
  <si>
    <t>Orozco</t>
  </si>
  <si>
    <t>Taylor</t>
  </si>
  <si>
    <t>Miguel</t>
  </si>
  <si>
    <t>Edwards</t>
  </si>
  <si>
    <t>Benjamin</t>
  </si>
  <si>
    <t>Frye</t>
  </si>
  <si>
    <t>Terry</t>
  </si>
  <si>
    <t>Anderson</t>
  </si>
  <si>
    <t>Moss</t>
  </si>
  <si>
    <t>Jones</t>
  </si>
  <si>
    <t>Pennington</t>
  </si>
  <si>
    <t>Ortiz</t>
  </si>
  <si>
    <t>Samantha</t>
  </si>
  <si>
    <t>Richards</t>
  </si>
  <si>
    <t>Lauren</t>
  </si>
  <si>
    <t>Jensen</t>
  </si>
  <si>
    <t>Eric</t>
  </si>
  <si>
    <t>Brittany</t>
  </si>
  <si>
    <t>Walter</t>
  </si>
  <si>
    <t>Stanton</t>
  </si>
  <si>
    <t>Booth</t>
  </si>
  <si>
    <t>Kim</t>
  </si>
  <si>
    <t>Mora</t>
  </si>
  <si>
    <t>Kimberly</t>
  </si>
  <si>
    <t>Carla</t>
  </si>
  <si>
    <t>Phillips</t>
  </si>
  <si>
    <t>Neal</t>
  </si>
  <si>
    <t>Toni</t>
  </si>
  <si>
    <t>Robert</t>
  </si>
  <si>
    <t>Goodwin</t>
  </si>
  <si>
    <t>Nathan</t>
  </si>
  <si>
    <t>Stewart</t>
  </si>
  <si>
    <t>Matthew</t>
  </si>
  <si>
    <t>Robbins</t>
  </si>
  <si>
    <t>Jeremy</t>
  </si>
  <si>
    <t>Porter</t>
  </si>
  <si>
    <t>Carmen</t>
  </si>
  <si>
    <t>Cline</t>
  </si>
  <si>
    <t>Robertson</t>
  </si>
  <si>
    <t>Juan</t>
  </si>
  <si>
    <t>White</t>
  </si>
  <si>
    <t>Connie</t>
  </si>
  <si>
    <t>Cunningham</t>
  </si>
  <si>
    <t>Nathaniel</t>
  </si>
  <si>
    <t>Mason</t>
  </si>
  <si>
    <t>Ruiz</t>
  </si>
  <si>
    <t>Martin</t>
  </si>
  <si>
    <t>Joel</t>
  </si>
  <si>
    <t>Courtney</t>
  </si>
  <si>
    <t>Riddle</t>
  </si>
  <si>
    <t>Susan</t>
  </si>
  <si>
    <t>Ramirez</t>
  </si>
  <si>
    <t>Laurie</t>
  </si>
  <si>
    <t>Potter</t>
  </si>
  <si>
    <t>Tim</t>
  </si>
  <si>
    <t>Moon</t>
  </si>
  <si>
    <t>Angel</t>
  </si>
  <si>
    <t>Nelson</t>
  </si>
  <si>
    <t>Teresa</t>
  </si>
  <si>
    <t>Chavez</t>
  </si>
  <si>
    <t>Kathleen</t>
  </si>
  <si>
    <t>Moore</t>
  </si>
  <si>
    <t>Manning</t>
  </si>
  <si>
    <t>Deborah</t>
  </si>
  <si>
    <t>Cody</t>
  </si>
  <si>
    <t>Rogers</t>
  </si>
  <si>
    <t>Jennifer</t>
  </si>
  <si>
    <t>Fowler</t>
  </si>
  <si>
    <t>Michelle</t>
  </si>
  <si>
    <t>Clayton</t>
  </si>
  <si>
    <t>Mills</t>
  </si>
  <si>
    <t>Charlotte</t>
  </si>
  <si>
    <t>Cook</t>
  </si>
  <si>
    <t>Peter</t>
  </si>
  <si>
    <t>Merritt</t>
  </si>
  <si>
    <t>Wendy</t>
  </si>
  <si>
    <t>Sandoval</t>
  </si>
  <si>
    <t>Keller</t>
  </si>
  <si>
    <t>Angela</t>
  </si>
  <si>
    <t>Newman</t>
  </si>
  <si>
    <t>Adam</t>
  </si>
  <si>
    <t>Hughes</t>
  </si>
  <si>
    <t>Paul</t>
  </si>
  <si>
    <t>Lindsey</t>
  </si>
  <si>
    <t>Craig</t>
  </si>
  <si>
    <t>Schmidt</t>
  </si>
  <si>
    <t>Andrea</t>
  </si>
  <si>
    <t>Cortez</t>
  </si>
  <si>
    <t>Zachary</t>
  </si>
  <si>
    <t>Ramos</t>
  </si>
  <si>
    <t>Debra</t>
  </si>
  <si>
    <t>Pollard</t>
  </si>
  <si>
    <t>Brett</t>
  </si>
  <si>
    <t>Burch</t>
  </si>
  <si>
    <t>English</t>
  </si>
  <si>
    <t>Penny</t>
  </si>
  <si>
    <t>Karen</t>
  </si>
  <si>
    <t>Garcia</t>
  </si>
  <si>
    <t>Dylan</t>
  </si>
  <si>
    <t>Roberson</t>
  </si>
  <si>
    <t>Kelsey</t>
  </si>
  <si>
    <t>Reyes</t>
  </si>
  <si>
    <t>Larry</t>
  </si>
  <si>
    <t>Kristin</t>
  </si>
  <si>
    <t>Johnston</t>
  </si>
  <si>
    <t>Parker</t>
  </si>
  <si>
    <t>Figueroa</t>
  </si>
  <si>
    <t>Howard</t>
  </si>
  <si>
    <t>Brandon</t>
  </si>
  <si>
    <t>Lin</t>
  </si>
  <si>
    <t>Anna</t>
  </si>
  <si>
    <t>Allen</t>
  </si>
  <si>
    <t>Salazar</t>
  </si>
  <si>
    <t>Williamson</t>
  </si>
  <si>
    <t>Lynn</t>
  </si>
  <si>
    <t>Horn</t>
  </si>
  <si>
    <t>Lori</t>
  </si>
  <si>
    <t>Gabriel</t>
  </si>
  <si>
    <t>Parrish</t>
  </si>
  <si>
    <t>Debbie</t>
  </si>
  <si>
    <t>Clark</t>
  </si>
  <si>
    <t>Mary</t>
  </si>
  <si>
    <t>Farmer</t>
  </si>
  <si>
    <t>Kevin</t>
  </si>
  <si>
    <t>Douglas</t>
  </si>
  <si>
    <t>Faulkner</t>
  </si>
  <si>
    <t>Dennis</t>
  </si>
  <si>
    <t>Bridges</t>
  </si>
  <si>
    <t>Myers</t>
  </si>
  <si>
    <t>Betty</t>
  </si>
  <si>
    <t>Middleton</t>
  </si>
  <si>
    <t>Diana</t>
  </si>
  <si>
    <t>Daniel</t>
  </si>
  <si>
    <t>Brown</t>
  </si>
  <si>
    <t>Stephen</t>
  </si>
  <si>
    <t>Webb</t>
  </si>
  <si>
    <t>Moreno</t>
  </si>
  <si>
    <t>Willie</t>
  </si>
  <si>
    <t>Evelyn</t>
  </si>
  <si>
    <t>Nicole</t>
  </si>
  <si>
    <t>Evans</t>
  </si>
  <si>
    <t>Gonzales</t>
  </si>
  <si>
    <t>Sherry</t>
  </si>
  <si>
    <t>Shepard</t>
  </si>
  <si>
    <t>Derek</t>
  </si>
  <si>
    <t>Carolyn</t>
  </si>
  <si>
    <t>Olivia</t>
  </si>
  <si>
    <t>Molly</t>
  </si>
  <si>
    <t>Jose</t>
  </si>
  <si>
    <t>Jackson</t>
  </si>
  <si>
    <t>Vega</t>
  </si>
  <si>
    <t>Angelica</t>
  </si>
  <si>
    <t>Henry</t>
  </si>
  <si>
    <t>Lee</t>
  </si>
  <si>
    <t>Clarke</t>
  </si>
  <si>
    <t>Jason</t>
  </si>
  <si>
    <t>Grant</t>
  </si>
  <si>
    <t>Munoz</t>
  </si>
  <si>
    <t>Ray</t>
  </si>
  <si>
    <t>Miranda</t>
  </si>
  <si>
    <t>Grace</t>
  </si>
  <si>
    <t>Carlson</t>
  </si>
  <si>
    <t>Erin</t>
  </si>
  <si>
    <t>Melissa</t>
  </si>
  <si>
    <t>Jenkins</t>
  </si>
  <si>
    <t>Ronald</t>
  </si>
  <si>
    <t>Ballard</t>
  </si>
  <si>
    <t>Danielle</t>
  </si>
  <si>
    <t>Freeman</t>
  </si>
  <si>
    <t>Katherine</t>
  </si>
  <si>
    <t>Dawn</t>
  </si>
  <si>
    <t>Pacheco</t>
  </si>
  <si>
    <t>Alvarez</t>
  </si>
  <si>
    <t>Bernard</t>
  </si>
  <si>
    <t>Mrs.</t>
  </si>
  <si>
    <t>Jorge</t>
  </si>
  <si>
    <t>Jacqueline</t>
  </si>
  <si>
    <t>Tracy</t>
  </si>
  <si>
    <t>Lopez</t>
  </si>
  <si>
    <t>Steven</t>
  </si>
  <si>
    <t>Robinson</t>
  </si>
  <si>
    <t>Deleon</t>
  </si>
  <si>
    <t>Parks</t>
  </si>
  <si>
    <t>Sean</t>
  </si>
  <si>
    <t>Small</t>
  </si>
  <si>
    <t>Dean</t>
  </si>
  <si>
    <t>Vicki</t>
  </si>
  <si>
    <t>Knox</t>
  </si>
  <si>
    <t>Ruben</t>
  </si>
  <si>
    <t>Oconnell</t>
  </si>
  <si>
    <t>Gallegos</t>
  </si>
  <si>
    <t>Harvey</t>
  </si>
  <si>
    <t>Scott</t>
  </si>
  <si>
    <t>Ingram</t>
  </si>
  <si>
    <t>Eugene</t>
  </si>
  <si>
    <t>Olson</t>
  </si>
  <si>
    <t>Kristine</t>
  </si>
  <si>
    <t>Sexton</t>
  </si>
  <si>
    <t>Marc</t>
  </si>
  <si>
    <t>Hull</t>
  </si>
  <si>
    <t>Diane</t>
  </si>
  <si>
    <t>Bush</t>
  </si>
  <si>
    <t>Tiffany</t>
  </si>
  <si>
    <t>Flores</t>
  </si>
  <si>
    <t>Bailey</t>
  </si>
  <si>
    <t>Torres</t>
  </si>
  <si>
    <t>Barber</t>
  </si>
  <si>
    <t>Mclaughlin</t>
  </si>
  <si>
    <t>Ward</t>
  </si>
  <si>
    <t>Farrell</t>
  </si>
  <si>
    <t>Stacy</t>
  </si>
  <si>
    <t>Brady</t>
  </si>
  <si>
    <t>Patton</t>
  </si>
  <si>
    <t>Morrow</t>
  </si>
  <si>
    <t>Antonio</t>
  </si>
  <si>
    <t>Boyd</t>
  </si>
  <si>
    <t>Tucker</t>
  </si>
  <si>
    <t>Rodgers</t>
  </si>
  <si>
    <t>Hawkins</t>
  </si>
  <si>
    <t>Jimenez</t>
  </si>
  <si>
    <t>Erickson</t>
  </si>
  <si>
    <t>Jade</t>
  </si>
  <si>
    <t>Green</t>
  </si>
  <si>
    <t>Crystal</t>
  </si>
  <si>
    <t>Hayes</t>
  </si>
  <si>
    <t>Charles</t>
  </si>
  <si>
    <t>Jerome</t>
  </si>
  <si>
    <t>Richardson</t>
  </si>
  <si>
    <t>Jean</t>
  </si>
  <si>
    <t>Yoder</t>
  </si>
  <si>
    <t>Theodore</t>
  </si>
  <si>
    <t>Yang</t>
  </si>
  <si>
    <t>Kelli</t>
  </si>
  <si>
    <t>Young</t>
  </si>
  <si>
    <t>Bradley</t>
  </si>
  <si>
    <t>Quinn</t>
  </si>
  <si>
    <t>Darrell</t>
  </si>
  <si>
    <t>Reynolds</t>
  </si>
  <si>
    <t>Alicia</t>
  </si>
  <si>
    <t>Melanie</t>
  </si>
  <si>
    <t>Hoffman</t>
  </si>
  <si>
    <t>Dunlap</t>
  </si>
  <si>
    <t>King</t>
  </si>
  <si>
    <t>Jamie</t>
  </si>
  <si>
    <t>Alexander</t>
  </si>
  <si>
    <t>Kayla</t>
  </si>
  <si>
    <t>Crawford</t>
  </si>
  <si>
    <t>Rivera</t>
  </si>
  <si>
    <t>Mitchell</t>
  </si>
  <si>
    <t>Shelby</t>
  </si>
  <si>
    <t>Lewis</t>
  </si>
  <si>
    <t>Haynes</t>
  </si>
  <si>
    <t>Moses</t>
  </si>
  <si>
    <t>Burton</t>
  </si>
  <si>
    <t>Bennett</t>
  </si>
  <si>
    <t>Stevens</t>
  </si>
  <si>
    <t>Sierra</t>
  </si>
  <si>
    <t>Goodman</t>
  </si>
  <si>
    <t>Drake</t>
  </si>
  <si>
    <t>Holloway</t>
  </si>
  <si>
    <t>Weeks</t>
  </si>
  <si>
    <t>Karina</t>
  </si>
  <si>
    <t>Pamela</t>
  </si>
  <si>
    <t>Navarro</t>
  </si>
  <si>
    <t>Jack</t>
  </si>
  <si>
    <t>Mccoy</t>
  </si>
  <si>
    <t>Mcknight</t>
  </si>
  <si>
    <t>Derrick</t>
  </si>
  <si>
    <t>Jared</t>
  </si>
  <si>
    <t>Tate</t>
  </si>
  <si>
    <t>Edward</t>
  </si>
  <si>
    <t>Bauer</t>
  </si>
  <si>
    <t>Anthony</t>
  </si>
  <si>
    <t>Hailey</t>
  </si>
  <si>
    <t>Sullivan</t>
  </si>
  <si>
    <t>Brandy</t>
  </si>
  <si>
    <t>Carlos</t>
  </si>
  <si>
    <t>Henson</t>
  </si>
  <si>
    <t>Campos</t>
  </si>
  <si>
    <t>Janet</t>
  </si>
  <si>
    <t>Cooley</t>
  </si>
  <si>
    <t>Mr.</t>
  </si>
  <si>
    <t>Shane</t>
  </si>
  <si>
    <t>Tyler</t>
  </si>
  <si>
    <t>Haney</t>
  </si>
  <si>
    <t>Lindsay</t>
  </si>
  <si>
    <t>George</t>
  </si>
  <si>
    <t>Gray</t>
  </si>
  <si>
    <t>Graves</t>
  </si>
  <si>
    <t>Ernest</t>
  </si>
  <si>
    <t>Lang</t>
  </si>
  <si>
    <t>Gloria</t>
  </si>
  <si>
    <t>Barnett</t>
  </si>
  <si>
    <t>Andrews</t>
  </si>
  <si>
    <t>Sonya</t>
  </si>
  <si>
    <t>Vanessa</t>
  </si>
  <si>
    <t>Kelley</t>
  </si>
  <si>
    <t>Love</t>
  </si>
  <si>
    <t>Kelly</t>
  </si>
  <si>
    <t>Wong</t>
  </si>
  <si>
    <t>Wright</t>
  </si>
  <si>
    <t>Coleman</t>
  </si>
  <si>
    <t>Kirby</t>
  </si>
  <si>
    <t>Romero</t>
  </si>
  <si>
    <t>Hunter</t>
  </si>
  <si>
    <t>Walsh</t>
  </si>
  <si>
    <t>Mckee</t>
  </si>
  <si>
    <t>Harmon</t>
  </si>
  <si>
    <t>Todd</t>
  </si>
  <si>
    <t>Hall</t>
  </si>
  <si>
    <t>Danny</t>
  </si>
  <si>
    <t>Gilbert</t>
  </si>
  <si>
    <t>Parsons</t>
  </si>
  <si>
    <t>Calhoun</t>
  </si>
  <si>
    <t>Cindy</t>
  </si>
  <si>
    <t>Maxwell</t>
  </si>
  <si>
    <t>Combs</t>
  </si>
  <si>
    <t>Newton</t>
  </si>
  <si>
    <t>Levine</t>
  </si>
  <si>
    <t>Latoya</t>
  </si>
  <si>
    <t>Stein</t>
  </si>
  <si>
    <t>Tina</t>
  </si>
  <si>
    <t>Watson</t>
  </si>
  <si>
    <t>Pope</t>
  </si>
  <si>
    <t>Brad</t>
  </si>
  <si>
    <t>Mccarty</t>
  </si>
  <si>
    <t>Theresa</t>
  </si>
  <si>
    <t>Wiggins</t>
  </si>
  <si>
    <t>Tony</t>
  </si>
  <si>
    <t>Byrd</t>
  </si>
  <si>
    <t>Murray</t>
  </si>
  <si>
    <t>Velazquez</t>
  </si>
  <si>
    <t>Benson</t>
  </si>
  <si>
    <t>Rhodes</t>
  </si>
  <si>
    <t>Sosa</t>
  </si>
  <si>
    <t>Medina</t>
  </si>
  <si>
    <t>Sims</t>
  </si>
  <si>
    <t>Gwendolyn</t>
  </si>
  <si>
    <t>Guerrero</t>
  </si>
  <si>
    <t>Chelsea</t>
  </si>
  <si>
    <t>Kristen</t>
  </si>
  <si>
    <t>Aguilar</t>
  </si>
  <si>
    <t>Emily</t>
  </si>
  <si>
    <t>Christensen</t>
  </si>
  <si>
    <t>Annette</t>
  </si>
  <si>
    <t>Chloe</t>
  </si>
  <si>
    <t>Dixon</t>
  </si>
  <si>
    <t>Leah</t>
  </si>
  <si>
    <t>Justin</t>
  </si>
  <si>
    <t>Bowen</t>
  </si>
  <si>
    <t>Veronica</t>
  </si>
  <si>
    <t>Cordova</t>
  </si>
  <si>
    <t>Brooks</t>
  </si>
  <si>
    <t>Hannah</t>
  </si>
  <si>
    <t>Ball</t>
  </si>
  <si>
    <t>Krista</t>
  </si>
  <si>
    <t>Marcus</t>
  </si>
  <si>
    <t>Powell</t>
  </si>
  <si>
    <t>Madden</t>
  </si>
  <si>
    <t>Shawn</t>
  </si>
  <si>
    <t>Gardner</t>
  </si>
  <si>
    <t>Nunez</t>
  </si>
  <si>
    <t>Kaufman</t>
  </si>
  <si>
    <t>Patricia</t>
  </si>
  <si>
    <t>Pratt</t>
  </si>
  <si>
    <t>Morton</t>
  </si>
  <si>
    <t>Vang</t>
  </si>
  <si>
    <t>Megan</t>
  </si>
  <si>
    <t>Matthews</t>
  </si>
  <si>
    <t>Hale</t>
  </si>
  <si>
    <t>Brittney</t>
  </si>
  <si>
    <t>Branch</t>
  </si>
  <si>
    <t>Jeffery</t>
  </si>
  <si>
    <t>Rachel</t>
  </si>
  <si>
    <t>Bradford</t>
  </si>
  <si>
    <t>Beltran</t>
  </si>
  <si>
    <t>Barbara</t>
  </si>
  <si>
    <t>Randy</t>
  </si>
  <si>
    <t>Collins</t>
  </si>
  <si>
    <t>Christina</t>
  </si>
  <si>
    <t>Jody</t>
  </si>
  <si>
    <t>Larsen</t>
  </si>
  <si>
    <t>Rocha</t>
  </si>
  <si>
    <t>Rebekah</t>
  </si>
  <si>
    <t>Carr</t>
  </si>
  <si>
    <t>Alyssa</t>
  </si>
  <si>
    <t>Alan</t>
  </si>
  <si>
    <t>Golden</t>
  </si>
  <si>
    <t>Cross</t>
  </si>
  <si>
    <t>Caldwell</t>
  </si>
  <si>
    <t>Bond</t>
  </si>
  <si>
    <t>Luis</t>
  </si>
  <si>
    <t>Mcdaniel</t>
  </si>
  <si>
    <t>Buchanan</t>
  </si>
  <si>
    <t>Sydney</t>
  </si>
  <si>
    <t>Harrell</t>
  </si>
  <si>
    <t>Patterson</t>
  </si>
  <si>
    <t>Marvin</t>
  </si>
  <si>
    <t>Reeves</t>
  </si>
  <si>
    <t>Villarreal</t>
  </si>
  <si>
    <t>Stacey</t>
  </si>
  <si>
    <t>Irwin</t>
  </si>
  <si>
    <t>Rose</t>
  </si>
  <si>
    <t>Lyons</t>
  </si>
  <si>
    <t>Jesse</t>
  </si>
  <si>
    <t>Cooke</t>
  </si>
  <si>
    <t>Yu</t>
  </si>
  <si>
    <t>Savage</t>
  </si>
  <si>
    <t>Nichols</t>
  </si>
  <si>
    <t>Elijah</t>
  </si>
  <si>
    <t>Candace</t>
  </si>
  <si>
    <t>Lara</t>
  </si>
  <si>
    <t>Emma</t>
  </si>
  <si>
    <t>Shelton</t>
  </si>
  <si>
    <t>Paula</t>
  </si>
  <si>
    <t>Leon</t>
  </si>
  <si>
    <t>Ricardo</t>
  </si>
  <si>
    <t>Kent</t>
  </si>
  <si>
    <t>Carpenter</t>
  </si>
  <si>
    <t>Clements</t>
  </si>
  <si>
    <t>Patty</t>
  </si>
  <si>
    <t>Madison</t>
  </si>
  <si>
    <t>Berry</t>
  </si>
  <si>
    <t>Marshall</t>
  </si>
  <si>
    <t>Chaney</t>
  </si>
  <si>
    <t>Leach</t>
  </si>
  <si>
    <t>Higgins</t>
  </si>
  <si>
    <t>Jill</t>
  </si>
  <si>
    <t>Peck</t>
  </si>
  <si>
    <t>Nash</t>
  </si>
  <si>
    <t>Conner</t>
  </si>
  <si>
    <t>Victoria</t>
  </si>
  <si>
    <t>Hayden</t>
  </si>
  <si>
    <t>Mullins</t>
  </si>
  <si>
    <t>Seth</t>
  </si>
  <si>
    <t>Jaclyn</t>
  </si>
  <si>
    <t>Lynch</t>
  </si>
  <si>
    <t>Peterson</t>
  </si>
  <si>
    <t>Troy</t>
  </si>
  <si>
    <t>Fuentes</t>
  </si>
  <si>
    <t>Barry</t>
  </si>
  <si>
    <t>Judith</t>
  </si>
  <si>
    <t>Orr</t>
  </si>
  <si>
    <t>Hammond</t>
  </si>
  <si>
    <t>Stephenson</t>
  </si>
  <si>
    <t>Gary</t>
  </si>
  <si>
    <t>Mcguire</t>
  </si>
  <si>
    <t>Ellis</t>
  </si>
  <si>
    <t>Jerry</t>
  </si>
  <si>
    <t>Maldonado</t>
  </si>
  <si>
    <t>Linda</t>
  </si>
  <si>
    <t>Bird</t>
  </si>
  <si>
    <t>Stokes</t>
  </si>
  <si>
    <t>Simmons</t>
  </si>
  <si>
    <t>Lutz</t>
  </si>
  <si>
    <t>Alvarado</t>
  </si>
  <si>
    <t>Cameron</t>
  </si>
  <si>
    <t>Yesenia</t>
  </si>
  <si>
    <t>Colin</t>
  </si>
  <si>
    <t>Austin</t>
  </si>
  <si>
    <t>Barrett</t>
  </si>
  <si>
    <t>Compton</t>
  </si>
  <si>
    <t>Holmes</t>
  </si>
  <si>
    <t>Sabrina</t>
  </si>
  <si>
    <t>Sheryl</t>
  </si>
  <si>
    <t>Kurt</t>
  </si>
  <si>
    <t>Murillo</t>
  </si>
  <si>
    <t>Hodge</t>
  </si>
  <si>
    <t>Welch</t>
  </si>
  <si>
    <t>Contreras</t>
  </si>
  <si>
    <t>Stephens</t>
  </si>
  <si>
    <t>Jenna</t>
  </si>
  <si>
    <t>Oneal</t>
  </si>
  <si>
    <t>Stanley</t>
  </si>
  <si>
    <t>Velez</t>
  </si>
  <si>
    <t>Villegas</t>
  </si>
  <si>
    <t>Denise</t>
  </si>
  <si>
    <t>Christian</t>
  </si>
  <si>
    <t>Estrada</t>
  </si>
  <si>
    <t>Page</t>
  </si>
  <si>
    <t>Graham</t>
  </si>
  <si>
    <t>Cassie</t>
  </si>
  <si>
    <t>Brooke</t>
  </si>
  <si>
    <t>Andre</t>
  </si>
  <si>
    <t>Stone</t>
  </si>
  <si>
    <t>Marquez</t>
  </si>
  <si>
    <t>Weaver</t>
  </si>
  <si>
    <t>Patel</t>
  </si>
  <si>
    <t>Rick</t>
  </si>
  <si>
    <t>Moran</t>
  </si>
  <si>
    <t>Pearson</t>
  </si>
  <si>
    <t>Wesley</t>
  </si>
  <si>
    <t>Harper</t>
  </si>
  <si>
    <t>Faith</t>
  </si>
  <si>
    <t>Donald</t>
  </si>
  <si>
    <t>Noble</t>
  </si>
  <si>
    <t>Carroll</t>
  </si>
  <si>
    <t>Wilkinson</t>
  </si>
  <si>
    <t>Kennedy</t>
  </si>
  <si>
    <t>Casey</t>
  </si>
  <si>
    <t>Sparks</t>
  </si>
  <si>
    <t>Patrick</t>
  </si>
  <si>
    <t>Garza</t>
  </si>
  <si>
    <t>Elliott</t>
  </si>
  <si>
    <t>Burke</t>
  </si>
  <si>
    <t>Carter</t>
  </si>
  <si>
    <t>Michele</t>
  </si>
  <si>
    <t>Dickson</t>
  </si>
  <si>
    <t>Chase</t>
  </si>
  <si>
    <t>Victor</t>
  </si>
  <si>
    <t>Acosta</t>
  </si>
  <si>
    <t>Valdez</t>
  </si>
  <si>
    <t>Fitzpatrick</t>
  </si>
  <si>
    <t>Louis</t>
  </si>
  <si>
    <t>Owens</t>
  </si>
  <si>
    <t>Anne</t>
  </si>
  <si>
    <t>Griffin</t>
  </si>
  <si>
    <t>Mendoza</t>
  </si>
  <si>
    <t>Edwin</t>
  </si>
  <si>
    <t>Brennan</t>
  </si>
  <si>
    <t>Olsen</t>
  </si>
  <si>
    <t>Simon</t>
  </si>
  <si>
    <t>Duran</t>
  </si>
  <si>
    <t>French</t>
  </si>
  <si>
    <t>Brock</t>
  </si>
  <si>
    <t>Stuart</t>
  </si>
  <si>
    <t>Jimmy</t>
  </si>
  <si>
    <t>Martha</t>
  </si>
  <si>
    <t>Zhang</t>
  </si>
  <si>
    <t>Tanner</t>
  </si>
  <si>
    <t>Floyd</t>
  </si>
  <si>
    <t>Mahoney</t>
  </si>
  <si>
    <t>Frey</t>
  </si>
  <si>
    <t>Harold</t>
  </si>
  <si>
    <t>Odonnell</t>
  </si>
  <si>
    <t>Santos</t>
  </si>
  <si>
    <t>Pugh</t>
  </si>
  <si>
    <t>Holland</t>
  </si>
  <si>
    <t>Dillon</t>
  </si>
  <si>
    <t>Krueger</t>
  </si>
  <si>
    <t>Wagner</t>
  </si>
  <si>
    <t>Wiley</t>
  </si>
  <si>
    <t>Khan</t>
  </si>
  <si>
    <t>Becker</t>
  </si>
  <si>
    <t>Sophia</t>
  </si>
  <si>
    <t>Fischer</t>
  </si>
  <si>
    <t>Silva</t>
  </si>
  <si>
    <t>Johnny</t>
  </si>
  <si>
    <t>Berg</t>
  </si>
  <si>
    <t>Donna</t>
  </si>
  <si>
    <t>Winters</t>
  </si>
  <si>
    <t>Tran</t>
  </si>
  <si>
    <t>Hardy</t>
  </si>
  <si>
    <t>Willis</t>
  </si>
  <si>
    <t>Townsend</t>
  </si>
  <si>
    <t>Lance</t>
  </si>
  <si>
    <t>Noah</t>
  </si>
  <si>
    <t>Mays</t>
  </si>
  <si>
    <t>Arias</t>
  </si>
  <si>
    <t>Lambert</t>
  </si>
  <si>
    <t>Joy</t>
  </si>
  <si>
    <t>Jordan</t>
  </si>
  <si>
    <t>Cynthia</t>
  </si>
  <si>
    <t>Conway</t>
  </si>
  <si>
    <t>Phelps</t>
  </si>
  <si>
    <t>Ms.</t>
  </si>
  <si>
    <t>Sheila</t>
  </si>
  <si>
    <t>Reilly</t>
  </si>
  <si>
    <t>Meyers</t>
  </si>
  <si>
    <t>Armstrong</t>
  </si>
  <si>
    <t>Vincent</t>
  </si>
  <si>
    <t>Singh</t>
  </si>
  <si>
    <t>Montoya</t>
  </si>
  <si>
    <t>Nguyen</t>
  </si>
  <si>
    <t>Paige</t>
  </si>
  <si>
    <t>Beth</t>
  </si>
  <si>
    <t>Wolfe</t>
  </si>
  <si>
    <t>Becky</t>
  </si>
  <si>
    <t>Kline</t>
  </si>
  <si>
    <t>Selena</t>
  </si>
  <si>
    <t>Lawrence</t>
  </si>
  <si>
    <t>Fitzgerald</t>
  </si>
  <si>
    <t>Alexandria</t>
  </si>
  <si>
    <t>Brent</t>
  </si>
  <si>
    <t>Jesus</t>
  </si>
  <si>
    <t>Dominguez</t>
  </si>
  <si>
    <t>Evan</t>
  </si>
  <si>
    <t>Huynh</t>
  </si>
  <si>
    <t>Harrington</t>
  </si>
  <si>
    <t>Haley</t>
  </si>
  <si>
    <t>Herrera</t>
  </si>
  <si>
    <t>Monica</t>
  </si>
  <si>
    <t>Sheri</t>
  </si>
  <si>
    <t>Steele</t>
  </si>
  <si>
    <t>Walls</t>
  </si>
  <si>
    <t>Dustin</t>
  </si>
  <si>
    <t>Blackburn</t>
  </si>
  <si>
    <t>Santiago</t>
  </si>
  <si>
    <t>Chen</t>
  </si>
  <si>
    <t>Mullen</t>
  </si>
  <si>
    <t>Sanders</t>
  </si>
  <si>
    <t>Shannon</t>
  </si>
  <si>
    <t>Ruth</t>
  </si>
  <si>
    <t>Glen</t>
  </si>
  <si>
    <t>Roger</t>
  </si>
  <si>
    <t>Roberta</t>
  </si>
  <si>
    <t>Barajas</t>
  </si>
  <si>
    <t>Hoover</t>
  </si>
  <si>
    <t>Lane</t>
  </si>
  <si>
    <t>April</t>
  </si>
  <si>
    <t>Juarez</t>
  </si>
  <si>
    <t>Kendra</t>
  </si>
  <si>
    <t>Herman</t>
  </si>
  <si>
    <t>Hunt</t>
  </si>
  <si>
    <t>Larson</t>
  </si>
  <si>
    <t>Jo</t>
  </si>
  <si>
    <t>Jacobs</t>
  </si>
  <si>
    <t>Wanda</t>
  </si>
  <si>
    <t>Caitlin</t>
  </si>
  <si>
    <t>Daniels</t>
  </si>
  <si>
    <t>Bell</t>
  </si>
  <si>
    <t>Baldwin</t>
  </si>
  <si>
    <t>Trevino</t>
  </si>
  <si>
    <t>Russo</t>
  </si>
  <si>
    <t>Mejia</t>
  </si>
  <si>
    <t>Cabrera</t>
  </si>
  <si>
    <t>Barnes</t>
  </si>
  <si>
    <t>Vasquez</t>
  </si>
  <si>
    <t>Maureen</t>
  </si>
  <si>
    <t>Malone</t>
  </si>
  <si>
    <t>Diaz</t>
  </si>
  <si>
    <t>Brianna</t>
  </si>
  <si>
    <t>Garrison</t>
  </si>
  <si>
    <t>Alfred</t>
  </si>
  <si>
    <t>Marsh</t>
  </si>
  <si>
    <t>Cooper</t>
  </si>
  <si>
    <t>Priscilla</t>
  </si>
  <si>
    <t>Walton</t>
  </si>
  <si>
    <t>Roberts</t>
  </si>
  <si>
    <t>Cory</t>
  </si>
  <si>
    <t>Chambers</t>
  </si>
  <si>
    <t>Ann</t>
  </si>
  <si>
    <t>Melton</t>
  </si>
  <si>
    <t>Carl</t>
  </si>
  <si>
    <t>Beasley</t>
  </si>
  <si>
    <t>Bonnie</t>
  </si>
  <si>
    <t>Mckenzie</t>
  </si>
  <si>
    <t>Mcconnell</t>
  </si>
  <si>
    <t>Bradshaw</t>
  </si>
  <si>
    <t>Powers</t>
  </si>
  <si>
    <t>Maurice</t>
  </si>
  <si>
    <t>Tonya</t>
  </si>
  <si>
    <t>Kyle</t>
  </si>
  <si>
    <t>Brenda</t>
  </si>
  <si>
    <t>Rasmussen</t>
  </si>
  <si>
    <t>Meredith</t>
  </si>
  <si>
    <t>Pineda</t>
  </si>
  <si>
    <t>Meagan</t>
  </si>
  <si>
    <t>Burgess</t>
  </si>
  <si>
    <t>Bryce</t>
  </si>
  <si>
    <t>Hooper</t>
  </si>
  <si>
    <t>Bruce</t>
  </si>
  <si>
    <t>Espinoza</t>
  </si>
  <si>
    <t>Rodney</t>
  </si>
  <si>
    <t>Callahan</t>
  </si>
  <si>
    <t>Garrett</t>
  </si>
  <si>
    <t>Lloyd</t>
  </si>
  <si>
    <t>Darren</t>
  </si>
  <si>
    <t>Corey</t>
  </si>
  <si>
    <t>Padilla</t>
  </si>
  <si>
    <t>Bowers</t>
  </si>
  <si>
    <t>Bethany</t>
  </si>
  <si>
    <t>Gallagher</t>
  </si>
  <si>
    <t>Rich</t>
  </si>
  <si>
    <t>Regina</t>
  </si>
  <si>
    <t>Perez</t>
  </si>
  <si>
    <t>Warren</t>
  </si>
  <si>
    <t>Destiny</t>
  </si>
  <si>
    <t>Hudson</t>
  </si>
  <si>
    <t>Devin</t>
  </si>
  <si>
    <t>Monroe</t>
  </si>
  <si>
    <t>Forbes</t>
  </si>
  <si>
    <t>Woods</t>
  </si>
  <si>
    <t>Miss</t>
  </si>
  <si>
    <t>Deanna</t>
  </si>
  <si>
    <t>Spencer</t>
  </si>
  <si>
    <t>Isaac</t>
  </si>
  <si>
    <t>Fernandez</t>
  </si>
  <si>
    <t>Vazquez</t>
  </si>
  <si>
    <t>Hansen</t>
  </si>
  <si>
    <t>Tracey</t>
  </si>
  <si>
    <t>Mcneil</t>
  </si>
  <si>
    <t>Atkins</t>
  </si>
  <si>
    <t>Hill</t>
  </si>
  <si>
    <t>Nicholson</t>
  </si>
  <si>
    <t>Cruz</t>
  </si>
  <si>
    <t>Ayers</t>
  </si>
  <si>
    <t>Marcia</t>
  </si>
  <si>
    <t>Joanne</t>
  </si>
  <si>
    <t>Glenn</t>
  </si>
  <si>
    <t>Blackwell</t>
  </si>
  <si>
    <t>Hess</t>
  </si>
  <si>
    <t>Schultz</t>
  </si>
  <si>
    <t>Bishop</t>
  </si>
  <si>
    <t>Mathews</t>
  </si>
  <si>
    <t>Heidi</t>
  </si>
  <si>
    <t>Andersen</t>
  </si>
  <si>
    <t>Alexandra</t>
  </si>
  <si>
    <t>Park</t>
  </si>
  <si>
    <t>Mcgrath</t>
  </si>
  <si>
    <t>Hanson</t>
  </si>
  <si>
    <t>Adkins</t>
  </si>
  <si>
    <t>Black</t>
  </si>
  <si>
    <t>Fletcher</t>
  </si>
  <si>
    <t>Abigail</t>
  </si>
  <si>
    <t>Stafford</t>
  </si>
  <si>
    <t>Jarvis</t>
  </si>
  <si>
    <t>Salas</t>
  </si>
  <si>
    <t>Dudley</t>
  </si>
  <si>
    <t>Hester</t>
  </si>
  <si>
    <t>Desiree</t>
  </si>
  <si>
    <t>Flowers</t>
  </si>
  <si>
    <t>Santana</t>
  </si>
  <si>
    <t>Carney</t>
  </si>
  <si>
    <t>Warner</t>
  </si>
  <si>
    <t>Swanson</t>
  </si>
  <si>
    <t>Hodges</t>
  </si>
  <si>
    <t>Frank</t>
  </si>
  <si>
    <t>Gutierrez</t>
  </si>
  <si>
    <t>Mcgee</t>
  </si>
  <si>
    <t>Nielsen</t>
  </si>
  <si>
    <t>Zimmerman</t>
  </si>
  <si>
    <t>Barron</t>
  </si>
  <si>
    <t>Dougherty</t>
  </si>
  <si>
    <t>Eduardo</t>
  </si>
  <si>
    <t>Mccormick</t>
  </si>
  <si>
    <t>Cassandra</t>
  </si>
  <si>
    <t>Jefferson</t>
  </si>
  <si>
    <t>Chelsey</t>
  </si>
  <si>
    <t>Ayala</t>
  </si>
  <si>
    <t>Colleen</t>
  </si>
  <si>
    <t>Wallace</t>
  </si>
  <si>
    <t>Hamilton</t>
  </si>
  <si>
    <t>Mikayla</t>
  </si>
  <si>
    <t>Wheeler</t>
  </si>
  <si>
    <t>Bonilla</t>
  </si>
  <si>
    <t>Randall</t>
  </si>
  <si>
    <t>Chapman</t>
  </si>
  <si>
    <t>Sara</t>
  </si>
  <si>
    <t>Darlene</t>
  </si>
  <si>
    <t>Cervantes</t>
  </si>
  <si>
    <t>Curry</t>
  </si>
  <si>
    <t>Billy</t>
  </si>
  <si>
    <t>Everett</t>
  </si>
  <si>
    <t>Saunders</t>
  </si>
  <si>
    <t>Bobby</t>
  </si>
  <si>
    <t>Dawson</t>
  </si>
  <si>
    <t>Gross</t>
  </si>
  <si>
    <t>Hicks</t>
  </si>
  <si>
    <t>Natalie</t>
  </si>
  <si>
    <t>Kristopher</t>
  </si>
  <si>
    <t>Ali</t>
  </si>
  <si>
    <t>Bryant</t>
  </si>
  <si>
    <t>Ronnie</t>
  </si>
  <si>
    <t>Jasmine</t>
  </si>
  <si>
    <t>Rojas</t>
  </si>
  <si>
    <t>Castillo</t>
  </si>
  <si>
    <t>Kaiser</t>
  </si>
  <si>
    <t>Virginia</t>
  </si>
  <si>
    <t>Morrison</t>
  </si>
  <si>
    <t>Macdonald</t>
  </si>
  <si>
    <t>Hendrix</t>
  </si>
  <si>
    <t>Ford</t>
  </si>
  <si>
    <t>Holt</t>
  </si>
  <si>
    <t>Wilcox</t>
  </si>
  <si>
    <t>Decker</t>
  </si>
  <si>
    <t>Aguirre</t>
  </si>
  <si>
    <t>Case</t>
  </si>
  <si>
    <t>Stevenson</t>
  </si>
  <si>
    <t>Clifford</t>
  </si>
  <si>
    <t>Wu</t>
  </si>
  <si>
    <t>Julian</t>
  </si>
  <si>
    <t>Shirley</t>
  </si>
  <si>
    <t>Fuller</t>
  </si>
  <si>
    <t>Doyle</t>
  </si>
  <si>
    <t>Ware</t>
  </si>
  <si>
    <t>Henderson</t>
  </si>
  <si>
    <t>Sweeney</t>
  </si>
  <si>
    <t>Buck</t>
  </si>
  <si>
    <t>Mckinney</t>
  </si>
  <si>
    <t>Ariel</t>
  </si>
  <si>
    <t>Omar</t>
  </si>
  <si>
    <t>Norman</t>
  </si>
  <si>
    <t>Ferrell</t>
  </si>
  <si>
    <t>Ibarra</t>
  </si>
  <si>
    <t>Lacey</t>
  </si>
  <si>
    <t>Solis</t>
  </si>
  <si>
    <t>Riley</t>
  </si>
  <si>
    <t>Mcpherson</t>
  </si>
  <si>
    <t>Conley</t>
  </si>
  <si>
    <t>Mcdonald</t>
  </si>
  <si>
    <t>Knight</t>
  </si>
  <si>
    <t>Phillip</t>
  </si>
  <si>
    <t>Alexa</t>
  </si>
  <si>
    <t>Harrison</t>
  </si>
  <si>
    <t>Monique</t>
  </si>
  <si>
    <t>Skinner</t>
  </si>
  <si>
    <t>Blankenship</t>
  </si>
  <si>
    <t>Anita</t>
  </si>
  <si>
    <t>Bates</t>
  </si>
  <si>
    <t>Johns</t>
  </si>
  <si>
    <t>Greene</t>
  </si>
  <si>
    <t>Joe</t>
  </si>
  <si>
    <t>Best</t>
  </si>
  <si>
    <t>Villanueva</t>
  </si>
  <si>
    <t>Jeanette</t>
  </si>
  <si>
    <t>Kara</t>
  </si>
  <si>
    <t>Waller</t>
  </si>
  <si>
    <t>Javier</t>
  </si>
  <si>
    <t>Sloan</t>
  </si>
  <si>
    <t>Shaw</t>
  </si>
  <si>
    <t>Dominic</t>
  </si>
  <si>
    <t>Bright</t>
  </si>
  <si>
    <t>Ralph</t>
  </si>
  <si>
    <t>Greer</t>
  </si>
  <si>
    <t>Weber</t>
  </si>
  <si>
    <t>Barker</t>
  </si>
  <si>
    <t>Adrienne</t>
  </si>
  <si>
    <t>Pham</t>
  </si>
  <si>
    <t>Andrade</t>
  </si>
  <si>
    <t>Frederick</t>
  </si>
  <si>
    <t>Whitney</t>
  </si>
  <si>
    <t>Mathis</t>
  </si>
  <si>
    <t>Peters</t>
  </si>
  <si>
    <t>Barton</t>
  </si>
  <si>
    <t>Melinda</t>
  </si>
  <si>
    <t>Cohen</t>
  </si>
  <si>
    <t>Huff</t>
  </si>
  <si>
    <t>Alex</t>
  </si>
  <si>
    <t>Mario</t>
  </si>
  <si>
    <t>Day</t>
  </si>
  <si>
    <t>Glass</t>
  </si>
  <si>
    <t>Whitaker</t>
  </si>
  <si>
    <t>Rice</t>
  </si>
  <si>
    <t>Mccann</t>
  </si>
  <si>
    <t>Berger</t>
  </si>
  <si>
    <t>Jon</t>
  </si>
  <si>
    <t>Howe</t>
  </si>
  <si>
    <t>Chang</t>
  </si>
  <si>
    <t>Rachael</t>
  </si>
  <si>
    <t>Terrell</t>
  </si>
  <si>
    <t>Potts</t>
  </si>
  <si>
    <t>Zamora</t>
  </si>
  <si>
    <t>Carrie</t>
  </si>
  <si>
    <t>Trevor</t>
  </si>
  <si>
    <t>Jeremiah</t>
  </si>
  <si>
    <t>Bean</t>
  </si>
  <si>
    <t>Wells</t>
  </si>
  <si>
    <t>Burnett</t>
  </si>
  <si>
    <t>Valencia</t>
  </si>
  <si>
    <t>Erica</t>
  </si>
  <si>
    <t>Ricky</t>
  </si>
  <si>
    <t>Hubbard</t>
  </si>
  <si>
    <t>Wayne</t>
  </si>
  <si>
    <t>Yvonne</t>
  </si>
  <si>
    <t>Traci</t>
  </si>
  <si>
    <t>Braun</t>
  </si>
  <si>
    <t>Osborne</t>
  </si>
  <si>
    <t>Richmond</t>
  </si>
  <si>
    <t>Loretta</t>
  </si>
  <si>
    <t>Shelley</t>
  </si>
  <si>
    <t>Perkins</t>
  </si>
  <si>
    <t>Wilkerson</t>
  </si>
  <si>
    <t>Lowery</t>
  </si>
  <si>
    <t>Gould</t>
  </si>
  <si>
    <t>Kathy</t>
  </si>
  <si>
    <t>Franco</t>
  </si>
  <si>
    <t>Kristie</t>
  </si>
  <si>
    <t>Carol</t>
  </si>
  <si>
    <t>Moody</t>
  </si>
  <si>
    <t>Wolf</t>
  </si>
  <si>
    <t>Natasha</t>
  </si>
  <si>
    <t>Leonard</t>
  </si>
  <si>
    <t>Soto</t>
  </si>
  <si>
    <t>Browning</t>
  </si>
  <si>
    <t>Kaitlin</t>
  </si>
  <si>
    <t>Robyn</t>
  </si>
  <si>
    <t>Downs</t>
  </si>
  <si>
    <t>Duffy</t>
  </si>
  <si>
    <t>Estes</t>
  </si>
  <si>
    <t>Kristina</t>
  </si>
  <si>
    <t>Briana</t>
  </si>
  <si>
    <t>Hart</t>
  </si>
  <si>
    <t>Miles</t>
  </si>
  <si>
    <t>Friedman</t>
  </si>
  <si>
    <t>Jillian</t>
  </si>
  <si>
    <t>Tanya</t>
  </si>
  <si>
    <t>Mendez</t>
  </si>
  <si>
    <t>Tyrone</t>
  </si>
  <si>
    <t>Krystal</t>
  </si>
  <si>
    <t>Obrien</t>
  </si>
  <si>
    <t>Mercer</t>
  </si>
  <si>
    <t>Michaela</t>
  </si>
  <si>
    <t>Key</t>
  </si>
  <si>
    <t>Valenzuela</t>
  </si>
  <si>
    <t>Alec</t>
  </si>
  <si>
    <t>Sellers</t>
  </si>
  <si>
    <t>Shelly</t>
  </si>
  <si>
    <t>Jermaine</t>
  </si>
  <si>
    <t>Adrian</t>
  </si>
  <si>
    <t>Little</t>
  </si>
  <si>
    <t>Hobbs</t>
  </si>
  <si>
    <t>Ellison</t>
  </si>
  <si>
    <t>Holly</t>
  </si>
  <si>
    <t>Curtis</t>
  </si>
  <si>
    <t>Beard</t>
  </si>
  <si>
    <t>West</t>
  </si>
  <si>
    <t>Crosby</t>
  </si>
  <si>
    <t>Kidd</t>
  </si>
  <si>
    <t>Ebony</t>
  </si>
  <si>
    <t>Tami</t>
  </si>
  <si>
    <t>Gerald</t>
  </si>
  <si>
    <t>Snow</t>
  </si>
  <si>
    <t>Alexis</t>
  </si>
  <si>
    <t>Kaylee</t>
  </si>
  <si>
    <t>Wilkins</t>
  </si>
  <si>
    <t>Serrano</t>
  </si>
  <si>
    <t>Margaret</t>
  </si>
  <si>
    <t>Maddox</t>
  </si>
  <si>
    <t>Dyer</t>
  </si>
  <si>
    <t>Daryl</t>
  </si>
  <si>
    <t>Meghan</t>
  </si>
  <si>
    <t>Mcbride</t>
  </si>
  <si>
    <t>Foster</t>
  </si>
  <si>
    <t>Ana</t>
  </si>
  <si>
    <t>Janice</t>
  </si>
  <si>
    <t>Gregg</t>
  </si>
  <si>
    <t>Beck</t>
  </si>
  <si>
    <t>Cochran</t>
  </si>
  <si>
    <t>Stacie</t>
  </si>
  <si>
    <t>Watkins</t>
  </si>
  <si>
    <t>Sherri</t>
  </si>
  <si>
    <t>Mallory</t>
  </si>
  <si>
    <t>Robles</t>
  </si>
  <si>
    <t>Leblanc</t>
  </si>
  <si>
    <t>Schmitt</t>
  </si>
  <si>
    <t>Farley</t>
  </si>
  <si>
    <t>Houston</t>
  </si>
  <si>
    <t>Suzanne</t>
  </si>
  <si>
    <t>Francisco</t>
  </si>
  <si>
    <t>Reid</t>
  </si>
  <si>
    <t>Rowland</t>
  </si>
  <si>
    <t>Nixon</t>
  </si>
  <si>
    <t>Albert</t>
  </si>
  <si>
    <t>Meyer</t>
  </si>
  <si>
    <t>Davenport</t>
  </si>
  <si>
    <t>Chris</t>
  </si>
  <si>
    <t>Terri</t>
  </si>
  <si>
    <t>Charlene</t>
  </si>
  <si>
    <t>Simpson</t>
  </si>
  <si>
    <t>Oconnor</t>
  </si>
  <si>
    <t>Angie</t>
  </si>
  <si>
    <t>Singleton</t>
  </si>
  <si>
    <t>Ponce</t>
  </si>
  <si>
    <t>Rowe</t>
  </si>
  <si>
    <t>Archer</t>
  </si>
  <si>
    <t>Brendan</t>
  </si>
  <si>
    <t>Bullock</t>
  </si>
  <si>
    <t>Mosley</t>
  </si>
  <si>
    <t>Howell</t>
  </si>
  <si>
    <t>Cannon</t>
  </si>
  <si>
    <t>Dave</t>
  </si>
  <si>
    <t>Misty</t>
  </si>
  <si>
    <t>Ritter</t>
  </si>
  <si>
    <t>Conrad</t>
  </si>
  <si>
    <t>Duncan</t>
  </si>
  <si>
    <t>Hancock</t>
  </si>
  <si>
    <t>Johnathan</t>
  </si>
  <si>
    <t>Clinton</t>
  </si>
  <si>
    <t>Levy</t>
  </si>
  <si>
    <t>Fleming</t>
  </si>
  <si>
    <t>Hendricks</t>
  </si>
  <si>
    <t>Cummings</t>
  </si>
  <si>
    <t>Salinas</t>
  </si>
  <si>
    <t>Norris</t>
  </si>
  <si>
    <t>Buckley</t>
  </si>
  <si>
    <t>Griffith</t>
  </si>
  <si>
    <t>Peggy</t>
  </si>
  <si>
    <t>Francis</t>
  </si>
  <si>
    <t>Gilmore</t>
  </si>
  <si>
    <t>Vickie</t>
  </si>
  <si>
    <t>Marilyn</t>
  </si>
  <si>
    <t>Blanchard</t>
  </si>
  <si>
    <t>Dunn</t>
  </si>
  <si>
    <t>May</t>
  </si>
  <si>
    <t>Hartman</t>
  </si>
  <si>
    <t>Sheppard</t>
  </si>
  <si>
    <t>Maynard</t>
  </si>
  <si>
    <t>Huerta</t>
  </si>
  <si>
    <t>Xavier</t>
  </si>
  <si>
    <t>Sampson</t>
  </si>
  <si>
    <t>Gillespie</t>
  </si>
  <si>
    <t>Gibbs</t>
  </si>
  <si>
    <t>Davila</t>
  </si>
  <si>
    <t>Mathew</t>
  </si>
  <si>
    <t>Dana</t>
  </si>
  <si>
    <t>Elaine</t>
  </si>
  <si>
    <t>Joyce</t>
  </si>
  <si>
    <t>Mariah</t>
  </si>
  <si>
    <t>Copeland</t>
  </si>
  <si>
    <t>Daugherty</t>
  </si>
  <si>
    <t>Max</t>
  </si>
  <si>
    <t>Hatfield</t>
  </si>
  <si>
    <t>Cathy</t>
  </si>
  <si>
    <t>Ortega</t>
  </si>
  <si>
    <t>Burns</t>
  </si>
  <si>
    <t>Villa</t>
  </si>
  <si>
    <t>Carson</t>
  </si>
  <si>
    <t>Castro</t>
  </si>
  <si>
    <t>Cheyenne</t>
  </si>
  <si>
    <t>Katrina</t>
  </si>
  <si>
    <t>Marissa</t>
  </si>
  <si>
    <t>Price</t>
  </si>
  <si>
    <t>Gill</t>
  </si>
  <si>
    <t>Hector</t>
  </si>
  <si>
    <t>Gates</t>
  </si>
  <si>
    <t>Brewer</t>
  </si>
  <si>
    <t>Calvin</t>
  </si>
  <si>
    <t>Pruitt</t>
  </si>
  <si>
    <t>Frazier</t>
  </si>
  <si>
    <t>Dwayne</t>
  </si>
  <si>
    <t>Franklin</t>
  </si>
  <si>
    <t>Holder</t>
  </si>
  <si>
    <t>Camacho</t>
  </si>
  <si>
    <t>Odom</t>
  </si>
  <si>
    <t>Connor</t>
  </si>
  <si>
    <t>Meza</t>
  </si>
  <si>
    <t>Sherman</t>
  </si>
  <si>
    <t>Kemp</t>
  </si>
  <si>
    <t>Bridget</t>
  </si>
  <si>
    <t>Galvan</t>
  </si>
  <si>
    <t>Schneider</t>
  </si>
  <si>
    <t>Delacruz</t>
  </si>
  <si>
    <t>Savannah</t>
  </si>
  <si>
    <t>Short</t>
  </si>
  <si>
    <t>Clay</t>
  </si>
  <si>
    <t>Hensley</t>
  </si>
  <si>
    <t>Reese</t>
  </si>
  <si>
    <t>Mack</t>
  </si>
  <si>
    <t>Gabriella</t>
  </si>
  <si>
    <t>Shepherd</t>
  </si>
  <si>
    <t>Bill</t>
  </si>
  <si>
    <t>Alison</t>
  </si>
  <si>
    <t>Meadows</t>
  </si>
  <si>
    <t>Schwartz</t>
  </si>
  <si>
    <t>Nolan</t>
  </si>
  <si>
    <t>Werner</t>
  </si>
  <si>
    <t>Product_brand</t>
  </si>
  <si>
    <t>Sales range</t>
  </si>
  <si>
    <t>NEGATIVE SALES</t>
  </si>
  <si>
    <t>POSITIVE SALES</t>
  </si>
  <si>
    <t>Timeline</t>
  </si>
  <si>
    <t>Values</t>
  </si>
  <si>
    <t>Forecast</t>
  </si>
  <si>
    <t>Lower Confidence Bound</t>
  </si>
  <si>
    <t>Upper Confidence Bound</t>
  </si>
  <si>
    <t>CITY</t>
  </si>
  <si>
    <t>TOTAL PROFIT</t>
  </si>
  <si>
    <t>SEGMENT</t>
  </si>
  <si>
    <t>AVG DISCOUNT</t>
  </si>
  <si>
    <t>TOTAL REVENUE</t>
  </si>
  <si>
    <t>TOTAL SALES AMT</t>
  </si>
  <si>
    <t>Mean</t>
  </si>
  <si>
    <t>Standard Error</t>
  </si>
  <si>
    <t>Median</t>
  </si>
  <si>
    <t>Mode</t>
  </si>
  <si>
    <t>Standard Deviation</t>
  </si>
  <si>
    <t>Sample Variance</t>
  </si>
  <si>
    <t>Kurtosis</t>
  </si>
  <si>
    <t>Skewness</t>
  </si>
  <si>
    <t>Range</t>
  </si>
  <si>
    <t>Minimum</t>
  </si>
  <si>
    <t>Maximum</t>
  </si>
  <si>
    <t>Sum</t>
  </si>
  <si>
    <t>Count</t>
  </si>
  <si>
    <t>Largest(1)</t>
  </si>
  <si>
    <t>Smallest(1)</t>
  </si>
  <si>
    <t>Confidence Level(95%)</t>
  </si>
  <si>
    <t>SUMMARY STATISTICS  USING ANALYSIS TOOLPAK</t>
  </si>
  <si>
    <t>Jim</t>
  </si>
  <si>
    <t>Audrey</t>
  </si>
  <si>
    <t>Order id</t>
  </si>
  <si>
    <t>First name</t>
  </si>
  <si>
    <t>Unit_price</t>
  </si>
  <si>
    <t>UNIT PRICE</t>
  </si>
  <si>
    <t>FORMULA=XLOOKUP(N4,$S$3:$S$10,$X$3:$X$10,"NOT FOUND",0)</t>
  </si>
  <si>
    <t>ORDER TABLE</t>
  </si>
  <si>
    <r>
      <t xml:space="preserve">       </t>
    </r>
    <r>
      <rPr>
        <b/>
        <sz val="12"/>
        <color theme="1"/>
        <rFont val="Aptos Narrow"/>
        <family val="2"/>
        <scheme val="minor"/>
      </rPr>
      <t xml:space="preserve"> XLOOKUP FUNCTION</t>
    </r>
  </si>
  <si>
    <t xml:space="preserve">                       INDEX</t>
  </si>
  <si>
    <r>
      <t xml:space="preserve">                      </t>
    </r>
    <r>
      <rPr>
        <b/>
        <sz val="12"/>
        <color theme="1"/>
        <rFont val="Aptos Narrow"/>
        <family val="2"/>
        <scheme val="minor"/>
      </rPr>
      <t>MATCH</t>
    </r>
  </si>
  <si>
    <r>
      <t xml:space="preserve"> </t>
    </r>
    <r>
      <rPr>
        <b/>
        <sz val="12"/>
        <color theme="1"/>
        <rFont val="Aptos Narrow"/>
        <family val="2"/>
        <scheme val="minor"/>
      </rPr>
      <t xml:space="preserve"> CITY TABLE </t>
    </r>
  </si>
  <si>
    <r>
      <t xml:space="preserve">                                                    </t>
    </r>
    <r>
      <rPr>
        <b/>
        <sz val="12"/>
        <color theme="1"/>
        <rFont val="Aptos Narrow"/>
        <family val="2"/>
        <scheme val="minor"/>
      </rPr>
      <t xml:space="preserve">                         INDEX AND MATCH</t>
    </r>
  </si>
  <si>
    <t xml:space="preserve">                                                         FORMULA=MATCH(N3,Table1[Order id],0)</t>
  </si>
  <si>
    <t xml:space="preserve">                                                            FORMULA=INDEX(Table4,4,3)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</si>
</sst>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rgb="FF196B24"/>
      <name val="Aptos Narrow"/>
      <family val="2"/>
      <scheme val="minor"/>
    </font>
    <font>
      <sz val="11"/>
      <color rgb="FF000000"/>
      <name val="Aptos Narrow"/>
      <family val="2"/>
      <scheme val="minor"/>
    </font>
    <font>
      <sz val="8"/>
      <name val="Aptos Narrow"/>
      <family val="2"/>
      <scheme val="minor"/>
    </font>
    <font>
      <b/>
      <sz val="11"/>
      <color theme="8"/>
      <name val="Aptos Narrow"/>
      <family val="2"/>
      <scheme val="minor"/>
    </font>
    <font>
      <b/>
      <sz val="14"/>
      <color theme="6" tint="-0.249977111117893"/>
      <name val="Aptos Narrow"/>
      <family val="2"/>
      <scheme val="minor"/>
    </font>
    <font>
      <b/>
      <sz val="12"/>
      <color theme="1"/>
      <name val="Aptos Narrow"/>
      <family val="2"/>
      <scheme val="minor"/>
    </font>
    <font>
      <sz val="11"/>
      <color rgb="FF290DB3"/>
      <name val="Aptos Narrow"/>
      <family val="2"/>
      <scheme val="minor"/>
    </font>
    <font>
      <b/>
      <sz val="14"/>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9" tint="0.59999389629810485"/>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
      <left/>
      <right/>
      <top/>
      <bottom style="thin">
        <color theme="9"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14" fontId="0" fillId="0" borderId="0" xfId="0" applyNumberFormat="1"/>
    <xf numFmtId="10" fontId="0" fillId="0" borderId="0" xfId="0" applyNumberFormat="1"/>
    <xf numFmtId="164" fontId="0" fillId="0" borderId="0" xfId="0" applyNumberFormat="1"/>
    <xf numFmtId="49" fontId="0" fillId="0" borderId="0" xfId="0" applyNumberFormat="1"/>
    <xf numFmtId="0" fontId="18" fillId="0" borderId="0" xfId="0" applyFont="1"/>
    <xf numFmtId="0" fontId="19" fillId="0" borderId="0" xfId="0" applyFont="1" applyAlignment="1">
      <alignment horizontal="left" vertical="center"/>
    </xf>
    <xf numFmtId="0" fontId="0" fillId="33" borderId="0" xfId="0" applyFill="1"/>
    <xf numFmtId="0" fontId="0" fillId="33" borderId="0" xfId="0" applyFill="1" applyAlignment="1">
      <alignment horizontal="left"/>
    </xf>
    <xf numFmtId="164" fontId="0" fillId="33" borderId="0" xfId="0" applyNumberFormat="1" applyFill="1"/>
    <xf numFmtId="10" fontId="0" fillId="33" borderId="0" xfId="0" applyNumberFormat="1" applyFill="1"/>
    <xf numFmtId="0" fontId="0" fillId="35" borderId="10" xfId="0" applyFill="1" applyBorder="1"/>
    <xf numFmtId="0" fontId="0" fillId="0" borderId="10" xfId="0" applyBorder="1"/>
    <xf numFmtId="0" fontId="16" fillId="0" borderId="0" xfId="0" applyFont="1"/>
    <xf numFmtId="0" fontId="21" fillId="0" borderId="0" xfId="0" applyFont="1"/>
    <xf numFmtId="0" fontId="22" fillId="0" borderId="0" xfId="0" applyFont="1"/>
    <xf numFmtId="49" fontId="0" fillId="0" borderId="10" xfId="0" applyNumberFormat="1" applyBorder="1"/>
    <xf numFmtId="49" fontId="0" fillId="35" borderId="10" xfId="0" applyNumberFormat="1" applyFill="1" applyBorder="1"/>
    <xf numFmtId="0" fontId="23" fillId="0" borderId="0" xfId="0" applyFont="1"/>
    <xf numFmtId="0" fontId="13" fillId="34" borderId="12" xfId="0" applyFont="1" applyFill="1" applyBorder="1"/>
    <xf numFmtId="0" fontId="24" fillId="0" borderId="11" xfId="0" applyFont="1" applyBorder="1"/>
    <xf numFmtId="49" fontId="24" fillId="0" borderId="10" xfId="0" applyNumberFormat="1" applyFont="1" applyBorder="1"/>
    <xf numFmtId="49" fontId="0" fillId="0" borderId="12" xfId="0" applyNumberFormat="1" applyBorder="1"/>
    <xf numFmtId="0" fontId="13" fillId="34" borderId="10" xfId="0" applyFont="1" applyFill="1" applyBorder="1"/>
    <xf numFmtId="164" fontId="0" fillId="35" borderId="10" xfId="0" applyNumberFormat="1" applyFill="1" applyBorder="1"/>
    <xf numFmtId="164" fontId="0" fillId="0" borderId="10" xfId="0" applyNumberFormat="1" applyBorder="1"/>
    <xf numFmtId="0" fontId="1" fillId="31" borderId="0" xfId="40"/>
    <xf numFmtId="0" fontId="1" fillId="31" borderId="0" xfId="40" applyAlignment="1">
      <alignment vertical="center"/>
    </xf>
    <xf numFmtId="0" fontId="0" fillId="31" borderId="0" xfId="40" applyFont="1"/>
    <xf numFmtId="0" fontId="23" fillId="31" borderId="0" xfId="40" applyFont="1"/>
    <xf numFmtId="0" fontId="0" fillId="36" borderId="0" xfId="0" applyFill="1"/>
    <xf numFmtId="0" fontId="25" fillId="0" borderId="0" xfId="0" applyFont="1"/>
    <xf numFmtId="164" fontId="24" fillId="0" borderId="10" xfId="0" applyNumberFormat="1"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0">
    <dxf>
      <fill>
        <patternFill>
          <bgColor theme="7" tint="0.39994506668294322"/>
        </patternFill>
      </fill>
    </dxf>
    <dxf>
      <numFmt numFmtId="164" formatCode="&quot;₹&quot;\ #,##0.00"/>
    </dxf>
    <dxf>
      <numFmt numFmtId="164" formatCode="&quot;₹&quot;\ #,##0.00"/>
    </dxf>
    <dxf>
      <numFmt numFmtId="30" formatCode="@"/>
    </dxf>
    <dxf>
      <numFmt numFmtId="0" formatCode="General"/>
    </dxf>
    <dxf>
      <numFmt numFmtId="164" formatCode="&quot;₹&quot;\ #,##0.00"/>
    </dxf>
    <dxf>
      <numFmt numFmtId="30" formatCode="@"/>
    </dxf>
    <dxf>
      <numFmt numFmtId="30" formatCode="@"/>
    </dxf>
    <dxf>
      <numFmt numFmtId="19" formatCode="dd/mm/yyyy"/>
    </dxf>
    <dxf>
      <numFmt numFmtId="164" formatCode="&quot;₹&quot;\ #,##0.00"/>
    </dxf>
    <dxf>
      <numFmt numFmtId="14" formatCode="0.00%"/>
    </dxf>
    <dxf>
      <numFmt numFmtId="164" formatCode="&quot;₹&quot;\ #,##0.00"/>
    </dxf>
    <dxf>
      <numFmt numFmtId="164" formatCode="&quot;₹&quot;\ #,##0.00"/>
    </dxf>
    <dxf>
      <numFmt numFmtId="0" formatCode="General"/>
    </dxf>
    <dxf>
      <numFmt numFmtId="30" formatCode="@"/>
    </dxf>
    <dxf>
      <numFmt numFmtId="30" formatCode="@"/>
    </dxf>
    <dxf>
      <numFmt numFmtId="30" formatCode="@"/>
    </dxf>
    <dxf>
      <numFmt numFmtId="0" formatCode="General"/>
    </dxf>
    <dxf>
      <font>
        <b val="0"/>
        <i val="0"/>
        <strike val="0"/>
        <condense val="0"/>
        <extend val="0"/>
        <outline val="0"/>
        <shadow val="0"/>
        <u val="none"/>
        <vertAlign val="baseline"/>
        <sz val="11"/>
        <color theme="1"/>
        <name val="Aptos Narrow"/>
        <family val="2"/>
        <scheme val="minor"/>
      </font>
      <numFmt numFmtId="164" formatCode="&quot;₹&quot;\ #,##0.00"/>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left style="thin">
          <color theme="9" tint="0.39997558519241921"/>
        </left>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numFmt numFmtId="30" formatCode="@"/>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numFmt numFmtId="30" formatCode="@"/>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font>
        <b val="0"/>
        <i val="0"/>
        <strike val="0"/>
        <condense val="0"/>
        <extend val="0"/>
        <outline val="0"/>
        <shadow val="0"/>
        <u val="none"/>
        <vertAlign val="baseline"/>
        <sz val="11"/>
        <color theme="1"/>
        <name val="Aptos Narrow"/>
        <family val="2"/>
        <scheme val="minor"/>
      </font>
    </dxf>
    <dxf>
      <border outline="0">
        <bottom style="thin">
          <color theme="9" tint="0.39997558519241921"/>
        </bottom>
      </border>
    </dxf>
    <dxf>
      <font>
        <b/>
        <i val="0"/>
        <strike val="0"/>
        <condense val="0"/>
        <extend val="0"/>
        <outline val="0"/>
        <shadow val="0"/>
        <u val="none"/>
        <vertAlign val="baseline"/>
        <sz val="11"/>
        <color theme="0"/>
        <name val="Aptos Narrow"/>
        <family val="2"/>
        <scheme val="minor"/>
      </font>
      <fill>
        <patternFill patternType="solid">
          <fgColor theme="9"/>
          <bgColor theme="9"/>
        </patternFill>
      </fill>
    </dxf>
    <dxf>
      <numFmt numFmtId="164" formatCode="&quot;₹&quot;\ #,##0.00"/>
    </dxf>
    <dxf>
      <numFmt numFmtId="164" formatCode="&quot;₹&quot;\ #,##0.00"/>
    </dxf>
    <dxf>
      <numFmt numFmtId="164" formatCode="&quot;₹&quot;\ #,##0.00"/>
    </dxf>
    <dxf>
      <numFmt numFmtId="19" formatCode="dd/mm/yyyy"/>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s>
  <tableStyles count="0" defaultTableStyle="TableStyleMedium2" defaultPivotStyle="PivotStyleLight16"/>
  <colors>
    <mruColors>
      <color rgb="FF290D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0.13227505503877507"/>
          <c:y val="2.0532783869306057E-2"/>
          <c:w val="0.85610250104127417"/>
          <c:h val="0.67103392449775556"/>
        </c:manualLayout>
      </c:layout>
      <c:lineChart>
        <c:grouping val="standard"/>
        <c:varyColors val="0"/>
        <c:ser>
          <c:idx val="0"/>
          <c:order val="0"/>
          <c:tx>
            <c:strRef>
              <c:f>FORECAST!$B$1</c:f>
              <c:strCache>
                <c:ptCount val="1"/>
                <c:pt idx="0">
                  <c:v>Values</c:v>
                </c:pt>
              </c:strCache>
            </c:strRef>
          </c:tx>
          <c:spPr>
            <a:ln w="34925" cap="rnd">
              <a:solidFill>
                <a:schemeClr val="accent2">
                  <a:shade val="58000"/>
                </a:schemeClr>
              </a:solidFill>
              <a:round/>
            </a:ln>
            <a:effectLst>
              <a:outerShdw blurRad="57150" dist="19050" dir="5400000" algn="ctr" rotWithShape="0">
                <a:srgbClr val="000000">
                  <a:alpha val="63000"/>
                </a:srgbClr>
              </a:outerShdw>
            </a:effectLst>
          </c:spPr>
          <c:marker>
            <c:symbol val="none"/>
          </c:marker>
          <c:val>
            <c:numRef>
              <c:f>FORECAST!$B$2:$B$915</c:f>
              <c:numCache>
                <c:formatCode>General</c:formatCode>
                <c:ptCount val="21"/>
              </c:numCache>
            </c:numRef>
          </c:val>
          <c:smooth val="0"/>
          <c:extLst>
            <c:ext xmlns:c16="http://schemas.microsoft.com/office/drawing/2014/chart" uri="{C3380CC4-5D6E-409C-BE32-E72D297353CC}">
              <c16:uniqueId val="{00000000-4F0B-4463-AEEC-2572D0A7B9AE}"/>
            </c:ext>
          </c:extLst>
        </c:ser>
        <c:ser>
          <c:idx val="1"/>
          <c:order val="1"/>
          <c:tx>
            <c:strRef>
              <c:f>FORECAST!$C$1</c:f>
              <c:strCache>
                <c:ptCount val="1"/>
                <c:pt idx="0">
                  <c:v>Forecast</c:v>
                </c:pt>
              </c:strCache>
            </c:strRef>
          </c:tx>
          <c:spPr>
            <a:ln w="34925" cap="rnd">
              <a:solidFill>
                <a:schemeClr val="accent2">
                  <a:shade val="86000"/>
                </a:schemeClr>
              </a:solidFill>
              <a:round/>
            </a:ln>
            <a:effectLst>
              <a:outerShdw blurRad="57150" dist="19050" dir="5400000" algn="ctr" rotWithShape="0">
                <a:srgbClr val="000000">
                  <a:alpha val="63000"/>
                </a:srgbClr>
              </a:outerShdw>
            </a:effectLst>
          </c:spPr>
          <c:marker>
            <c:symbol val="none"/>
          </c:marker>
          <c:trendline>
            <c:spPr>
              <a:ln w="19050" cap="rnd">
                <a:solidFill>
                  <a:schemeClr val="accent2">
                    <a:shade val="86000"/>
                  </a:schemeClr>
                </a:solidFill>
              </a:ln>
              <a:effectLst/>
            </c:spPr>
            <c:trendlineType val="linear"/>
            <c:dispRSqr val="0"/>
            <c:dispEq val="0"/>
          </c:trendline>
          <c:cat>
            <c:numRef>
              <c:f>FORECAST!$A$2:$A$915</c:f>
              <c:numCache>
                <c:formatCode>m/d/yyyy</c:formatCode>
                <c:ptCount val="21"/>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numCache>
            </c:numRef>
          </c:cat>
          <c:val>
            <c:numRef>
              <c:f>FORECAST!$C$2:$C$915</c:f>
              <c:numCache>
                <c:formatCode>"₹"\ #,##0.00</c:formatCode>
                <c:ptCount val="21"/>
                <c:pt idx="0">
                  <c:v>843.46896416877348</c:v>
                </c:pt>
                <c:pt idx="1">
                  <c:v>502.34462928020662</c:v>
                </c:pt>
                <c:pt idx="2">
                  <c:v>-725.23656422519184</c:v>
                </c:pt>
                <c:pt idx="3">
                  <c:v>1200.1842948619783</c:v>
                </c:pt>
                <c:pt idx="4">
                  <c:v>2203.4288424986498</c:v>
                </c:pt>
                <c:pt idx="5">
                  <c:v>1262.8266602132276</c:v>
                </c:pt>
                <c:pt idx="6">
                  <c:v>3318.6837326024388</c:v>
                </c:pt>
                <c:pt idx="7">
                  <c:v>1365.0196881533302</c:v>
                </c:pt>
                <c:pt idx="8">
                  <c:v>-1205.791144222093</c:v>
                </c:pt>
                <c:pt idx="9">
                  <c:v>1309.9278301626282</c:v>
                </c:pt>
                <c:pt idx="10">
                  <c:v>15.301134002225581</c:v>
                </c:pt>
                <c:pt idx="11">
                  <c:v>312.62594014414117</c:v>
                </c:pt>
                <c:pt idx="12">
                  <c:v>2593.6893595208994</c:v>
                </c:pt>
                <c:pt idx="13">
                  <c:v>907.36117698730004</c:v>
                </c:pt>
                <c:pt idx="14">
                  <c:v>685.47768609629543</c:v>
                </c:pt>
                <c:pt idx="15">
                  <c:v>1307.3918257158969</c:v>
                </c:pt>
                <c:pt idx="16">
                  <c:v>256.97331641177777</c:v>
                </c:pt>
                <c:pt idx="17">
                  <c:v>-1000.9121417908225</c:v>
                </c:pt>
                <c:pt idx="18">
                  <c:v>557.2598279871454</c:v>
                </c:pt>
                <c:pt idx="19">
                  <c:v>288.53005541994594</c:v>
                </c:pt>
                <c:pt idx="20">
                  <c:v>539.30071516778321</c:v>
                </c:pt>
              </c:numCache>
            </c:numRef>
          </c:val>
          <c:smooth val="0"/>
          <c:extLst>
            <c:ext xmlns:c16="http://schemas.microsoft.com/office/drawing/2014/chart" uri="{C3380CC4-5D6E-409C-BE32-E72D297353CC}">
              <c16:uniqueId val="{00000001-4F0B-4463-AEEC-2572D0A7B9AE}"/>
            </c:ext>
          </c:extLst>
        </c:ser>
        <c:ser>
          <c:idx val="2"/>
          <c:order val="2"/>
          <c:tx>
            <c:strRef>
              <c:f>FORECAST!$D$1</c:f>
              <c:strCache>
                <c:ptCount val="1"/>
                <c:pt idx="0">
                  <c:v>Lower Confidence Bound</c:v>
                </c:pt>
              </c:strCache>
            </c:strRef>
          </c:tx>
          <c:spPr>
            <a:ln w="34925" cap="rnd">
              <a:solidFill>
                <a:schemeClr val="accent2">
                  <a:tint val="86000"/>
                </a:schemeClr>
              </a:solidFill>
              <a:round/>
            </a:ln>
            <a:effectLst>
              <a:outerShdw blurRad="57150" dist="19050" dir="5400000" algn="ctr" rotWithShape="0">
                <a:srgbClr val="000000">
                  <a:alpha val="63000"/>
                </a:srgbClr>
              </a:outerShdw>
            </a:effectLst>
          </c:spPr>
          <c:marker>
            <c:symbol val="none"/>
          </c:marker>
          <c:cat>
            <c:numRef>
              <c:f>FORECAST!$A$2:$A$915</c:f>
              <c:numCache>
                <c:formatCode>m/d/yyyy</c:formatCode>
                <c:ptCount val="21"/>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numCache>
            </c:numRef>
          </c:cat>
          <c:val>
            <c:numRef>
              <c:f>FORECAST!$D$2:$D$915</c:f>
              <c:numCache>
                <c:formatCode>"₹"\ #,##0.00</c:formatCode>
                <c:ptCount val="21"/>
                <c:pt idx="0">
                  <c:v>-37681.292430026297</c:v>
                </c:pt>
                <c:pt idx="1">
                  <c:v>-38183.802618204514</c:v>
                </c:pt>
                <c:pt idx="2">
                  <c:v>-39572.874932368475</c:v>
                </c:pt>
                <c:pt idx="3">
                  <c:v>-37809.051017645681</c:v>
                </c:pt>
                <c:pt idx="4">
                  <c:v>-36967.509784380862</c:v>
                </c:pt>
                <c:pt idx="5">
                  <c:v>-38069.922187503522</c:v>
                </c:pt>
                <c:pt idx="6">
                  <c:v>-36425.542179994794</c:v>
                </c:pt>
                <c:pt idx="7">
                  <c:v>-38540.218566149953</c:v>
                </c:pt>
                <c:pt idx="8">
                  <c:v>-41272.157698297895</c:v>
                </c:pt>
                <c:pt idx="9">
                  <c:v>-38917.683395625434</c:v>
                </c:pt>
                <c:pt idx="10">
                  <c:v>-40373.671541698401</c:v>
                </c:pt>
                <c:pt idx="11">
                  <c:v>-40237.825362456861</c:v>
                </c:pt>
                <c:pt idx="12">
                  <c:v>-38118.358138419375</c:v>
                </c:pt>
                <c:pt idx="13">
                  <c:v>-39966.400468979438</c:v>
                </c:pt>
                <c:pt idx="14">
                  <c:v>-40350.116437760538</c:v>
                </c:pt>
                <c:pt idx="15">
                  <c:v>-39890.153476127074</c:v>
                </c:pt>
                <c:pt idx="16">
                  <c:v>-41102.642226927055</c:v>
                </c:pt>
                <c:pt idx="17">
                  <c:v>-42522.717346852827</c:v>
                </c:pt>
                <c:pt idx="18">
                  <c:v>-41126.854809166703</c:v>
                </c:pt>
                <c:pt idx="19">
                  <c:v>-41558.014127877046</c:v>
                </c:pt>
                <c:pt idx="20">
                  <c:v>-41469.793465662537</c:v>
                </c:pt>
              </c:numCache>
            </c:numRef>
          </c:val>
          <c:smooth val="0"/>
          <c:extLst>
            <c:ext xmlns:c16="http://schemas.microsoft.com/office/drawing/2014/chart" uri="{C3380CC4-5D6E-409C-BE32-E72D297353CC}">
              <c16:uniqueId val="{00000002-4F0B-4463-AEEC-2572D0A7B9AE}"/>
            </c:ext>
          </c:extLst>
        </c:ser>
        <c:ser>
          <c:idx val="3"/>
          <c:order val="3"/>
          <c:tx>
            <c:strRef>
              <c:f>FORECAST!$E$1</c:f>
              <c:strCache>
                <c:ptCount val="1"/>
                <c:pt idx="0">
                  <c:v>Upper Confidence Bound</c:v>
                </c:pt>
              </c:strCache>
            </c:strRef>
          </c:tx>
          <c:spPr>
            <a:ln w="34925" cap="rnd">
              <a:solidFill>
                <a:schemeClr val="accent2">
                  <a:tint val="58000"/>
                </a:schemeClr>
              </a:solidFill>
              <a:round/>
            </a:ln>
            <a:effectLst>
              <a:outerShdw blurRad="57150" dist="19050" dir="5400000" algn="ctr" rotWithShape="0">
                <a:srgbClr val="000000">
                  <a:alpha val="63000"/>
                </a:srgbClr>
              </a:outerShdw>
            </a:effectLst>
          </c:spPr>
          <c:marker>
            <c:symbol val="none"/>
          </c:marker>
          <c:cat>
            <c:numRef>
              <c:f>FORECAST!$A$2:$A$915</c:f>
              <c:numCache>
                <c:formatCode>m/d/yyyy</c:formatCode>
                <c:ptCount val="21"/>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numCache>
            </c:numRef>
          </c:cat>
          <c:val>
            <c:numRef>
              <c:f>FORECAST!$E$2:$E$915</c:f>
              <c:numCache>
                <c:formatCode>"₹"\ #,##0.00</c:formatCode>
                <c:ptCount val="21"/>
                <c:pt idx="0">
                  <c:v>39368.230358363842</c:v>
                </c:pt>
                <c:pt idx="1">
                  <c:v>39188.491876764921</c:v>
                </c:pt>
                <c:pt idx="2">
                  <c:v>38122.401803918096</c:v>
                </c:pt>
                <c:pt idx="3">
                  <c:v>40209.419607369644</c:v>
                </c:pt>
                <c:pt idx="4">
                  <c:v>41374.367469378165</c:v>
                </c:pt>
                <c:pt idx="5">
                  <c:v>40595.575507929978</c:v>
                </c:pt>
                <c:pt idx="6">
                  <c:v>43062.909645199674</c:v>
                </c:pt>
                <c:pt idx="7">
                  <c:v>41270.257942456621</c:v>
                </c:pt>
                <c:pt idx="8">
                  <c:v>38860.575409853707</c:v>
                </c:pt>
                <c:pt idx="9">
                  <c:v>41537.539055950685</c:v>
                </c:pt>
                <c:pt idx="10">
                  <c:v>40404.273809702856</c:v>
                </c:pt>
                <c:pt idx="11">
                  <c:v>40863.077242745145</c:v>
                </c:pt>
                <c:pt idx="12">
                  <c:v>43305.736857461168</c:v>
                </c:pt>
                <c:pt idx="13">
                  <c:v>41781.122822954043</c:v>
                </c:pt>
                <c:pt idx="14">
                  <c:v>41721.07180995313</c:v>
                </c:pt>
                <c:pt idx="15">
                  <c:v>42504.937127558864</c:v>
                </c:pt>
                <c:pt idx="16">
                  <c:v>41616.588859750613</c:v>
                </c:pt>
                <c:pt idx="17">
                  <c:v>40520.893063271178</c:v>
                </c:pt>
                <c:pt idx="18">
                  <c:v>42241.374465140994</c:v>
                </c:pt>
                <c:pt idx="19">
                  <c:v>42135.074238716945</c:v>
                </c:pt>
                <c:pt idx="20">
                  <c:v>42548.394895998099</c:v>
                </c:pt>
              </c:numCache>
            </c:numRef>
          </c:val>
          <c:smooth val="0"/>
          <c:extLst>
            <c:ext xmlns:c16="http://schemas.microsoft.com/office/drawing/2014/chart" uri="{C3380CC4-5D6E-409C-BE32-E72D297353CC}">
              <c16:uniqueId val="{00000003-4F0B-4463-AEEC-2572D0A7B9AE}"/>
            </c:ext>
          </c:extLst>
        </c:ser>
        <c:dLbls>
          <c:showLegendKey val="0"/>
          <c:showVal val="0"/>
          <c:showCatName val="0"/>
          <c:showSerName val="0"/>
          <c:showPercent val="0"/>
          <c:showBubbleSize val="0"/>
        </c:dLbls>
        <c:upDownBars>
          <c:gapWidth val="150"/>
          <c:upBars>
            <c:spPr>
              <a:solidFill>
                <a:schemeClr val="lt1"/>
              </a:solidFill>
              <a:ln w="9525">
                <a:solidFill>
                  <a:schemeClr val="lt1">
                    <a:lumMod val="95000"/>
                    <a:alpha val="54000"/>
                  </a:schemeClr>
                </a:solidFill>
              </a:ln>
              <a:effectLst/>
            </c:spPr>
          </c:upBars>
          <c:downBars>
            <c:spPr>
              <a:solidFill>
                <a:schemeClr val="dk1">
                  <a:lumMod val="75000"/>
                  <a:lumOff val="25000"/>
                </a:schemeClr>
              </a:solidFill>
              <a:ln w="9525">
                <a:solidFill>
                  <a:schemeClr val="lt1">
                    <a:lumMod val="95000"/>
                    <a:alpha val="54000"/>
                  </a:schemeClr>
                </a:solidFill>
              </a:ln>
              <a:effectLst/>
            </c:spPr>
          </c:downBars>
        </c:upDownBars>
        <c:smooth val="0"/>
        <c:axId val="371433343"/>
        <c:axId val="371434303"/>
      </c:lineChart>
      <c:catAx>
        <c:axId val="371433343"/>
        <c:scaling>
          <c:orientation val="minMax"/>
        </c:scaling>
        <c:delete val="0"/>
        <c:axPos val="b"/>
        <c:majorTickMark val="none"/>
        <c:minorTickMark val="none"/>
        <c:tickLblPos val="low"/>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1434303"/>
        <c:crosses val="autoZero"/>
        <c:auto val="1"/>
        <c:lblAlgn val="ctr"/>
        <c:lblOffset val="100"/>
        <c:noMultiLvlLbl val="0"/>
      </c:catAx>
      <c:valAx>
        <c:axId val="371434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1433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[Snitch_Fashion_Sales.xlsx]DASHBOARD!PivotTable7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PROFIT BY CITY</a:t>
            </a:r>
          </a:p>
        </c:rich>
      </c:tx>
      <c:layout>
        <c:manualLayout>
          <c:xMode val="edge"/>
          <c:yMode val="edge"/>
          <c:x val="0.17852014821676701"/>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DASHBOARD!$B$1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DASHBOARD!$A$2:$A$8</c:f>
              <c:strCache>
                <c:ptCount val="6"/>
                <c:pt idx="0">
                  <c:v>Ahmedabad</c:v>
                </c:pt>
                <c:pt idx="1">
                  <c:v>Bangalore</c:v>
                </c:pt>
                <c:pt idx="2">
                  <c:v>Delhi</c:v>
                </c:pt>
                <c:pt idx="3">
                  <c:v>Hyderabad</c:v>
                </c:pt>
                <c:pt idx="4">
                  <c:v>Mumbai</c:v>
                </c:pt>
                <c:pt idx="5">
                  <c:v>Pune</c:v>
                </c:pt>
              </c:strCache>
            </c:strRef>
          </c:cat>
          <c:val>
            <c:numRef>
              <c:f>DASHBOARD!$B$2:$B$8</c:f>
              <c:numCache>
                <c:formatCode>"₹"\ #,##0.00</c:formatCode>
                <c:ptCount val="6"/>
                <c:pt idx="0">
                  <c:v>392920.24</c:v>
                </c:pt>
                <c:pt idx="1">
                  <c:v>413978.94000000018</c:v>
                </c:pt>
                <c:pt idx="2">
                  <c:v>369016.85000000015</c:v>
                </c:pt>
                <c:pt idx="3">
                  <c:v>418256.67000000004</c:v>
                </c:pt>
                <c:pt idx="4">
                  <c:v>458368.26999999967</c:v>
                </c:pt>
                <c:pt idx="5">
                  <c:v>401381.60999999975</c:v>
                </c:pt>
              </c:numCache>
            </c:numRef>
          </c:val>
          <c:extLst>
            <c:ext xmlns:c16="http://schemas.microsoft.com/office/drawing/2014/chart" uri="{C3380CC4-5D6E-409C-BE32-E72D297353CC}">
              <c16:uniqueId val="{00000000-C8A0-4E72-BE22-51D56B72E05A}"/>
            </c:ext>
          </c:extLst>
        </c:ser>
        <c:dLbls>
          <c:showLegendKey val="0"/>
          <c:showVal val="0"/>
          <c:showCatName val="0"/>
          <c:showSerName val="0"/>
          <c:showPercent val="0"/>
          <c:showBubbleSize val="0"/>
        </c:dLbls>
        <c:gapWidth val="150"/>
        <c:shape val="box"/>
        <c:axId val="1269886383"/>
        <c:axId val="1269892143"/>
        <c:axId val="0"/>
      </c:bar3DChart>
      <c:catAx>
        <c:axId val="12698863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9892143"/>
        <c:crosses val="autoZero"/>
        <c:auto val="1"/>
        <c:lblAlgn val="ctr"/>
        <c:lblOffset val="100"/>
        <c:noMultiLvlLbl val="0"/>
      </c:catAx>
      <c:valAx>
        <c:axId val="12698921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9886383"/>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[Snitch_Fashion_Sales.xlsx]DASHBOARD!PivotTable10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DISCOUNT OF SEG</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DASHBOARD!$B$9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8EE8-4B90-84AC-B7564354209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EE8-4B90-84AC-B7564354209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8EE8-4B90-84AC-B75643542097}"/>
              </c:ext>
            </c:extLst>
          </c:dPt>
          <c:cat>
            <c:strRef>
              <c:f>DASHBOARD!$A$10:$A$13</c:f>
              <c:strCache>
                <c:ptCount val="3"/>
                <c:pt idx="0">
                  <c:v>B2B</c:v>
                </c:pt>
                <c:pt idx="1">
                  <c:v>B2C</c:v>
                </c:pt>
                <c:pt idx="2">
                  <c:v>UNKNOWN</c:v>
                </c:pt>
              </c:strCache>
            </c:strRef>
          </c:cat>
          <c:val>
            <c:numRef>
              <c:f>DASHBOARD!$B$10:$B$13</c:f>
              <c:numCache>
                <c:formatCode>0.00%</c:formatCode>
                <c:ptCount val="3"/>
                <c:pt idx="0">
                  <c:v>0.65897371359345525</c:v>
                </c:pt>
                <c:pt idx="1">
                  <c:v>0.6348990496120277</c:v>
                </c:pt>
                <c:pt idx="2">
                  <c:v>0.64310035490054607</c:v>
                </c:pt>
              </c:numCache>
            </c:numRef>
          </c:val>
          <c:extLst>
            <c:ext xmlns:c16="http://schemas.microsoft.com/office/drawing/2014/chart" uri="{C3380CC4-5D6E-409C-BE32-E72D297353CC}">
              <c16:uniqueId val="{00000000-8EE8-4B90-84AC-B7564354209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[Snitch_Fashion_Sales.xlsx]DASHBOARD!PivotTable13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CITIES TOTAL REVENUE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DASHBOARD!$M$1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trendline>
            <c:spPr>
              <a:ln w="25400" cap="rnd">
                <a:solidFill>
                  <a:schemeClr val="accent1">
                    <a:alpha val="50000"/>
                  </a:schemeClr>
                </a:solidFill>
              </a:ln>
              <a:effectLst/>
            </c:spPr>
            <c:trendlineType val="exp"/>
            <c:dispRSqr val="0"/>
            <c:dispEq val="0"/>
          </c:trendline>
          <c:cat>
            <c:strRef>
              <c:f>DASHBOARD!$L$2:$L$8</c:f>
              <c:strCache>
                <c:ptCount val="6"/>
                <c:pt idx="0">
                  <c:v>Ahmedabad</c:v>
                </c:pt>
                <c:pt idx="1">
                  <c:v>Bangalore</c:v>
                </c:pt>
                <c:pt idx="2">
                  <c:v>Delhi</c:v>
                </c:pt>
                <c:pt idx="3">
                  <c:v>Hyderabad</c:v>
                </c:pt>
                <c:pt idx="4">
                  <c:v>Mumbai</c:v>
                </c:pt>
                <c:pt idx="5">
                  <c:v>Pune</c:v>
                </c:pt>
              </c:strCache>
            </c:strRef>
          </c:cat>
          <c:val>
            <c:numRef>
              <c:f>DASHBOARD!$M$2:$M$8</c:f>
              <c:numCache>
                <c:formatCode>"₹"\ #,##0.00</c:formatCode>
                <c:ptCount val="6"/>
                <c:pt idx="0">
                  <c:v>1060937.2315000002</c:v>
                </c:pt>
                <c:pt idx="1">
                  <c:v>1074472.0118000002</c:v>
                </c:pt>
                <c:pt idx="2">
                  <c:v>1072961.3314</c:v>
                </c:pt>
                <c:pt idx="3">
                  <c:v>1134559.1340000001</c:v>
                </c:pt>
                <c:pt idx="4">
                  <c:v>1052873.7431000001</c:v>
                </c:pt>
                <c:pt idx="5">
                  <c:v>826604.85430000047</c:v>
                </c:pt>
              </c:numCache>
            </c:numRef>
          </c:val>
          <c:smooth val="0"/>
          <c:extLst>
            <c:ext xmlns:c16="http://schemas.microsoft.com/office/drawing/2014/chart" uri="{C3380CC4-5D6E-409C-BE32-E72D297353CC}">
              <c16:uniqueId val="{00000000-ED7F-4932-BB68-5840F3623825}"/>
            </c:ext>
          </c:extLst>
        </c:ser>
        <c:dLbls>
          <c:showLegendKey val="0"/>
          <c:showVal val="0"/>
          <c:showCatName val="0"/>
          <c:showSerName val="0"/>
          <c:showPercent val="0"/>
          <c:showBubbleSize val="0"/>
        </c:dLbls>
        <c:upDownBars>
          <c:gapWidth val="315"/>
          <c:upBars>
            <c:spPr>
              <a:solidFill>
                <a:schemeClr val="lt1">
                  <a:lumMod val="85000"/>
                </a:schemeClr>
              </a:solidFill>
              <a:ln w="9525">
                <a:solidFill>
                  <a:schemeClr val="dk1">
                    <a:lumMod val="50000"/>
                  </a:schemeClr>
                </a:solidFill>
                <a:round/>
              </a:ln>
              <a:effectLst/>
            </c:spPr>
          </c:upBars>
          <c:downBars>
            <c:spPr>
              <a:solidFill>
                <a:schemeClr val="dk1">
                  <a:lumMod val="50000"/>
                  <a:lumOff val="50000"/>
                </a:schemeClr>
              </a:solidFill>
              <a:ln w="9525">
                <a:solidFill>
                  <a:schemeClr val="dk1">
                    <a:lumMod val="75000"/>
                  </a:schemeClr>
                </a:solidFill>
                <a:round/>
              </a:ln>
              <a:effectLst/>
            </c:spPr>
          </c:downBars>
        </c:upDownBars>
        <c:marker val="1"/>
        <c:smooth val="0"/>
        <c:axId val="2054442703"/>
        <c:axId val="2054448943"/>
      </c:lineChart>
      <c:catAx>
        <c:axId val="20544427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4448943"/>
        <c:crosses val="autoZero"/>
        <c:auto val="1"/>
        <c:lblAlgn val="ctr"/>
        <c:lblOffset val="100"/>
        <c:noMultiLvlLbl val="0"/>
      </c:catAx>
      <c:valAx>
        <c:axId val="205444894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444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[Snitch_Fashion_Sales.xlsx]DASHBOARD!PivotTable16</c:name>
    <c:fmtId val="2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Total SALES AMT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DASHBOARD!$M$9</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DASHBOARD!$L$10:$L$16</c:f>
              <c:strCache>
                <c:ptCount val="6"/>
                <c:pt idx="0">
                  <c:v>Ahmedabad</c:v>
                </c:pt>
                <c:pt idx="1">
                  <c:v>Bangalore</c:v>
                </c:pt>
                <c:pt idx="2">
                  <c:v>Delhi</c:v>
                </c:pt>
                <c:pt idx="3">
                  <c:v>Hyderabad</c:v>
                </c:pt>
                <c:pt idx="4">
                  <c:v>Mumbai</c:v>
                </c:pt>
                <c:pt idx="5">
                  <c:v>Pune</c:v>
                </c:pt>
              </c:strCache>
            </c:strRef>
          </c:cat>
          <c:val>
            <c:numRef>
              <c:f>DASHBOARD!$M$10:$M$16</c:f>
              <c:numCache>
                <c:formatCode>"₹"\ #,##0.00</c:formatCode>
                <c:ptCount val="6"/>
                <c:pt idx="0">
                  <c:v>56348.909999999982</c:v>
                </c:pt>
                <c:pt idx="1">
                  <c:v>87259.17</c:v>
                </c:pt>
                <c:pt idx="2">
                  <c:v>24145.829999999994</c:v>
                </c:pt>
                <c:pt idx="3">
                  <c:v>68300.969999999987</c:v>
                </c:pt>
                <c:pt idx="4">
                  <c:v>40121.509999999995</c:v>
                </c:pt>
                <c:pt idx="5">
                  <c:v>40714.240000000005</c:v>
                </c:pt>
              </c:numCache>
            </c:numRef>
          </c:val>
          <c:extLst>
            <c:ext xmlns:c16="http://schemas.microsoft.com/office/drawing/2014/chart" uri="{C3380CC4-5D6E-409C-BE32-E72D297353CC}">
              <c16:uniqueId val="{00000000-C624-45CA-B0BB-BA1F84B347E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59354000"/>
        <c:axId val="359361200"/>
      </c:areaChart>
      <c:catAx>
        <c:axId val="35935400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59361200"/>
        <c:crosses val="autoZero"/>
        <c:auto val="1"/>
        <c:lblAlgn val="ctr"/>
        <c:lblOffset val="100"/>
        <c:noMultiLvlLbl val="0"/>
      </c:catAx>
      <c:valAx>
        <c:axId val="359361200"/>
        <c:scaling>
          <c:orientation val="minMax"/>
        </c:scaling>
        <c:delete val="1"/>
        <c:axPos val="l"/>
        <c:numFmt formatCode="&quot;₹&quot;\ #,##0.00" sourceLinked="1"/>
        <c:majorTickMark val="out"/>
        <c:minorTickMark val="none"/>
        <c:tickLblPos val="nextTo"/>
        <c:crossAx val="359354000"/>
        <c:crosses val="autoZero"/>
        <c:crossBetween val="midCat"/>
      </c:valAx>
      <c:dTable>
        <c:showHorzBorder val="1"/>
        <c:showVertBorder val="1"/>
        <c:showOutline val="1"/>
        <c:showKeys val="1"/>
        <c:spPr>
          <a:noFill/>
          <a:ln w="9525">
            <a:solidFill>
              <a:schemeClr val="accent1">
                <a:lumMod val="40000"/>
                <a:lumOff val="60000"/>
                <a:alpha val="25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425450</xdr:colOff>
      <xdr:row>894</xdr:row>
      <xdr:rowOff>44450</xdr:rowOff>
    </xdr:from>
    <xdr:to>
      <xdr:col>15</xdr:col>
      <xdr:colOff>368300</xdr:colOff>
      <xdr:row>909</xdr:row>
      <xdr:rowOff>146050</xdr:rowOff>
    </xdr:to>
    <xdr:graphicFrame macro="">
      <xdr:nvGraphicFramePr>
        <xdr:cNvPr id="2" name="Chart 1">
          <a:extLst>
            <a:ext uri="{FF2B5EF4-FFF2-40B4-BE49-F238E27FC236}">
              <a16:creationId xmlns:a16="http://schemas.microsoft.com/office/drawing/2014/main" id="{B5957D20-3605-A4C4-F3F8-2659748074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31750</xdr:colOff>
      <xdr:row>0</xdr:row>
      <xdr:rowOff>12700</xdr:rowOff>
    </xdr:from>
    <xdr:to>
      <xdr:col>6</xdr:col>
      <xdr:colOff>387350</xdr:colOff>
      <xdr:row>9</xdr:row>
      <xdr:rowOff>171450</xdr:rowOff>
    </xdr:to>
    <xdr:graphicFrame macro="">
      <xdr:nvGraphicFramePr>
        <xdr:cNvPr id="2" name="Chart 1">
          <a:extLst>
            <a:ext uri="{FF2B5EF4-FFF2-40B4-BE49-F238E27FC236}">
              <a16:creationId xmlns:a16="http://schemas.microsoft.com/office/drawing/2014/main" id="{CA7D3594-AD4F-8BEA-AC38-3C8B98EE7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44450</xdr:colOff>
      <xdr:row>10</xdr:row>
      <xdr:rowOff>6350</xdr:rowOff>
    </xdr:from>
    <xdr:to>
      <xdr:col>6</xdr:col>
      <xdr:colOff>381000</xdr:colOff>
      <xdr:row>20</xdr:row>
      <xdr:rowOff>101600</xdr:rowOff>
    </xdr:to>
    <xdr:graphicFrame macro="">
      <xdr:nvGraphicFramePr>
        <xdr:cNvPr id="3" name="Chart 2">
          <a:extLst>
            <a:ext uri="{FF2B5EF4-FFF2-40B4-BE49-F238E27FC236}">
              <a16:creationId xmlns:a16="http://schemas.microsoft.com/office/drawing/2014/main" id="{A52ADF75-227F-51D0-C178-458BBF799D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381000</xdr:colOff>
      <xdr:row>0</xdr:row>
      <xdr:rowOff>0</xdr:rowOff>
    </xdr:from>
    <xdr:to>
      <xdr:col>10</xdr:col>
      <xdr:colOff>698500</xdr:colOff>
      <xdr:row>9</xdr:row>
      <xdr:rowOff>165100</xdr:rowOff>
    </xdr:to>
    <xdr:graphicFrame macro="">
      <xdr:nvGraphicFramePr>
        <xdr:cNvPr id="4" name="Chart 3">
          <a:extLst>
            <a:ext uri="{FF2B5EF4-FFF2-40B4-BE49-F238E27FC236}">
              <a16:creationId xmlns:a16="http://schemas.microsoft.com/office/drawing/2014/main" id="{1426664F-4AA8-CC8F-4E5C-43AF19A87B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393700</xdr:colOff>
      <xdr:row>9</xdr:row>
      <xdr:rowOff>146050</xdr:rowOff>
    </xdr:from>
    <xdr:to>
      <xdr:col>10</xdr:col>
      <xdr:colOff>692150</xdr:colOff>
      <xdr:row>20</xdr:row>
      <xdr:rowOff>95250</xdr:rowOff>
    </xdr:to>
    <xdr:graphicFrame macro="">
      <xdr:nvGraphicFramePr>
        <xdr:cNvPr id="7" name="Chart 6">
          <a:extLst>
            <a:ext uri="{FF2B5EF4-FFF2-40B4-BE49-F238E27FC236}">
              <a16:creationId xmlns:a16="http://schemas.microsoft.com/office/drawing/2014/main" id="{CCE4D0CC-2344-89E5-6E43-6A7F66D495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13</xdr:row>
      <xdr:rowOff>12700</xdr:rowOff>
    </xdr:from>
    <xdr:to>
      <xdr:col>1</xdr:col>
      <xdr:colOff>889000</xdr:colOff>
      <xdr:row>21</xdr:row>
      <xdr:rowOff>6350</xdr:rowOff>
    </xdr:to>
    <mc:AlternateContent xmlns:mc="http://schemas.openxmlformats.org/markup-compatibility/2006" xmlns:a14="http://schemas.microsoft.com/office/drawing/2010/main">
      <mc:Choice Requires="a14">
        <xdr:graphicFrame macro="">
          <xdr:nvGraphicFramePr>
            <xdr:cNvPr id="5" name="City">
              <a:extLst>
                <a:ext uri="{FF2B5EF4-FFF2-40B4-BE49-F238E27FC236}">
                  <a16:creationId xmlns:a16="http://schemas.microsoft.com/office/drawing/2014/main" id="{5300CD9F-D18F-045E-D203-290D31BC715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2406650"/>
              <a:ext cx="1663700" cy="1466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698500</xdr:colOff>
      <xdr:row>16</xdr:row>
      <xdr:rowOff>38100</xdr:rowOff>
    </xdr:from>
    <xdr:to>
      <xdr:col>12</xdr:col>
      <xdr:colOff>704850</xdr:colOff>
      <xdr:row>21</xdr:row>
      <xdr:rowOff>57150</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B8DA0502-5EFB-9FAB-5168-B906C8EE2A2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788400" y="2984500"/>
              <a:ext cx="1454150" cy="93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16</xdr:col>
      <xdr:colOff>48846</xdr:colOff>
      <xdr:row>0</xdr:row>
      <xdr:rowOff>6105</xdr:rowOff>
    </xdr:from>
    <xdr:to>
      <xdr:col>27</xdr:col>
      <xdr:colOff>417393</xdr:colOff>
      <xdr:row>101</xdr:row>
      <xdr:rowOff>128220</xdr:rowOff>
    </xdr:to>
    <xdr:sp macro="" textlink="">
      <xdr:nvSpPr>
        <xdr:cNvPr id="2" name="TextBox 1">
          <a:extLst>
            <a:ext uri="{FF2B5EF4-FFF2-40B4-BE49-F238E27FC236}">
              <a16:creationId xmlns:a16="http://schemas.microsoft.com/office/drawing/2014/main" id="{C3576687-5372-49EA-8544-B79367A4A440}"/>
            </a:ext>
          </a:extLst>
        </xdr:cNvPr>
        <xdr:cNvSpPr txBox="1"/>
      </xdr:nvSpPr>
      <xdr:spPr>
        <a:xfrm>
          <a:off x="14214231" y="6105"/>
          <a:ext cx="7261960" cy="13359423"/>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2" algn="l"/>
          <a:r>
            <a:rPr lang="en-IN" sz="1400" b="1" i="0" u="none" strike="noStrike">
              <a:solidFill>
                <a:schemeClr val="accent3"/>
              </a:solidFill>
              <a:effectLst/>
              <a:latin typeface="+mn-lt"/>
              <a:ea typeface="+mn-ea"/>
              <a:cs typeface="+mn-cs"/>
            </a:rPr>
            <a:t>                      SUM,COUNT,AVERAGE</a:t>
          </a:r>
          <a:r>
            <a:rPr lang="en-IN" sz="1400">
              <a:solidFill>
                <a:schemeClr val="accent3"/>
              </a:solidFill>
              <a:effectLst/>
            </a:rPr>
            <a:t> </a:t>
          </a:r>
        </a:p>
        <a:p>
          <a:pPr lvl="2" algn="l"/>
          <a:r>
            <a:rPr lang="en-IN" sz="1100" b="0" i="0" u="none" strike="noStrike">
              <a:solidFill>
                <a:schemeClr val="dk1"/>
              </a:solidFill>
              <a:effectLst/>
              <a:latin typeface="+mn-lt"/>
              <a:ea typeface="+mn-ea"/>
              <a:cs typeface="+mn-cs"/>
            </a:rPr>
            <a:t>1.What is the total unit price of  all products in the dataset?</a:t>
          </a:r>
        </a:p>
        <a:p>
          <a:pPr lvl="2" algn="l"/>
          <a:r>
            <a:rPr lang="en-IN" b="1">
              <a:solidFill>
                <a:srgbClr val="FF0000"/>
              </a:solidFill>
              <a:effectLst/>
            </a:rPr>
            <a:t>                           </a:t>
          </a:r>
          <a:r>
            <a:rPr lang="en-IN" sz="1100" b="1" i="0" u="none" strike="noStrike">
              <a:solidFill>
                <a:srgbClr val="FF0000"/>
              </a:solidFill>
              <a:effectLst/>
              <a:latin typeface="+mn-lt"/>
              <a:ea typeface="+mn-ea"/>
              <a:cs typeface="+mn-cs"/>
            </a:rPr>
            <a:t>FORMULA =sum(F2:F2501)</a:t>
          </a:r>
        </a:p>
        <a:p>
          <a:pPr lvl="2" algn="l"/>
          <a:r>
            <a:rPr lang="en-IN" sz="1100" b="1" i="0" u="none" strike="noStrike">
              <a:solidFill>
                <a:srgbClr val="FF0000"/>
              </a:solidFill>
              <a:effectLst/>
              <a:latin typeface="+mn-lt"/>
              <a:ea typeface="+mn-ea"/>
              <a:cs typeface="+mn-cs"/>
            </a:rPr>
            <a:t>                                ₹ 67,66,282.84</a:t>
          </a:r>
          <a:r>
            <a:rPr lang="en-IN" b="1">
              <a:solidFill>
                <a:srgbClr val="FF0000"/>
              </a:solidFill>
              <a:effectLst/>
            </a:rPr>
            <a:t> </a:t>
          </a:r>
        </a:p>
        <a:p>
          <a:pPr lvl="2" algn="l"/>
          <a:r>
            <a:rPr lang="en-IN" sz="1100" b="0" i="0" u="none" strike="noStrike">
              <a:solidFill>
                <a:schemeClr val="dk1"/>
              </a:solidFill>
              <a:effectLst/>
              <a:latin typeface="+mn-lt"/>
              <a:ea typeface="+mn-ea"/>
              <a:cs typeface="+mn-cs"/>
            </a:rPr>
            <a:t>2. How many</a:t>
          </a:r>
          <a:r>
            <a:rPr lang="en-IN" sz="1100" b="0" i="0" u="none" strike="noStrike" baseline="0">
              <a:solidFill>
                <a:schemeClr val="dk1"/>
              </a:solidFill>
              <a:effectLst/>
              <a:latin typeface="+mn-lt"/>
              <a:ea typeface="+mn-ea"/>
              <a:cs typeface="+mn-cs"/>
            </a:rPr>
            <a:t> orders</a:t>
          </a:r>
          <a:r>
            <a:rPr lang="en-IN" sz="1100" b="0" i="0" u="none" strike="noStrike">
              <a:solidFill>
                <a:schemeClr val="dk1"/>
              </a:solidFill>
              <a:effectLst/>
              <a:latin typeface="+mn-lt"/>
              <a:ea typeface="+mn-ea"/>
              <a:cs typeface="+mn-cs"/>
            </a:rPr>
            <a:t> are there in the dataset?</a:t>
          </a:r>
        </a:p>
        <a:p>
          <a:pPr lvl="2" algn="l"/>
          <a:r>
            <a:rPr lang="en-IN" b="1">
              <a:solidFill>
                <a:srgbClr val="FF0000"/>
              </a:solidFill>
              <a:effectLst/>
            </a:rPr>
            <a:t> </a:t>
          </a:r>
          <a:r>
            <a:rPr lang="en-IN" b="1" baseline="0">
              <a:solidFill>
                <a:srgbClr val="FF0000"/>
              </a:solidFill>
              <a:effectLst/>
            </a:rPr>
            <a:t>            </a:t>
          </a:r>
          <a:r>
            <a:rPr lang="en-IN" b="1">
              <a:solidFill>
                <a:srgbClr val="FF0000"/>
              </a:solidFill>
              <a:effectLst/>
            </a:rPr>
            <a:t>         </a:t>
          </a:r>
          <a:r>
            <a:rPr lang="en-IN" sz="1100" b="1" i="0" u="none" strike="noStrike">
              <a:solidFill>
                <a:srgbClr val="FF0000"/>
              </a:solidFill>
              <a:effectLst/>
              <a:latin typeface="+mn-lt"/>
              <a:ea typeface="+mn-ea"/>
              <a:cs typeface="+mn-cs"/>
            </a:rPr>
            <a:t>FORMULA =COUNTA(</a:t>
          </a:r>
          <a:r>
            <a:rPr lang="en-IN" b="1">
              <a:solidFill>
                <a:srgbClr val="FF0000"/>
              </a:solidFill>
              <a:effectLst/>
            </a:rPr>
            <a:t> D2:D2501)</a:t>
          </a:r>
        </a:p>
        <a:p>
          <a:pPr lvl="2" algn="l"/>
          <a:r>
            <a:rPr lang="en-IN" b="1">
              <a:solidFill>
                <a:srgbClr val="FF0000"/>
              </a:solidFill>
              <a:effectLst/>
            </a:rPr>
            <a:t>                                          2500</a:t>
          </a:r>
        </a:p>
        <a:p>
          <a:pPr lvl="2" algn="l"/>
          <a:r>
            <a:rPr lang="en-IN" sz="1100" b="0" i="0" u="none" strike="noStrike">
              <a:solidFill>
                <a:schemeClr val="dk1"/>
              </a:solidFill>
              <a:effectLst/>
              <a:latin typeface="+mn-lt"/>
              <a:ea typeface="+mn-ea"/>
              <a:cs typeface="+mn-cs"/>
            </a:rPr>
            <a:t>3.Calculate the average</a:t>
          </a:r>
          <a:r>
            <a:rPr lang="en-IN" sz="1100" b="0" i="0" u="none" strike="noStrike" baseline="0">
              <a:solidFill>
                <a:schemeClr val="dk1"/>
              </a:solidFill>
              <a:effectLst/>
              <a:latin typeface="+mn-lt"/>
              <a:ea typeface="+mn-ea"/>
              <a:cs typeface="+mn-cs"/>
            </a:rPr>
            <a:t> sales amount </a:t>
          </a:r>
          <a:r>
            <a:rPr lang="en-IN" sz="1100" b="0" i="0" u="none" strike="noStrike">
              <a:solidFill>
                <a:schemeClr val="dk1"/>
              </a:solidFill>
              <a:effectLst/>
              <a:latin typeface="+mn-lt"/>
              <a:ea typeface="+mn-ea"/>
              <a:cs typeface="+mn-cs"/>
            </a:rPr>
            <a:t> of the products?</a:t>
          </a:r>
          <a:r>
            <a:rPr lang="en-IN">
              <a:effectLst/>
            </a:rPr>
            <a:t> </a:t>
          </a:r>
          <a:r>
            <a:rPr lang="en-IN" sz="1100" b="0" i="0" u="none" strike="noStrike">
              <a:solidFill>
                <a:schemeClr val="dk1"/>
              </a:solidFill>
              <a:effectLst/>
              <a:latin typeface="+mn-lt"/>
              <a:ea typeface="+mn-ea"/>
              <a:cs typeface="+mn-cs"/>
            </a:rPr>
            <a:t>                     </a:t>
          </a:r>
          <a:r>
            <a:rPr lang="en-IN">
              <a:effectLst/>
            </a:rPr>
            <a:t> </a:t>
          </a:r>
        </a:p>
        <a:p>
          <a:pPr lvl="2" algn="l"/>
          <a:r>
            <a:rPr lang="en-IN" sz="1100" b="1" i="0" u="none" strike="noStrike">
              <a:solidFill>
                <a:schemeClr val="dk1"/>
              </a:solidFill>
              <a:effectLst/>
              <a:latin typeface="+mn-lt"/>
              <a:ea typeface="+mn-ea"/>
              <a:cs typeface="+mn-cs"/>
            </a:rPr>
            <a:t>                               </a:t>
          </a:r>
          <a:r>
            <a:rPr lang="en-IN" sz="1100" b="1" i="0" u="none" strike="noStrike">
              <a:solidFill>
                <a:srgbClr val="FF0000"/>
              </a:solidFill>
              <a:effectLst/>
              <a:latin typeface="+mn-lt"/>
              <a:ea typeface="+mn-ea"/>
              <a:cs typeface="+mn-cs"/>
            </a:rPr>
            <a:t>FORMULA =AVERAGE(H2:H2501)         </a:t>
          </a:r>
        </a:p>
        <a:p>
          <a:pPr lvl="2" algn="l"/>
          <a:r>
            <a:rPr lang="en-IN" sz="1100" b="1" i="0" u="none" strike="noStrike" baseline="0">
              <a:solidFill>
                <a:srgbClr val="FF0000"/>
              </a:solidFill>
              <a:effectLst/>
              <a:latin typeface="+mn-lt"/>
              <a:ea typeface="+mn-ea"/>
              <a:cs typeface="+mn-cs"/>
            </a:rPr>
            <a:t>                                        </a:t>
          </a:r>
          <a:r>
            <a:rPr lang="en-IN" sz="1100" b="1" i="0" u="none" strike="noStrike">
              <a:solidFill>
                <a:srgbClr val="FF0000"/>
              </a:solidFill>
              <a:effectLst/>
              <a:latin typeface="+mn-lt"/>
              <a:ea typeface="+mn-ea"/>
              <a:cs typeface="+mn-cs"/>
            </a:rPr>
            <a:t>₹ 126.76</a:t>
          </a:r>
          <a:r>
            <a:rPr lang="en-IN" b="1">
              <a:solidFill>
                <a:srgbClr val="FF0000"/>
              </a:solidFill>
              <a:effectLst/>
            </a:rPr>
            <a:t> </a:t>
          </a:r>
          <a:endParaRPr lang="en-IN" sz="1100" b="1" i="0" u="none" strike="noStrike">
            <a:solidFill>
              <a:srgbClr val="FF0000"/>
            </a:solidFill>
            <a:effectLst/>
            <a:latin typeface="+mn-lt"/>
            <a:ea typeface="+mn-ea"/>
            <a:cs typeface="+mn-cs"/>
          </a:endParaRPr>
        </a:p>
        <a:p>
          <a:pPr lvl="2" algn="l"/>
          <a:r>
            <a:rPr lang="en-IN" sz="1400" b="1" i="0" u="none" strike="noStrike">
              <a:solidFill>
                <a:schemeClr val="accent3"/>
              </a:solidFill>
              <a:effectLst/>
              <a:latin typeface="+mn-lt"/>
              <a:ea typeface="+mn-ea"/>
              <a:cs typeface="+mn-cs"/>
            </a:rPr>
            <a:t>                         MIN,MAX</a:t>
          </a:r>
          <a:r>
            <a:rPr lang="en-IN" sz="1400">
              <a:solidFill>
                <a:schemeClr val="accent3"/>
              </a:solidFill>
              <a:effectLst/>
            </a:rPr>
            <a:t> </a:t>
          </a:r>
        </a:p>
        <a:p>
          <a:pPr lvl="2" algn="l"/>
          <a:r>
            <a:rPr lang="en-IN" sz="1100" b="0" i="0" u="none" strike="noStrike">
              <a:solidFill>
                <a:schemeClr val="dk1"/>
              </a:solidFill>
              <a:effectLst/>
              <a:latin typeface="+mn-lt"/>
              <a:ea typeface="+mn-ea"/>
              <a:cs typeface="+mn-cs"/>
            </a:rPr>
            <a:t>1.Determine the minimum</a:t>
          </a:r>
          <a:r>
            <a:rPr lang="en-IN" sz="1100" b="0" i="0" u="none" strike="noStrike" baseline="0">
              <a:solidFill>
                <a:schemeClr val="dk1"/>
              </a:solidFill>
              <a:effectLst/>
              <a:latin typeface="+mn-lt"/>
              <a:ea typeface="+mn-ea"/>
              <a:cs typeface="+mn-cs"/>
            </a:rPr>
            <a:t> unit</a:t>
          </a:r>
          <a:r>
            <a:rPr lang="en-IN" sz="1100" b="0" i="0" u="none" strike="noStrike">
              <a:solidFill>
                <a:schemeClr val="dk1"/>
              </a:solidFill>
              <a:effectLst/>
              <a:latin typeface="+mn-lt"/>
              <a:ea typeface="+mn-ea"/>
              <a:cs typeface="+mn-cs"/>
            </a:rPr>
            <a:t> price among all products.</a:t>
          </a:r>
        </a:p>
        <a:p>
          <a:pPr lvl="2" algn="l"/>
          <a:r>
            <a:rPr lang="en-IN" b="1">
              <a:solidFill>
                <a:srgbClr val="FF0000"/>
              </a:solidFill>
              <a:effectLst/>
            </a:rPr>
            <a:t>                       </a:t>
          </a:r>
          <a:r>
            <a:rPr lang="en-IN" sz="1100" b="1" i="0" u="none" strike="noStrike">
              <a:solidFill>
                <a:srgbClr val="FF0000"/>
              </a:solidFill>
              <a:effectLst/>
              <a:latin typeface="+mn-lt"/>
              <a:ea typeface="+mn-ea"/>
              <a:cs typeface="+mn-cs"/>
            </a:rPr>
            <a:t>FORMULA =MIN(f2:f2501</a:t>
          </a:r>
          <a:r>
            <a:rPr lang="en-IN" sz="1100" b="0" i="0" u="none" strike="noStrike">
              <a:solidFill>
                <a:schemeClr val="dk1"/>
              </a:solidFill>
              <a:effectLst/>
              <a:latin typeface="+mn-lt"/>
              <a:ea typeface="+mn-ea"/>
              <a:cs typeface="+mn-cs"/>
            </a:rPr>
            <a:t>)</a:t>
          </a:r>
        </a:p>
        <a:p>
          <a:pPr lvl="2" algn="l"/>
          <a:r>
            <a:rPr lang="en-IN" sz="1100" b="0" i="0" u="none" strike="noStrike">
              <a:solidFill>
                <a:srgbClr val="FF0000"/>
              </a:solidFill>
              <a:effectLst/>
              <a:latin typeface="+mn-lt"/>
              <a:ea typeface="+mn-ea"/>
              <a:cs typeface="+mn-cs"/>
            </a:rPr>
            <a:t>                                     </a:t>
          </a:r>
          <a:r>
            <a:rPr lang="en-IN" sz="1100" b="1" i="0" u="none" strike="noStrike">
              <a:solidFill>
                <a:srgbClr val="FF0000"/>
              </a:solidFill>
              <a:effectLst/>
              <a:latin typeface="+mn-lt"/>
              <a:ea typeface="+mn-ea"/>
              <a:cs typeface="+mn-cs"/>
            </a:rPr>
            <a:t>-₹ 7,518.33</a:t>
          </a:r>
          <a:r>
            <a:rPr lang="en-IN">
              <a:solidFill>
                <a:srgbClr val="FF0000"/>
              </a:solidFill>
              <a:effectLst/>
            </a:rPr>
            <a:t> </a:t>
          </a:r>
          <a:endParaRPr lang="en-IN" sz="1100" b="0" i="0" u="none" strike="noStrike">
            <a:solidFill>
              <a:srgbClr val="FF0000"/>
            </a:solidFill>
            <a:effectLst/>
            <a:latin typeface="+mn-lt"/>
            <a:ea typeface="+mn-ea"/>
            <a:cs typeface="+mn-cs"/>
          </a:endParaRPr>
        </a:p>
        <a:p>
          <a:pPr lvl="2" algn="l"/>
          <a:r>
            <a:rPr lang="en-IN" sz="1100" b="0" i="0" u="none" strike="noStrike" baseline="0">
              <a:solidFill>
                <a:schemeClr val="dk1"/>
              </a:solidFill>
              <a:effectLst/>
              <a:latin typeface="+mn-lt"/>
              <a:ea typeface="+mn-ea"/>
              <a:cs typeface="+mn-cs"/>
            </a:rPr>
            <a:t> </a:t>
          </a:r>
          <a:r>
            <a:rPr lang="en-IN" sz="1100" b="0" i="0" u="none" strike="noStrike">
              <a:solidFill>
                <a:schemeClr val="dk1"/>
              </a:solidFill>
              <a:effectLst/>
              <a:latin typeface="+mn-lt"/>
              <a:ea typeface="+mn-ea"/>
              <a:cs typeface="+mn-cs"/>
            </a:rPr>
            <a:t>2. Find the maximum unit price among all products.</a:t>
          </a:r>
          <a:r>
            <a:rPr lang="en-IN">
              <a:effectLst/>
            </a:rPr>
            <a:t> </a:t>
          </a:r>
        </a:p>
        <a:p>
          <a:pPr lvl="2" algn="l"/>
          <a:r>
            <a:rPr lang="en-IN" sz="1100" b="1" i="0" u="none" strike="noStrike">
              <a:solidFill>
                <a:srgbClr val="FF0000"/>
              </a:solidFill>
              <a:effectLst/>
              <a:latin typeface="+mn-lt"/>
              <a:ea typeface="+mn-ea"/>
              <a:cs typeface="+mn-cs"/>
            </a:rPr>
            <a:t>                      FORMULA =MAX(f2:f2501)</a:t>
          </a:r>
        </a:p>
        <a:p>
          <a:pPr lvl="2" algn="l"/>
          <a:r>
            <a:rPr lang="en-IN" sz="1100" b="1" i="0" u="none" strike="noStrike">
              <a:solidFill>
                <a:srgbClr val="FF0000"/>
              </a:solidFill>
              <a:effectLst/>
              <a:latin typeface="+mn-lt"/>
              <a:ea typeface="+mn-ea"/>
              <a:cs typeface="+mn-cs"/>
            </a:rPr>
            <a:t>                                     ₹ 29,180.68</a:t>
          </a:r>
          <a:r>
            <a:rPr lang="en-IN">
              <a:solidFill>
                <a:srgbClr val="FF0000"/>
              </a:solidFill>
              <a:effectLst/>
            </a:rPr>
            <a:t> </a:t>
          </a:r>
          <a:endParaRPr lang="en-IN" sz="1100" b="1" i="0" u="none" strike="noStrike">
            <a:solidFill>
              <a:srgbClr val="FF0000"/>
            </a:solidFill>
            <a:effectLst/>
            <a:latin typeface="+mn-lt"/>
            <a:ea typeface="+mn-ea"/>
            <a:cs typeface="+mn-cs"/>
          </a:endParaRPr>
        </a:p>
        <a:p>
          <a:pPr lvl="2" algn="l"/>
          <a:r>
            <a:rPr lang="en-IN" sz="1100" b="1" i="0" u="none" strike="noStrike">
              <a:solidFill>
                <a:schemeClr val="dk1"/>
              </a:solidFill>
              <a:effectLst/>
              <a:latin typeface="+mn-lt"/>
              <a:ea typeface="+mn-ea"/>
              <a:cs typeface="+mn-cs"/>
            </a:rPr>
            <a:t>                                </a:t>
          </a:r>
          <a:r>
            <a:rPr lang="en-IN" sz="1400" b="1" i="0" u="none" strike="noStrike">
              <a:solidFill>
                <a:schemeClr val="accent3"/>
              </a:solidFill>
              <a:effectLst/>
              <a:latin typeface="+mn-lt"/>
              <a:ea typeface="+mn-ea"/>
              <a:cs typeface="+mn-cs"/>
            </a:rPr>
            <a:t>IF Function</a:t>
          </a:r>
          <a:r>
            <a:rPr lang="en-IN" sz="1400">
              <a:solidFill>
                <a:schemeClr val="accent3"/>
              </a:solidFill>
              <a:effectLst/>
            </a:rPr>
            <a:t> </a:t>
          </a:r>
          <a:endParaRPr lang="en-IN" sz="1400" b="0" i="0" u="none" strike="noStrike">
            <a:solidFill>
              <a:schemeClr val="accent3"/>
            </a:solidFill>
            <a:effectLst/>
            <a:latin typeface="+mn-lt"/>
            <a:ea typeface="+mn-ea"/>
            <a:cs typeface="+mn-cs"/>
          </a:endParaRPr>
        </a:p>
        <a:p>
          <a:pPr lvl="2" algn="l"/>
          <a:r>
            <a:rPr lang="en-IN" sz="1100" b="0" i="0" u="none" strike="noStrike">
              <a:solidFill>
                <a:schemeClr val="dk1"/>
              </a:solidFill>
              <a:effectLst/>
              <a:latin typeface="+mn-lt"/>
              <a:ea typeface="+mn-ea"/>
              <a:cs typeface="+mn-cs"/>
            </a:rPr>
            <a:t>Using an IF function, create a new column named SALES</a:t>
          </a:r>
          <a:r>
            <a:rPr lang="en-IN" sz="1100" b="0" i="0" u="none" strike="noStrike" baseline="0">
              <a:solidFill>
                <a:schemeClr val="dk1"/>
              </a:solidFill>
              <a:effectLst/>
              <a:latin typeface="+mn-lt"/>
              <a:ea typeface="+mn-ea"/>
              <a:cs typeface="+mn-cs"/>
            </a:rPr>
            <a:t> RANGE</a:t>
          </a:r>
          <a:r>
            <a:rPr lang="en-IN" sz="1100" b="0" i="0" u="none" strike="noStrike">
              <a:solidFill>
                <a:schemeClr val="dk1"/>
              </a:solidFill>
              <a:effectLst/>
              <a:latin typeface="+mn-lt"/>
              <a:ea typeface="+mn-ea"/>
              <a:cs typeface="+mn-cs"/>
            </a:rPr>
            <a:t> to categorize products with a price greater than or equal to $0 as 'Positive</a:t>
          </a:r>
          <a:r>
            <a:rPr lang="en-IN" sz="1100" b="0" i="0" u="none" strike="noStrike" baseline="0">
              <a:solidFill>
                <a:schemeClr val="dk1"/>
              </a:solidFill>
              <a:effectLst/>
              <a:latin typeface="+mn-lt"/>
              <a:ea typeface="+mn-ea"/>
              <a:cs typeface="+mn-cs"/>
            </a:rPr>
            <a:t> sales</a:t>
          </a:r>
          <a:r>
            <a:rPr lang="en-IN" sz="1100" b="0" i="0" u="none" strike="noStrike">
              <a:solidFill>
                <a:schemeClr val="dk1"/>
              </a:solidFill>
              <a:effectLst/>
              <a:latin typeface="+mn-lt"/>
              <a:ea typeface="+mn-ea"/>
              <a:cs typeface="+mn-cs"/>
            </a:rPr>
            <a:t>' and others as 'Negative</a:t>
          </a:r>
          <a:r>
            <a:rPr lang="en-IN" sz="1100" b="0" i="0" u="none" strike="noStrike" baseline="0">
              <a:solidFill>
                <a:schemeClr val="dk1"/>
              </a:solidFill>
              <a:effectLst/>
              <a:latin typeface="+mn-lt"/>
              <a:ea typeface="+mn-ea"/>
              <a:cs typeface="+mn-cs"/>
            </a:rPr>
            <a:t> sales</a:t>
          </a:r>
          <a:r>
            <a:rPr lang="en-IN" sz="1100" b="0" i="0" u="none" strike="noStrike">
              <a:solidFill>
                <a:schemeClr val="dk1"/>
              </a:solidFill>
              <a:effectLst/>
              <a:latin typeface="+mn-lt"/>
              <a:ea typeface="+mn-ea"/>
              <a:cs typeface="+mn-cs"/>
            </a:rPr>
            <a:t>'</a:t>
          </a:r>
        </a:p>
        <a:p>
          <a:pPr lvl="2" algn="l"/>
          <a:r>
            <a:rPr lang="en-IN" sz="1100" b="1" i="0" u="none" strike="noStrike">
              <a:solidFill>
                <a:srgbClr val="FF0000"/>
              </a:solidFill>
              <a:effectLst/>
              <a:latin typeface="+mn-lt"/>
              <a:ea typeface="+mn-ea"/>
              <a:cs typeface="+mn-cs"/>
            </a:rPr>
            <a:t>                           =IF(H3&gt;0,"POSITIVE SALES","NEGATIVE SALES"</a:t>
          </a:r>
        </a:p>
        <a:p>
          <a:pPr lvl="2" algn="l"/>
          <a:r>
            <a:rPr lang="en-IN" sz="1100" b="1" i="0" u="none" strike="noStrike" baseline="0">
              <a:solidFill>
                <a:srgbClr val="FF0000"/>
              </a:solidFill>
              <a:effectLst/>
              <a:latin typeface="+mn-lt"/>
              <a:ea typeface="+mn-ea"/>
              <a:cs typeface="+mn-cs"/>
            </a:rPr>
            <a:t>                         </a:t>
          </a:r>
          <a:r>
            <a:rPr lang="en-IN" sz="1400" b="1" i="0" u="none" strike="noStrike">
              <a:solidFill>
                <a:schemeClr val="accent3"/>
              </a:solidFill>
              <a:effectLst/>
              <a:latin typeface="+mn-lt"/>
              <a:ea typeface="+mn-ea"/>
              <a:cs typeface="+mn-cs"/>
            </a:rPr>
            <a:t>SUMIF and COUNTIF</a:t>
          </a:r>
          <a:endParaRPr lang="en-IN" sz="1400" b="0" i="0" u="none" strike="noStrike">
            <a:solidFill>
              <a:schemeClr val="accent3"/>
            </a:solidFill>
            <a:effectLst/>
            <a:latin typeface="+mn-lt"/>
            <a:ea typeface="+mn-ea"/>
            <a:cs typeface="+mn-cs"/>
          </a:endParaRPr>
        </a:p>
        <a:p>
          <a:pPr lvl="2" algn="l"/>
          <a:r>
            <a:rPr lang="en-IN" sz="1100" b="0" i="0" u="none" strike="noStrike">
              <a:solidFill>
                <a:schemeClr val="dk1"/>
              </a:solidFill>
              <a:effectLst/>
              <a:latin typeface="+mn-lt"/>
              <a:ea typeface="+mn-ea"/>
              <a:cs typeface="+mn-cs"/>
            </a:rPr>
            <a:t>Calculate the "TOTAL</a:t>
          </a:r>
          <a:r>
            <a:rPr lang="en-IN" sz="1100" b="0" i="0" u="none" strike="noStrike" baseline="0">
              <a:solidFill>
                <a:schemeClr val="dk1"/>
              </a:solidFill>
              <a:effectLst/>
              <a:latin typeface="+mn-lt"/>
              <a:ea typeface="+mn-ea"/>
              <a:cs typeface="+mn-cs"/>
            </a:rPr>
            <a:t> PROFIT " in segment  </a:t>
          </a:r>
          <a:r>
            <a:rPr lang="en-IN" sz="1100" b="0" i="0" u="none" strike="noStrike">
              <a:solidFill>
                <a:schemeClr val="dk1"/>
              </a:solidFill>
              <a:effectLst/>
              <a:latin typeface="+mn-lt"/>
              <a:ea typeface="+mn-ea"/>
              <a:cs typeface="+mn-cs"/>
            </a:rPr>
            <a:t>for products in the 'B2B' category using the SUMIF function.</a:t>
          </a:r>
        </a:p>
        <a:p>
          <a:pPr lvl="2" algn="l"/>
          <a:r>
            <a:rPr lang="en-IN" sz="1100" b="1" i="0" u="none" strike="noStrike">
              <a:solidFill>
                <a:srgbClr val="FF0000"/>
              </a:solidFill>
              <a:effectLst/>
              <a:latin typeface="+mn-lt"/>
              <a:ea typeface="+mn-ea"/>
              <a:cs typeface="+mn-cs"/>
            </a:rPr>
            <a:t>                              =SUMIF(K2:K2501,"B2B",L2:L2501) </a:t>
          </a:r>
        </a:p>
        <a:p>
          <a:pPr lvl="2" algn="l"/>
          <a:r>
            <a:rPr lang="en-IN" sz="1100" b="1" i="0" u="none" strike="noStrike">
              <a:solidFill>
                <a:srgbClr val="FF0000"/>
              </a:solidFill>
              <a:effectLst/>
              <a:latin typeface="+mn-lt"/>
              <a:ea typeface="+mn-ea"/>
              <a:cs typeface="+mn-cs"/>
            </a:rPr>
            <a:t>                                  ₹ 8,69,593.99</a:t>
          </a:r>
        </a:p>
        <a:p>
          <a:pPr lvl="2" algn="l"/>
          <a:r>
            <a:rPr lang="en-IN" sz="1100" b="0" i="0" u="none" strike="noStrike">
              <a:solidFill>
                <a:schemeClr val="dk1"/>
              </a:solidFill>
              <a:effectLst/>
              <a:latin typeface="+mn-lt"/>
              <a:ea typeface="+mn-ea"/>
              <a:cs typeface="+mn-cs"/>
            </a:rPr>
            <a:t>Determine the count of</a:t>
          </a:r>
          <a:r>
            <a:rPr lang="en-IN" sz="1100" b="0" i="0" u="none" strike="noStrike" baseline="0">
              <a:solidFill>
                <a:schemeClr val="dk1"/>
              </a:solidFill>
              <a:effectLst/>
              <a:latin typeface="+mn-lt"/>
              <a:ea typeface="+mn-ea"/>
              <a:cs typeface="+mn-cs"/>
            </a:rPr>
            <a:t> sales amount</a:t>
          </a:r>
          <a:r>
            <a:rPr lang="en-IN" sz="1100" b="0" i="0" u="none" strike="noStrike">
              <a:solidFill>
                <a:schemeClr val="dk1"/>
              </a:solidFill>
              <a:effectLst/>
              <a:latin typeface="+mn-lt"/>
              <a:ea typeface="+mn-ea"/>
              <a:cs typeface="+mn-cs"/>
            </a:rPr>
            <a:t> greater</a:t>
          </a:r>
          <a:r>
            <a:rPr lang="en-IN" sz="1100" b="0" i="0" u="none" strike="noStrike" baseline="0">
              <a:solidFill>
                <a:schemeClr val="dk1"/>
              </a:solidFill>
              <a:effectLst/>
              <a:latin typeface="+mn-lt"/>
              <a:ea typeface="+mn-ea"/>
              <a:cs typeface="+mn-cs"/>
            </a:rPr>
            <a:t> than </a:t>
          </a:r>
          <a:r>
            <a:rPr lang="en-IN" sz="1100" b="0" i="0" u="sng" strike="noStrike" baseline="0">
              <a:solidFill>
                <a:schemeClr val="dk1"/>
              </a:solidFill>
              <a:effectLst/>
              <a:latin typeface="+mn-lt"/>
              <a:ea typeface="+mn-ea"/>
              <a:cs typeface="+mn-cs"/>
            </a:rPr>
            <a:t>$</a:t>
          </a:r>
          <a:r>
            <a:rPr lang="en-IN" sz="1100" b="0" i="0" u="none" strike="noStrike" baseline="0">
              <a:solidFill>
                <a:schemeClr val="dk1"/>
              </a:solidFill>
              <a:effectLst/>
              <a:latin typeface="+mn-lt"/>
              <a:ea typeface="+mn-ea"/>
              <a:cs typeface="+mn-cs"/>
            </a:rPr>
            <a:t>10000 </a:t>
          </a:r>
          <a:r>
            <a:rPr lang="en-IN" sz="1100" b="0" i="0" u="none" strike="noStrike">
              <a:solidFill>
                <a:schemeClr val="dk1"/>
              </a:solidFill>
              <a:effectLst/>
              <a:latin typeface="+mn-lt"/>
              <a:ea typeface="+mn-ea"/>
              <a:cs typeface="+mn-cs"/>
            </a:rPr>
            <a:t>using the COUNTIF function.</a:t>
          </a:r>
          <a:r>
            <a:rPr lang="en-IN">
              <a:effectLst/>
            </a:rPr>
            <a:t> </a:t>
          </a:r>
        </a:p>
        <a:p>
          <a:pPr marL="914400" marR="0" lvl="2" indent="0" algn="l" defTabSz="914400" eaLnBrk="1" fontAlgn="auto" latinLnBrk="0" hangingPunct="1">
            <a:lnSpc>
              <a:spcPct val="100000"/>
            </a:lnSpc>
            <a:spcBef>
              <a:spcPts val="0"/>
            </a:spcBef>
            <a:spcAft>
              <a:spcPts val="0"/>
            </a:spcAft>
            <a:buClrTx/>
            <a:buSzTx/>
            <a:buFontTx/>
            <a:buNone/>
            <a:tabLst/>
            <a:defRPr/>
          </a:pPr>
          <a:r>
            <a:rPr lang="en-IN" b="1">
              <a:solidFill>
                <a:srgbClr val="FF0000"/>
              </a:solidFill>
              <a:effectLst/>
            </a:rPr>
            <a:t>                                FORMULA</a:t>
          </a:r>
          <a:r>
            <a:rPr lang="en-IN" sz="1100" b="1">
              <a:solidFill>
                <a:srgbClr val="FF0000"/>
              </a:solidFill>
              <a:effectLst/>
              <a:latin typeface="+mn-lt"/>
              <a:ea typeface="+mn-ea"/>
              <a:cs typeface="+mn-cs"/>
            </a:rPr>
            <a:t>=COUNTIF(H2:H2501,"&gt;10000")</a:t>
          </a:r>
        </a:p>
        <a:p>
          <a:pPr lvl="2" algn="l"/>
          <a:r>
            <a:rPr lang="en-IN" b="1">
              <a:solidFill>
                <a:srgbClr val="FF0000"/>
              </a:solidFill>
              <a:effectLst/>
            </a:rPr>
            <a:t>                                                       </a:t>
          </a:r>
          <a:r>
            <a:rPr lang="en-IN" sz="1100" b="1" i="0" u="none" strike="noStrike">
              <a:solidFill>
                <a:srgbClr val="FF0000"/>
              </a:solidFill>
              <a:effectLst/>
              <a:latin typeface="+mn-lt"/>
              <a:ea typeface="+mn-ea"/>
              <a:cs typeface="+mn-cs"/>
            </a:rPr>
            <a:t>12</a:t>
          </a:r>
        </a:p>
        <a:p>
          <a:pPr lvl="2" algn="l"/>
          <a:r>
            <a:rPr lang="en-IN" sz="1100" b="1" i="0">
              <a:solidFill>
                <a:schemeClr val="dk1"/>
              </a:solidFill>
              <a:effectLst/>
              <a:latin typeface="+mn-lt"/>
              <a:ea typeface="+mn-ea"/>
              <a:cs typeface="+mn-cs"/>
            </a:rPr>
            <a:t>                                 </a:t>
          </a:r>
          <a:r>
            <a:rPr lang="en-IN" sz="1400" b="1" i="0">
              <a:solidFill>
                <a:schemeClr val="accent3"/>
              </a:solidFill>
              <a:effectLst/>
              <a:latin typeface="+mn-lt"/>
              <a:ea typeface="+mn-ea"/>
              <a:cs typeface="+mn-cs"/>
            </a:rPr>
            <a:t>Handling Missing Values:</a:t>
          </a:r>
          <a:r>
            <a:rPr lang="en-IN" sz="1400">
              <a:solidFill>
                <a:schemeClr val="accent3"/>
              </a:solidFill>
              <a:effectLst/>
              <a:latin typeface="+mn-lt"/>
              <a:ea typeface="+mn-ea"/>
              <a:cs typeface="+mn-cs"/>
            </a:rPr>
            <a:t> </a:t>
          </a:r>
          <a:endParaRPr lang="en-IN" sz="1400">
            <a:solidFill>
              <a:schemeClr val="accent3"/>
            </a:solidFill>
            <a:effectLst/>
          </a:endParaRPr>
        </a:p>
        <a:p>
          <a:pPr lvl="2" algn="l"/>
          <a:r>
            <a:rPr lang="en-IN" sz="1100" b="0" i="0">
              <a:solidFill>
                <a:schemeClr val="dk1"/>
              </a:solidFill>
              <a:effectLst/>
              <a:latin typeface="+mn-lt"/>
              <a:ea typeface="+mn-ea"/>
              <a:cs typeface="+mn-cs"/>
            </a:rPr>
            <a:t>          • Check for missing values in the "UNITS SOLD"column. How would you handle products with missing price information</a:t>
          </a:r>
          <a:endParaRPr lang="en-IN">
            <a:effectLst/>
          </a:endParaRPr>
        </a:p>
        <a:p>
          <a:pPr lvl="2" algn="l"/>
          <a:r>
            <a:rPr lang="en-IN" sz="1100" b="1">
              <a:solidFill>
                <a:srgbClr val="FF0000"/>
              </a:solidFill>
              <a:effectLst>
                <a:innerShdw blurRad="177800">
                  <a:schemeClr val="accent3">
                    <a:lumMod val="50000"/>
                  </a:schemeClr>
                </a:innerShdw>
              </a:effectLst>
              <a:latin typeface="+mn-lt"/>
              <a:ea typeface="+mn-ea"/>
              <a:cs typeface="+mn-cs"/>
            </a:rPr>
            <a:t>                          </a:t>
          </a:r>
          <a:r>
            <a:rPr lang="en-IN" sz="1100" b="1">
              <a:solidFill>
                <a:srgbClr val="FF0000"/>
              </a:solidFill>
              <a:effectLst/>
              <a:latin typeface="+mn-lt"/>
              <a:ea typeface="+mn-ea"/>
              <a:cs typeface="+mn-cs"/>
            </a:rPr>
            <a:t>Formula</a:t>
          </a:r>
          <a:r>
            <a:rPr lang="en-IN" sz="1100" b="1" baseline="0">
              <a:solidFill>
                <a:srgbClr val="FF0000"/>
              </a:solidFill>
              <a:effectLst/>
              <a:latin typeface="+mn-lt"/>
              <a:ea typeface="+mn-ea"/>
              <a:cs typeface="+mn-cs"/>
            </a:rPr>
            <a:t> </a:t>
          </a:r>
          <a:r>
            <a:rPr lang="en-IN" sz="1100" b="1">
              <a:solidFill>
                <a:srgbClr val="FF0000"/>
              </a:solidFill>
              <a:effectLst/>
              <a:latin typeface="+mn-lt"/>
              <a:ea typeface="+mn-ea"/>
              <a:cs typeface="+mn-cs"/>
            </a:rPr>
            <a:t>=IF(ISBLANK([@[Units_Sold]]),AVERAGE($F$2:$F$2501),[@[Units_Sold]])</a:t>
          </a:r>
        </a:p>
        <a:p>
          <a:pPr lvl="2" algn="l"/>
          <a:r>
            <a:rPr lang="en-IN" sz="1100">
              <a:solidFill>
                <a:schemeClr val="dk1"/>
              </a:solidFill>
              <a:effectLst/>
              <a:latin typeface="+mn-lt"/>
              <a:ea typeface="+mn-ea"/>
              <a:cs typeface="+mn-cs"/>
            </a:rPr>
            <a:t>         </a:t>
          </a:r>
          <a:r>
            <a:rPr lang="en-IN" sz="1100" b="0" i="0">
              <a:solidFill>
                <a:schemeClr val="dk1"/>
              </a:solidFill>
              <a:effectLst/>
              <a:latin typeface="+mn-lt"/>
              <a:ea typeface="+mn-ea"/>
              <a:cs typeface="+mn-cs"/>
            </a:rPr>
            <a:t> • If there are values with missing segment, propose a strategy to impute or deal with these missing values effectively.</a:t>
          </a:r>
          <a:endParaRPr lang="en-IN">
            <a:effectLst/>
          </a:endParaRPr>
        </a:p>
        <a:p>
          <a:pPr lvl="2" algn="l"/>
          <a:r>
            <a:rPr lang="en-IN" sz="1100" b="1" i="0" baseline="0">
              <a:solidFill>
                <a:srgbClr val="FF0000"/>
              </a:solidFill>
              <a:effectLst/>
              <a:latin typeface="+mn-lt"/>
              <a:ea typeface="+mn-ea"/>
              <a:cs typeface="+mn-cs"/>
            </a:rPr>
            <a:t>                          It is done  by if condition statement</a:t>
          </a:r>
        </a:p>
        <a:p>
          <a:pPr marL="914400" marR="0" lvl="2" indent="0" algn="l" defTabSz="914400" eaLnBrk="1" fontAlgn="auto" latinLnBrk="0" hangingPunct="1">
            <a:lnSpc>
              <a:spcPct val="100000"/>
            </a:lnSpc>
            <a:spcBef>
              <a:spcPts val="0"/>
            </a:spcBef>
            <a:spcAft>
              <a:spcPts val="0"/>
            </a:spcAft>
            <a:buClrTx/>
            <a:buSzTx/>
            <a:buFontTx/>
            <a:buNone/>
            <a:tabLst/>
            <a:defRPr/>
          </a:pPr>
          <a:r>
            <a:rPr lang="en-IN" sz="1100" b="1">
              <a:solidFill>
                <a:srgbClr val="FF0000"/>
              </a:solidFill>
              <a:effectLst/>
              <a:latin typeface="+mn-lt"/>
              <a:ea typeface="+mn-ea"/>
              <a:cs typeface="+mn-cs"/>
            </a:rPr>
            <a:t>                           FORMULA =IF(ISBLANK(K3),"UNKNOWN",K3)</a:t>
          </a:r>
        </a:p>
        <a:p>
          <a:pPr lvl="2" algn="l"/>
          <a:r>
            <a:rPr lang="en-IN" sz="1400" b="1" i="0">
              <a:solidFill>
                <a:schemeClr val="accent3"/>
              </a:solidFill>
              <a:effectLst/>
              <a:latin typeface="+mn-lt"/>
              <a:ea typeface="+mn-ea"/>
              <a:cs typeface="+mn-cs"/>
            </a:rPr>
            <a:t>                           Correcting Inconsistent Data</a:t>
          </a:r>
          <a:r>
            <a:rPr lang="en-IN" sz="1100" b="1" i="0">
              <a:solidFill>
                <a:schemeClr val="dk1"/>
              </a:solidFill>
              <a:effectLst/>
              <a:latin typeface="+mn-lt"/>
              <a:ea typeface="+mn-ea"/>
              <a:cs typeface="+mn-cs"/>
            </a:rPr>
            <a:t>:</a:t>
          </a:r>
          <a:endParaRPr lang="en-IN">
            <a:effectLst/>
          </a:endParaRPr>
        </a:p>
        <a:p>
          <a:pPr lvl="2" algn="l"/>
          <a:r>
            <a:rPr lang="en-IN" sz="1100" b="1" i="0">
              <a:solidFill>
                <a:schemeClr val="dk1"/>
              </a:solidFill>
              <a:effectLst/>
              <a:latin typeface="+mn-lt"/>
              <a:ea typeface="+mn-ea"/>
              <a:cs typeface="+mn-cs"/>
            </a:rPr>
            <a:t>          </a:t>
          </a:r>
          <a:r>
            <a:rPr lang="en-IN" sz="1100" b="0" i="0">
              <a:solidFill>
                <a:schemeClr val="dk1"/>
              </a:solidFill>
              <a:effectLst/>
              <a:latin typeface="+mn-lt"/>
              <a:ea typeface="+mn-ea"/>
              <a:cs typeface="+mn-cs"/>
            </a:rPr>
            <a:t>• Identify any inconsistent text formats present in the "Product Name" column.</a:t>
          </a:r>
          <a:r>
            <a:rPr lang="en-IN" sz="1100">
              <a:solidFill>
                <a:schemeClr val="dk1"/>
              </a:solidFill>
              <a:effectLst/>
              <a:latin typeface="+mn-lt"/>
              <a:ea typeface="+mn-ea"/>
              <a:cs typeface="+mn-cs"/>
            </a:rPr>
            <a:t> </a:t>
          </a:r>
          <a:r>
            <a:rPr lang="en-IN" sz="1100" b="1" i="0" baseline="0">
              <a:solidFill>
                <a:schemeClr val="dk1"/>
              </a:solidFill>
              <a:effectLst/>
              <a:latin typeface="+mn-lt"/>
              <a:ea typeface="+mn-ea"/>
              <a:cs typeface="+mn-cs"/>
            </a:rPr>
            <a:t>     </a:t>
          </a:r>
          <a:endParaRPr lang="en-IN">
            <a:effectLst/>
          </a:endParaRPr>
        </a:p>
        <a:p>
          <a:pPr lvl="2" algn="l"/>
          <a:r>
            <a:rPr lang="en-IN" sz="1100" b="1" i="0" baseline="0">
              <a:solidFill>
                <a:srgbClr val="FF0000"/>
              </a:solidFill>
              <a:effectLst/>
              <a:latin typeface="+mn-lt"/>
              <a:ea typeface="+mn-ea"/>
              <a:cs typeface="+mn-cs"/>
            </a:rPr>
            <a:t>                                                Changed formats to text    </a:t>
          </a:r>
          <a:endParaRPr lang="en-IN" b="1">
            <a:solidFill>
              <a:srgbClr val="FF0000"/>
            </a:solidFill>
            <a:effectLst/>
          </a:endParaRPr>
        </a:p>
        <a:p>
          <a:pPr lvl="2" algn="l"/>
          <a:r>
            <a:rPr lang="en-IN" sz="1100" b="1" i="0" baseline="0">
              <a:solidFill>
                <a:schemeClr val="dk1"/>
              </a:solidFill>
              <a:effectLst/>
              <a:latin typeface="+mn-lt"/>
              <a:ea typeface="+mn-ea"/>
              <a:cs typeface="+mn-cs"/>
            </a:rPr>
            <a:t>          </a:t>
          </a:r>
          <a:r>
            <a:rPr lang="en-IN" sz="1100" b="0" i="0">
              <a:solidFill>
                <a:schemeClr val="dk1"/>
              </a:solidFill>
              <a:effectLst/>
              <a:latin typeface="+mn-lt"/>
              <a:ea typeface="+mn-ea"/>
              <a:cs typeface="+mn-cs"/>
            </a:rPr>
            <a:t>• Identify any typos present in the "CITY" column.</a:t>
          </a:r>
          <a:r>
            <a:rPr lang="en-IN" sz="1100">
              <a:solidFill>
                <a:schemeClr val="dk1"/>
              </a:solidFill>
              <a:effectLst/>
              <a:latin typeface="+mn-lt"/>
              <a:ea typeface="+mn-ea"/>
              <a:cs typeface="+mn-cs"/>
            </a:rPr>
            <a:t>   </a:t>
          </a:r>
          <a:endParaRPr lang="en-IN">
            <a:effectLst/>
          </a:endParaRPr>
        </a:p>
        <a:p>
          <a:pPr lvl="2" algn="l"/>
          <a:r>
            <a:rPr lang="en-IN" sz="1100" b="1">
              <a:solidFill>
                <a:srgbClr val="FF0000"/>
              </a:solidFill>
              <a:effectLst/>
              <a:latin typeface="+mn-lt"/>
              <a:ea typeface="+mn-ea"/>
              <a:cs typeface="+mn-cs"/>
            </a:rPr>
            <a:t>                                                Bangalore,Hyderabad</a:t>
          </a:r>
          <a:r>
            <a:rPr lang="en-IN" sz="1100" b="1" baseline="0">
              <a:solidFill>
                <a:srgbClr val="FF0000"/>
              </a:solidFill>
              <a:effectLst/>
              <a:latin typeface="+mn-lt"/>
              <a:ea typeface="+mn-ea"/>
              <a:cs typeface="+mn-cs"/>
            </a:rPr>
            <a:t> spelling changed</a:t>
          </a:r>
          <a:r>
            <a:rPr lang="en-IN" sz="1100" b="1">
              <a:solidFill>
                <a:srgbClr val="FF0000"/>
              </a:solidFill>
              <a:effectLst/>
              <a:latin typeface="+mn-lt"/>
              <a:ea typeface="+mn-ea"/>
              <a:cs typeface="+mn-cs"/>
            </a:rPr>
            <a:t>        </a:t>
          </a:r>
          <a:r>
            <a:rPr lang="en-IN" sz="1100" b="1">
              <a:solidFill>
                <a:schemeClr val="dk1"/>
              </a:solidFill>
              <a:effectLst/>
              <a:latin typeface="+mn-lt"/>
              <a:ea typeface="+mn-ea"/>
              <a:cs typeface="+mn-cs"/>
            </a:rPr>
            <a:t>           </a:t>
          </a:r>
          <a:r>
            <a:rPr lang="en-IN" sz="1100" b="1" i="0">
              <a:solidFill>
                <a:schemeClr val="dk1"/>
              </a:solidFill>
              <a:effectLst/>
              <a:latin typeface="+mn-lt"/>
              <a:ea typeface="+mn-ea"/>
              <a:cs typeface="+mn-cs"/>
            </a:rPr>
            <a:t>                                        </a:t>
          </a:r>
          <a:r>
            <a:rPr lang="en-IN" sz="1100" b="1">
              <a:solidFill>
                <a:schemeClr val="dk1"/>
              </a:solidFill>
              <a:effectLst/>
              <a:latin typeface="+mn-lt"/>
              <a:ea typeface="+mn-ea"/>
              <a:cs typeface="+mn-cs"/>
            </a:rPr>
            <a:t>            </a:t>
          </a:r>
          <a:endParaRPr lang="en-IN">
            <a:effectLst/>
          </a:endParaRPr>
        </a:p>
        <a:p>
          <a:pPr lvl="2" algn="l"/>
          <a:r>
            <a:rPr lang="en-IN" sz="1100" b="0" i="0">
              <a:solidFill>
                <a:schemeClr val="dk1"/>
              </a:solidFill>
              <a:effectLst/>
              <a:latin typeface="+mn-lt"/>
              <a:ea typeface="+mn-ea"/>
              <a:cs typeface="+mn-cs"/>
            </a:rPr>
            <a:t>          • Use the find and replace function fix any typos or misspellings in the "City" column  </a:t>
          </a:r>
          <a:endParaRPr lang="en-IN">
            <a:effectLst/>
          </a:endParaRPr>
        </a:p>
        <a:p>
          <a:pPr lvl="2" algn="l"/>
          <a:r>
            <a:rPr lang="en-IN" sz="1100" b="1" i="0">
              <a:solidFill>
                <a:srgbClr val="FF0000"/>
              </a:solidFill>
              <a:effectLst/>
              <a:latin typeface="+mn-lt"/>
              <a:ea typeface="+mn-ea"/>
              <a:cs typeface="+mn-cs"/>
            </a:rPr>
            <a:t>                                 </a:t>
          </a:r>
          <a:r>
            <a:rPr lang="en-IN" sz="1100" b="1" i="0" baseline="0">
              <a:solidFill>
                <a:srgbClr val="FF0000"/>
              </a:solidFill>
              <a:effectLst/>
              <a:latin typeface="+mn-lt"/>
              <a:ea typeface="+mn-ea"/>
              <a:cs typeface="+mn-cs"/>
            </a:rPr>
            <a:t>                [</a:t>
          </a:r>
          <a:r>
            <a:rPr lang="en-IN" sz="1100" b="1" i="0">
              <a:solidFill>
                <a:srgbClr val="FF0000"/>
              </a:solidFill>
              <a:effectLst/>
              <a:latin typeface="+mn-lt"/>
              <a:ea typeface="+mn-ea"/>
              <a:cs typeface="+mn-cs"/>
            </a:rPr>
            <a:t>Ctrl+h]</a:t>
          </a:r>
          <a:r>
            <a:rPr lang="en-IN" sz="1100" b="1" i="0" baseline="0">
              <a:solidFill>
                <a:srgbClr val="FF0000"/>
              </a:solidFill>
              <a:effectLst/>
              <a:latin typeface="+mn-lt"/>
              <a:ea typeface="+mn-ea"/>
              <a:cs typeface="+mn-cs"/>
            </a:rPr>
            <a:t> to find &amp; replace</a:t>
          </a:r>
          <a:endParaRPr lang="en-IN" b="1">
            <a:solidFill>
              <a:srgbClr val="FF0000"/>
            </a:solidFill>
            <a:effectLst/>
          </a:endParaRPr>
        </a:p>
        <a:p>
          <a:pPr lvl="2" algn="l"/>
          <a:r>
            <a:rPr lang="en-IN" sz="1400" b="1" i="0">
              <a:solidFill>
                <a:schemeClr val="accent3"/>
              </a:solidFill>
              <a:effectLst/>
              <a:latin typeface="+mn-lt"/>
              <a:ea typeface="+mn-ea"/>
              <a:cs typeface="+mn-cs"/>
            </a:rPr>
            <a:t>                                 Removing Duplicates</a:t>
          </a:r>
          <a:r>
            <a:rPr lang="en-IN" sz="1100" b="1" i="0">
              <a:solidFill>
                <a:schemeClr val="dk1"/>
              </a:solidFill>
              <a:effectLst/>
              <a:latin typeface="+mn-lt"/>
              <a:ea typeface="+mn-ea"/>
              <a:cs typeface="+mn-cs"/>
            </a:rPr>
            <a:t>: </a:t>
          </a:r>
          <a:endParaRPr lang="en-IN">
            <a:effectLst/>
          </a:endParaRPr>
        </a:p>
        <a:p>
          <a:pPr lvl="2" algn="l"/>
          <a:r>
            <a:rPr lang="en-IN" sz="1100" b="1" i="0">
              <a:solidFill>
                <a:schemeClr val="dk1"/>
              </a:solidFill>
              <a:effectLst/>
              <a:latin typeface="+mn-lt"/>
              <a:ea typeface="+mn-ea"/>
              <a:cs typeface="+mn-cs"/>
            </a:rPr>
            <a:t>          </a:t>
          </a:r>
          <a:r>
            <a:rPr lang="en-IN" sz="1100">
              <a:solidFill>
                <a:schemeClr val="dk1"/>
              </a:solidFill>
              <a:effectLst/>
              <a:latin typeface="+mn-lt"/>
              <a:ea typeface="+mn-ea"/>
              <a:cs typeface="+mn-cs"/>
            </a:rPr>
            <a:t> </a:t>
          </a:r>
          <a:r>
            <a:rPr lang="en-IN" sz="1100" b="0" i="0">
              <a:solidFill>
                <a:schemeClr val="dk1"/>
              </a:solidFill>
              <a:effectLst/>
              <a:latin typeface="+mn-lt"/>
              <a:ea typeface="+mn-ea"/>
              <a:cs typeface="+mn-cs"/>
            </a:rPr>
            <a:t>• Identify any duplicate rows within the dataset based on the entirety of each row, and remove them if any.</a:t>
          </a:r>
          <a:endParaRPr lang="en-IN">
            <a:effectLst/>
          </a:endParaRPr>
        </a:p>
        <a:p>
          <a:pPr lvl="2" algn="l"/>
          <a:r>
            <a:rPr lang="en-IN" sz="1100" b="1" i="0">
              <a:solidFill>
                <a:srgbClr val="FF0000"/>
              </a:solidFill>
              <a:effectLst/>
              <a:latin typeface="+mn-lt"/>
              <a:ea typeface="+mn-ea"/>
              <a:cs typeface="+mn-cs"/>
            </a:rPr>
            <a:t>                                              No</a:t>
          </a:r>
          <a:r>
            <a:rPr lang="en-IN" sz="1100" b="1" i="0" baseline="0">
              <a:solidFill>
                <a:srgbClr val="FF0000"/>
              </a:solidFill>
              <a:effectLst/>
              <a:latin typeface="+mn-lt"/>
              <a:ea typeface="+mn-ea"/>
              <a:cs typeface="+mn-cs"/>
            </a:rPr>
            <a:t> duplicate values found</a:t>
          </a:r>
          <a:endParaRPr lang="en-IN" b="1">
            <a:solidFill>
              <a:srgbClr val="FF0000"/>
            </a:solidFill>
            <a:effectLst/>
          </a:endParaRPr>
        </a:p>
        <a:p>
          <a:pPr lvl="2" algn="l"/>
          <a:r>
            <a:rPr lang="en-IN" sz="1400" b="1" i="0">
              <a:solidFill>
                <a:schemeClr val="accent3"/>
              </a:solidFill>
              <a:effectLst/>
              <a:latin typeface="+mn-lt"/>
              <a:ea typeface="+mn-ea"/>
              <a:cs typeface="+mn-cs"/>
            </a:rPr>
            <a:t>                               Splitting and Merging Data:</a:t>
          </a:r>
          <a:r>
            <a:rPr lang="en-IN" sz="1400">
              <a:solidFill>
                <a:schemeClr val="accent3"/>
              </a:solidFill>
              <a:effectLst/>
              <a:latin typeface="+mn-lt"/>
              <a:ea typeface="+mn-ea"/>
              <a:cs typeface="+mn-cs"/>
            </a:rPr>
            <a:t>   </a:t>
          </a:r>
          <a:endParaRPr lang="en-IN" sz="1400">
            <a:solidFill>
              <a:schemeClr val="accent3"/>
            </a:solidFill>
            <a:effectLst/>
          </a:endParaRPr>
        </a:p>
        <a:p>
          <a:pPr lvl="2" algn="l"/>
          <a:r>
            <a:rPr lang="en-IN" sz="1100" b="0" i="0">
              <a:solidFill>
                <a:schemeClr val="dk1"/>
              </a:solidFill>
              <a:effectLst/>
              <a:latin typeface="+mn-lt"/>
              <a:ea typeface="+mn-ea"/>
              <a:cs typeface="+mn-cs"/>
            </a:rPr>
            <a:t>           • Split the "CUSTOMER</a:t>
          </a:r>
          <a:r>
            <a:rPr lang="en-IN" sz="1100" b="0" i="0" baseline="0">
              <a:solidFill>
                <a:schemeClr val="dk1"/>
              </a:solidFill>
              <a:effectLst/>
              <a:latin typeface="+mn-lt"/>
              <a:ea typeface="+mn-ea"/>
              <a:cs typeface="+mn-cs"/>
            </a:rPr>
            <a:t> NAME</a:t>
          </a:r>
          <a:r>
            <a:rPr lang="en-IN" sz="1100" b="0" i="0">
              <a:solidFill>
                <a:schemeClr val="dk1"/>
              </a:solidFill>
              <a:effectLst/>
              <a:latin typeface="+mn-lt"/>
              <a:ea typeface="+mn-ea"/>
              <a:cs typeface="+mn-cs"/>
            </a:rPr>
            <a:t>" column into two separate columns for " FIRST</a:t>
          </a:r>
          <a:r>
            <a:rPr lang="en-IN" sz="1100" b="0" i="0" baseline="0">
              <a:solidFill>
                <a:schemeClr val="dk1"/>
              </a:solidFill>
              <a:effectLst/>
              <a:latin typeface="+mn-lt"/>
              <a:ea typeface="+mn-ea"/>
              <a:cs typeface="+mn-cs"/>
            </a:rPr>
            <a:t> NAME</a:t>
          </a:r>
          <a:r>
            <a:rPr lang="en-IN" sz="1100" b="0" i="0">
              <a:solidFill>
                <a:schemeClr val="dk1"/>
              </a:solidFill>
              <a:effectLst/>
              <a:latin typeface="+mn-lt"/>
              <a:ea typeface="+mn-ea"/>
              <a:cs typeface="+mn-cs"/>
            </a:rPr>
            <a:t>" and "LAST</a:t>
          </a:r>
          <a:r>
            <a:rPr lang="en-IN" sz="1100" b="0" i="0" baseline="0">
              <a:solidFill>
                <a:schemeClr val="dk1"/>
              </a:solidFill>
              <a:effectLst/>
              <a:latin typeface="+mn-lt"/>
              <a:ea typeface="+mn-ea"/>
              <a:cs typeface="+mn-cs"/>
            </a:rPr>
            <a:t> NAME</a:t>
          </a:r>
          <a:r>
            <a:rPr lang="en-IN" sz="1100" b="0" i="0">
              <a:solidFill>
                <a:schemeClr val="dk1"/>
              </a:solidFill>
              <a:effectLst/>
              <a:latin typeface="+mn-lt"/>
              <a:ea typeface="+mn-ea"/>
              <a:cs typeface="+mn-cs"/>
            </a:rPr>
            <a:t>". Remove unnecessary characters, if any. </a:t>
          </a:r>
          <a:endParaRPr lang="en-IN">
            <a:effectLst/>
          </a:endParaRPr>
        </a:p>
        <a:p>
          <a:pPr lvl="2" algn="l"/>
          <a:r>
            <a:rPr lang="en-IN" sz="1100" b="1" i="0">
              <a:solidFill>
                <a:srgbClr val="FF0000"/>
              </a:solidFill>
              <a:effectLst/>
              <a:latin typeface="+mn-lt"/>
              <a:ea typeface="+mn-ea"/>
              <a:cs typeface="+mn-cs"/>
            </a:rPr>
            <a:t>                                          Separated</a:t>
          </a:r>
          <a:r>
            <a:rPr lang="en-IN" sz="1100" b="1" i="0" baseline="0">
              <a:solidFill>
                <a:srgbClr val="FF0000"/>
              </a:solidFill>
              <a:effectLst/>
              <a:latin typeface="+mn-lt"/>
              <a:ea typeface="+mn-ea"/>
              <a:cs typeface="+mn-cs"/>
            </a:rPr>
            <a:t> by Fixed Width </a:t>
          </a:r>
          <a:endParaRPr lang="en-IN" b="1">
            <a:solidFill>
              <a:srgbClr val="FF0000"/>
            </a:solidFill>
            <a:effectLst/>
          </a:endParaRPr>
        </a:p>
        <a:p>
          <a:pPr lvl="2" algn="l"/>
          <a:r>
            <a:rPr lang="en-IN" sz="1100" b="0" i="0">
              <a:solidFill>
                <a:schemeClr val="dk1"/>
              </a:solidFill>
              <a:effectLst/>
              <a:latin typeface="+mn-lt"/>
              <a:ea typeface="+mn-ea"/>
              <a:cs typeface="+mn-cs"/>
            </a:rPr>
            <a:t>          </a:t>
          </a:r>
          <a:r>
            <a:rPr lang="en-IN" sz="1100">
              <a:solidFill>
                <a:schemeClr val="dk1"/>
              </a:solidFill>
              <a:effectLst/>
              <a:latin typeface="+mn-lt"/>
              <a:ea typeface="+mn-ea"/>
              <a:cs typeface="+mn-cs"/>
            </a:rPr>
            <a:t> </a:t>
          </a:r>
          <a:r>
            <a:rPr lang="en-IN" sz="1100" b="0" i="0">
              <a:solidFill>
                <a:schemeClr val="dk1"/>
              </a:solidFill>
              <a:effectLst/>
              <a:latin typeface="+mn-lt"/>
              <a:ea typeface="+mn-ea"/>
              <a:cs typeface="+mn-cs"/>
            </a:rPr>
            <a:t>• Merge the "Product</a:t>
          </a:r>
          <a:r>
            <a:rPr lang="en-IN" sz="1100" b="0" i="0" baseline="0">
              <a:solidFill>
                <a:schemeClr val="dk1"/>
              </a:solidFill>
              <a:effectLst/>
              <a:latin typeface="+mn-lt"/>
              <a:ea typeface="+mn-ea"/>
              <a:cs typeface="+mn-cs"/>
            </a:rPr>
            <a:t> Category</a:t>
          </a:r>
          <a:r>
            <a:rPr lang="en-IN" sz="1100" b="0" i="0">
              <a:solidFill>
                <a:schemeClr val="dk1"/>
              </a:solidFill>
              <a:effectLst/>
              <a:latin typeface="+mn-lt"/>
              <a:ea typeface="+mn-ea"/>
              <a:cs typeface="+mn-cs"/>
            </a:rPr>
            <a:t>" and "Product Name" columns into one column named "Product Brand".</a:t>
          </a:r>
          <a:r>
            <a:rPr lang="en-IN" sz="1100">
              <a:solidFill>
                <a:schemeClr val="dk1"/>
              </a:solidFill>
              <a:effectLst/>
              <a:latin typeface="+mn-lt"/>
              <a:ea typeface="+mn-ea"/>
              <a:cs typeface="+mn-cs"/>
            </a:rPr>
            <a:t> </a:t>
          </a:r>
          <a:endParaRPr lang="en-IN">
            <a:effectLst/>
          </a:endParaRPr>
        </a:p>
        <a:p>
          <a:pPr lvl="2" algn="l"/>
          <a:r>
            <a:rPr lang="en-IN" sz="1100" b="0">
              <a:solidFill>
                <a:srgbClr val="FF0000"/>
              </a:solidFill>
              <a:effectLst/>
              <a:latin typeface="+mn-lt"/>
              <a:ea typeface="+mn-ea"/>
              <a:cs typeface="+mn-cs"/>
            </a:rPr>
            <a:t>                              </a:t>
          </a:r>
          <a:r>
            <a:rPr lang="en-IN" sz="1100" b="1">
              <a:solidFill>
                <a:srgbClr val="FF0000"/>
              </a:solidFill>
              <a:effectLst/>
              <a:latin typeface="+mn-lt"/>
              <a:ea typeface="+mn-ea"/>
              <a:cs typeface="+mn-cs"/>
            </a:rPr>
            <a:t>=CONCAT([@[product</a:t>
          </a:r>
          <a:r>
            <a:rPr lang="en-IN" sz="1100" b="1" baseline="0">
              <a:solidFill>
                <a:srgbClr val="FF0000"/>
              </a:solidFill>
              <a:effectLst/>
              <a:latin typeface="+mn-lt"/>
              <a:ea typeface="+mn-ea"/>
              <a:cs typeface="+mn-cs"/>
            </a:rPr>
            <a:t> category</a:t>
          </a:r>
          <a:r>
            <a:rPr lang="en-IN" sz="1100" b="1">
              <a:solidFill>
                <a:srgbClr val="FF0000"/>
              </a:solidFill>
              <a:effectLst/>
              <a:latin typeface="+mn-lt"/>
              <a:ea typeface="+mn-ea"/>
              <a:cs typeface="+mn-cs"/>
            </a:rPr>
            <a:t>]]," ",[@[Product Name]])</a:t>
          </a:r>
          <a:endParaRPr lang="en-IN" b="1">
            <a:solidFill>
              <a:srgbClr val="FF0000"/>
            </a:solidFill>
            <a:effectLst/>
          </a:endParaRPr>
        </a:p>
        <a:p>
          <a:pPr lvl="2" algn="l"/>
          <a:r>
            <a:rPr lang="en-IN" sz="1100">
              <a:solidFill>
                <a:schemeClr val="dk1"/>
              </a:solidFill>
              <a:effectLst/>
              <a:latin typeface="+mn-lt"/>
              <a:ea typeface="+mn-ea"/>
              <a:cs typeface="+mn-cs"/>
            </a:rPr>
            <a:t>                                           </a:t>
          </a:r>
          <a:r>
            <a:rPr lang="en-IN" sz="1400" b="1" i="0">
              <a:solidFill>
                <a:schemeClr val="accent3"/>
              </a:solidFill>
              <a:effectLst/>
              <a:latin typeface="+mn-lt"/>
              <a:ea typeface="+mn-ea"/>
              <a:cs typeface="+mn-cs"/>
            </a:rPr>
            <a:t>Number Formatting</a:t>
          </a:r>
          <a:r>
            <a:rPr lang="en-IN" sz="1100" b="1" i="0">
              <a:solidFill>
                <a:schemeClr val="dk1"/>
              </a:solidFill>
              <a:effectLst/>
              <a:latin typeface="+mn-lt"/>
              <a:ea typeface="+mn-ea"/>
              <a:cs typeface="+mn-cs"/>
            </a:rPr>
            <a:t>:</a:t>
          </a:r>
          <a:r>
            <a:rPr lang="en-IN" sz="1100">
              <a:solidFill>
                <a:schemeClr val="dk1"/>
              </a:solidFill>
              <a:effectLst/>
              <a:latin typeface="+mn-lt"/>
              <a:ea typeface="+mn-ea"/>
              <a:cs typeface="+mn-cs"/>
            </a:rPr>
            <a:t> </a:t>
          </a:r>
          <a:endParaRPr lang="en-IN">
            <a:effectLst/>
          </a:endParaRPr>
        </a:p>
        <a:p>
          <a:pPr lvl="2" algn="l"/>
          <a:r>
            <a:rPr lang="en-IN" sz="1100" b="0" i="0">
              <a:solidFill>
                <a:schemeClr val="dk1"/>
              </a:solidFill>
              <a:effectLst/>
              <a:latin typeface="+mn-lt"/>
              <a:ea typeface="+mn-ea"/>
              <a:cs typeface="+mn-cs"/>
            </a:rPr>
            <a:t>           • Format the data type of the "Unit Price" column to currency format. </a:t>
          </a:r>
          <a:r>
            <a:rPr lang="en-IN" sz="1100">
              <a:solidFill>
                <a:schemeClr val="dk1"/>
              </a:solidFill>
              <a:effectLst/>
              <a:latin typeface="+mn-lt"/>
              <a:ea typeface="+mn-ea"/>
              <a:cs typeface="+mn-cs"/>
            </a:rPr>
            <a:t> </a:t>
          </a:r>
          <a:endParaRPr lang="en-IN">
            <a:effectLst/>
          </a:endParaRPr>
        </a:p>
        <a:p>
          <a:pPr lvl="2" algn="l"/>
          <a:r>
            <a:rPr lang="en-IN" sz="1100">
              <a:solidFill>
                <a:schemeClr val="dk1"/>
              </a:solidFill>
              <a:effectLst/>
              <a:latin typeface="+mn-lt"/>
              <a:ea typeface="+mn-ea"/>
              <a:cs typeface="+mn-cs"/>
            </a:rPr>
            <a:t>                                 </a:t>
          </a:r>
          <a:r>
            <a:rPr lang="en-IN" sz="1100" b="1">
              <a:solidFill>
                <a:srgbClr val="FF0000"/>
              </a:solidFill>
              <a:effectLst/>
              <a:latin typeface="+mn-lt"/>
              <a:ea typeface="+mn-ea"/>
              <a:cs typeface="+mn-cs"/>
            </a:rPr>
            <a:t>Its done by</a:t>
          </a:r>
          <a:r>
            <a:rPr lang="en-IN" sz="1100" b="1" baseline="0">
              <a:solidFill>
                <a:srgbClr val="FF0000"/>
              </a:solidFill>
              <a:effectLst/>
              <a:latin typeface="+mn-lt"/>
              <a:ea typeface="+mn-ea"/>
              <a:cs typeface="+mn-cs"/>
            </a:rPr>
            <a:t> changing the format</a:t>
          </a:r>
          <a:endParaRPr lang="en-IN" b="1">
            <a:solidFill>
              <a:srgbClr val="FF0000"/>
            </a:solidFill>
            <a:effectLst/>
          </a:endParaRPr>
        </a:p>
        <a:p>
          <a:pPr lvl="2" algn="l"/>
          <a:r>
            <a:rPr lang="en-IN" sz="1100">
              <a:solidFill>
                <a:schemeClr val="dk1"/>
              </a:solidFill>
              <a:effectLst/>
              <a:latin typeface="+mn-lt"/>
              <a:ea typeface="+mn-ea"/>
              <a:cs typeface="+mn-cs"/>
            </a:rPr>
            <a:t>           </a:t>
          </a:r>
          <a:r>
            <a:rPr lang="en-IN" sz="1100" b="0" i="0">
              <a:solidFill>
                <a:schemeClr val="dk1"/>
              </a:solidFill>
              <a:effectLst/>
              <a:latin typeface="+mn-lt"/>
              <a:ea typeface="+mn-ea"/>
              <a:cs typeface="+mn-cs"/>
            </a:rPr>
            <a:t>• Format the "Order</a:t>
          </a:r>
          <a:r>
            <a:rPr lang="en-IN" sz="1100" b="0" i="0" baseline="0">
              <a:solidFill>
                <a:schemeClr val="dk1"/>
              </a:solidFill>
              <a:effectLst/>
              <a:latin typeface="+mn-lt"/>
              <a:ea typeface="+mn-ea"/>
              <a:cs typeface="+mn-cs"/>
            </a:rPr>
            <a:t> </a:t>
          </a:r>
          <a:r>
            <a:rPr lang="en-IN" sz="1100" b="0" i="0">
              <a:solidFill>
                <a:schemeClr val="dk1"/>
              </a:solidFill>
              <a:effectLst/>
              <a:latin typeface="+mn-lt"/>
              <a:ea typeface="+mn-ea"/>
              <a:cs typeface="+mn-cs"/>
            </a:rPr>
            <a:t>Date" column to display dates in the "DD-MM-YYYY " format. </a:t>
          </a:r>
          <a:endParaRPr lang="en-IN">
            <a:effectLst/>
          </a:endParaRPr>
        </a:p>
        <a:p>
          <a:pPr lvl="2" algn="l"/>
          <a:r>
            <a:rPr lang="en-IN" sz="1100" b="1" i="0">
              <a:solidFill>
                <a:srgbClr val="FF0000"/>
              </a:solidFill>
              <a:effectLst/>
              <a:latin typeface="+mn-lt"/>
              <a:ea typeface="+mn-ea"/>
              <a:cs typeface="+mn-cs"/>
            </a:rPr>
            <a:t>                                   </a:t>
          </a:r>
          <a:r>
            <a:rPr lang="en-IN" sz="1100" b="1" i="0" baseline="0">
              <a:solidFill>
                <a:srgbClr val="FF0000"/>
              </a:solidFill>
              <a:effectLst/>
              <a:latin typeface="+mn-lt"/>
              <a:ea typeface="+mn-ea"/>
              <a:cs typeface="+mn-cs"/>
            </a:rPr>
            <a:t>Changed to date format in "dd-mm-yyyy"</a:t>
          </a:r>
          <a:endParaRPr lang="en-IN" sz="1100" b="1" i="0">
            <a:solidFill>
              <a:schemeClr val="dk1"/>
            </a:solidFill>
            <a:effectLst/>
            <a:latin typeface="+mn-lt"/>
            <a:ea typeface="+mn-ea"/>
            <a:cs typeface="+mn-cs"/>
          </a:endParaRPr>
        </a:p>
        <a:p>
          <a:pPr lvl="2" algn="l"/>
          <a:r>
            <a:rPr lang="en-IN" sz="1400" b="1" i="0">
              <a:solidFill>
                <a:schemeClr val="accent3"/>
              </a:solidFill>
              <a:effectLst/>
              <a:latin typeface="+mn-lt"/>
              <a:ea typeface="+mn-ea"/>
              <a:cs typeface="+mn-cs"/>
            </a:rPr>
            <a:t>                              Conditional Formatting</a:t>
          </a:r>
          <a:r>
            <a:rPr lang="en-IN" sz="1100" b="1" i="0">
              <a:solidFill>
                <a:schemeClr val="dk1"/>
              </a:solidFill>
              <a:effectLst/>
              <a:latin typeface="+mn-lt"/>
              <a:ea typeface="+mn-ea"/>
              <a:cs typeface="+mn-cs"/>
            </a:rPr>
            <a:t>:</a:t>
          </a:r>
          <a:r>
            <a:rPr lang="en-IN" sz="1100">
              <a:solidFill>
                <a:schemeClr val="dk1"/>
              </a:solidFill>
              <a:effectLst/>
              <a:latin typeface="+mn-lt"/>
              <a:ea typeface="+mn-ea"/>
              <a:cs typeface="+mn-cs"/>
            </a:rPr>
            <a:t> </a:t>
          </a:r>
          <a:endParaRPr lang="en-IN">
            <a:effectLst/>
          </a:endParaRPr>
        </a:p>
        <a:p>
          <a:pPr lvl="2" algn="l"/>
          <a:r>
            <a:rPr lang="en-IN" sz="1100" b="0" i="0">
              <a:solidFill>
                <a:schemeClr val="dk1"/>
              </a:solidFill>
              <a:effectLst/>
              <a:latin typeface="+mn-lt"/>
              <a:ea typeface="+mn-ea"/>
              <a:cs typeface="+mn-cs"/>
            </a:rPr>
            <a:t>           • Apply data bar or color scales conditional formatting in the "Revenue" column. </a:t>
          </a:r>
          <a:endParaRPr lang="en-IN">
            <a:effectLst/>
          </a:endParaRPr>
        </a:p>
        <a:p>
          <a:pPr marL="914400" marR="0" lvl="2" indent="0" algn="l" defTabSz="914400" eaLnBrk="1" fontAlgn="auto" latinLnBrk="0" hangingPunct="1">
            <a:lnSpc>
              <a:spcPct val="100000"/>
            </a:lnSpc>
            <a:spcBef>
              <a:spcPts val="0"/>
            </a:spcBef>
            <a:spcAft>
              <a:spcPts val="0"/>
            </a:spcAft>
            <a:buClrTx/>
            <a:buSzTx/>
            <a:buFontTx/>
            <a:buNone/>
            <a:tabLst/>
            <a:defRPr/>
          </a:pPr>
          <a:r>
            <a:rPr lang="en-IN" sz="1100" b="0" i="0">
              <a:solidFill>
                <a:schemeClr val="dk1"/>
              </a:solidFill>
              <a:effectLst/>
              <a:latin typeface="+mn-lt"/>
              <a:ea typeface="+mn-ea"/>
              <a:cs typeface="+mn-cs"/>
            </a:rPr>
            <a:t>         </a:t>
          </a:r>
          <a:r>
            <a:rPr lang="en-IN" sz="1100" b="0" i="0" baseline="0">
              <a:solidFill>
                <a:schemeClr val="dk1"/>
              </a:solidFill>
              <a:effectLst/>
              <a:latin typeface="+mn-lt"/>
              <a:ea typeface="+mn-ea"/>
              <a:cs typeface="+mn-cs"/>
            </a:rPr>
            <a:t> </a:t>
          </a:r>
          <a:r>
            <a:rPr lang="en-IN" sz="1100">
              <a:solidFill>
                <a:schemeClr val="dk1"/>
              </a:solidFill>
              <a:effectLst/>
              <a:latin typeface="+mn-lt"/>
              <a:ea typeface="+mn-ea"/>
              <a:cs typeface="+mn-cs"/>
            </a:rPr>
            <a:t> </a:t>
          </a:r>
          <a:r>
            <a:rPr lang="en-IN" sz="1100" b="0" i="0">
              <a:solidFill>
                <a:schemeClr val="dk1"/>
              </a:solidFill>
              <a:effectLst/>
              <a:latin typeface="+mn-lt"/>
              <a:ea typeface="+mn-ea"/>
              <a:cs typeface="+mn-cs"/>
            </a:rPr>
            <a:t>• Create a custom rule for</a:t>
          </a:r>
          <a:r>
            <a:rPr lang="en-IN" sz="1100" b="0" i="0" baseline="0">
              <a:solidFill>
                <a:schemeClr val="dk1"/>
              </a:solidFill>
              <a:effectLst/>
              <a:latin typeface="+mn-lt"/>
              <a:ea typeface="+mn-ea"/>
              <a:cs typeface="+mn-cs"/>
            </a:rPr>
            <a:t> </a:t>
          </a:r>
          <a:r>
            <a:rPr lang="en-IN" sz="1100" b="0" i="0">
              <a:solidFill>
                <a:schemeClr val="dk1"/>
              </a:solidFill>
              <a:effectLst/>
              <a:latin typeface="+mn-lt"/>
              <a:ea typeface="+mn-ea"/>
              <a:cs typeface="+mn-cs"/>
            </a:rPr>
            <a:t>conditional formatting in the "Segment" column to highlight cells where the category is "B2B"</a:t>
          </a:r>
          <a:r>
            <a:rPr lang="en-IN" sz="1100">
              <a:solidFill>
                <a:schemeClr val="dk1"/>
              </a:solidFill>
              <a:effectLst/>
              <a:latin typeface="+mn-lt"/>
              <a:ea typeface="+mn-ea"/>
              <a:cs typeface="+mn-cs"/>
            </a:rPr>
            <a:t> </a:t>
          </a:r>
          <a:r>
            <a:rPr lang="en-IN" sz="1100" baseline="0">
              <a:solidFill>
                <a:srgbClr val="FF0000"/>
              </a:solidFill>
              <a:effectLst/>
              <a:latin typeface="+mn-lt"/>
              <a:ea typeface="+mn-ea"/>
              <a:cs typeface="+mn-cs"/>
            </a:rPr>
            <a:t>-</a:t>
          </a:r>
          <a:r>
            <a:rPr lang="en-IN" sz="1100" b="1" baseline="0">
              <a:solidFill>
                <a:srgbClr val="FF0000"/>
              </a:solidFill>
              <a:effectLst/>
              <a:latin typeface="+mn-lt"/>
              <a:ea typeface="+mn-ea"/>
              <a:cs typeface="+mn-cs"/>
            </a:rPr>
            <a:t> Done conditional formatting</a:t>
          </a:r>
          <a:endParaRPr lang="en-IN">
            <a:solidFill>
              <a:srgbClr val="FF0000"/>
            </a:solidFill>
            <a:effectLst/>
          </a:endParaRPr>
        </a:p>
        <a:p>
          <a:pPr lvl="2" algn="l"/>
          <a:endParaRPr lang="en-IN">
            <a:solidFill>
              <a:srgbClr val="FF0000"/>
            </a:solidFill>
            <a:effectLst/>
          </a:endParaRPr>
        </a:p>
        <a:p>
          <a:pPr lvl="2" algn="l"/>
          <a:r>
            <a:rPr lang="en-IN" sz="1100" b="1" baseline="0">
              <a:solidFill>
                <a:srgbClr val="FF0000"/>
              </a:solidFill>
              <a:effectLst/>
              <a:latin typeface="+mn-lt"/>
              <a:ea typeface="+mn-ea"/>
              <a:cs typeface="+mn-cs"/>
            </a:rPr>
            <a:t>                                    </a:t>
          </a:r>
          <a:r>
            <a:rPr lang="en-IN" sz="1100" b="1" baseline="0">
              <a:solidFill>
                <a:schemeClr val="accent3"/>
              </a:solidFill>
              <a:effectLst/>
              <a:latin typeface="+mn-lt"/>
              <a:ea typeface="+mn-ea"/>
              <a:cs typeface="+mn-cs"/>
            </a:rPr>
            <a:t>CUSTOM COLUMN CREATION</a:t>
          </a:r>
          <a:endParaRPr lang="en-IN" sz="1100" b="1" baseline="0">
            <a:solidFill>
              <a:srgbClr val="FF0000"/>
            </a:solidFill>
            <a:effectLst/>
            <a:latin typeface="+mn-lt"/>
            <a:ea typeface="+mn-ea"/>
            <a:cs typeface="+mn-cs"/>
          </a:endParaRPr>
        </a:p>
        <a:p>
          <a:pPr lvl="2" algn="l"/>
          <a:r>
            <a:rPr lang="en-IN" sz="1100" b="0" i="0" u="none" strike="noStrike">
              <a:solidFill>
                <a:schemeClr val="dk1"/>
              </a:solidFill>
              <a:effectLst/>
              <a:latin typeface="+mn-lt"/>
              <a:ea typeface="+mn-ea"/>
              <a:cs typeface="+mn-cs"/>
            </a:rPr>
            <a:t>New column</a:t>
          </a:r>
          <a:r>
            <a:rPr lang="en-IN" sz="1100" b="1" i="0" u="none" strike="noStrike">
              <a:solidFill>
                <a:schemeClr val="dk1"/>
              </a:solidFill>
              <a:effectLst/>
              <a:latin typeface="+mn-lt"/>
              <a:ea typeface="+mn-ea"/>
              <a:cs typeface="+mn-cs"/>
            </a:rPr>
            <a:t>"REVENUE"</a:t>
          </a:r>
          <a:r>
            <a:rPr lang="en-IN" sz="1100" b="0" i="0" u="none" strike="noStrike">
              <a:solidFill>
                <a:schemeClr val="dk1"/>
              </a:solidFill>
              <a:effectLst/>
              <a:latin typeface="+mn-lt"/>
              <a:ea typeface="+mn-ea"/>
              <a:cs typeface="+mn-cs"/>
            </a:rPr>
            <a:t>created by  multiplying</a:t>
          </a:r>
          <a:r>
            <a:rPr lang="en-IN" sz="1100" b="0" i="0" u="none" strike="noStrike" baseline="0">
              <a:solidFill>
                <a:schemeClr val="dk1"/>
              </a:solidFill>
              <a:effectLst/>
              <a:latin typeface="+mn-lt"/>
              <a:ea typeface="+mn-ea"/>
              <a:cs typeface="+mn-cs"/>
            </a:rPr>
            <a:t> Units sold </a:t>
          </a:r>
          <a:r>
            <a:rPr lang="en-IN" sz="1100" b="0" i="0" u="none" strike="noStrike">
              <a:solidFill>
                <a:schemeClr val="dk1"/>
              </a:solidFill>
              <a:effectLst/>
              <a:latin typeface="+mn-lt"/>
              <a:ea typeface="+mn-ea"/>
              <a:cs typeface="+mn-cs"/>
            </a:rPr>
            <a:t>and  Unit Price</a:t>
          </a:r>
          <a:r>
            <a:rPr lang="en-IN">
              <a:effectLst/>
            </a:rPr>
            <a:t> </a:t>
          </a:r>
        </a:p>
        <a:p>
          <a:pPr lvl="2" algn="l"/>
          <a:r>
            <a:rPr lang="en-IN" sz="1100" b="1" i="0" u="none" strike="noStrike">
              <a:solidFill>
                <a:srgbClr val="FF0000"/>
              </a:solidFill>
              <a:effectLst/>
              <a:latin typeface="+mn-lt"/>
              <a:ea typeface="+mn-ea"/>
              <a:cs typeface="+mn-cs"/>
            </a:rPr>
            <a:t>                                          FORMULA=F2*E2</a:t>
          </a:r>
          <a:r>
            <a:rPr lang="en-IN" b="1">
              <a:solidFill>
                <a:srgbClr val="FF0000"/>
              </a:solidFill>
              <a:effectLst/>
            </a:rPr>
            <a:t> </a:t>
          </a:r>
        </a:p>
        <a:p>
          <a:pPr lvl="2" algn="l"/>
          <a:r>
            <a:rPr lang="en-IN" sz="1200" b="1" i="0" u="none" strike="noStrike">
              <a:solidFill>
                <a:srgbClr val="FF0000"/>
              </a:solidFill>
              <a:effectLst/>
              <a:latin typeface="+mn-lt"/>
              <a:ea typeface="+mn-ea"/>
              <a:cs typeface="+mn-cs"/>
            </a:rPr>
            <a:t>                      </a:t>
          </a:r>
          <a:r>
            <a:rPr lang="en-IN" sz="1200" b="1" i="0" u="none" strike="noStrike" baseline="0">
              <a:solidFill>
                <a:srgbClr val="FF0000"/>
              </a:solidFill>
              <a:effectLst/>
              <a:latin typeface="+mn-lt"/>
              <a:ea typeface="+mn-ea"/>
              <a:cs typeface="+mn-cs"/>
            </a:rPr>
            <a:t>  </a:t>
          </a:r>
          <a:r>
            <a:rPr lang="en-IN" sz="1200" b="1" i="0" u="none" strike="noStrike">
              <a:solidFill>
                <a:srgbClr val="FF0000"/>
              </a:solidFill>
              <a:effectLst/>
              <a:latin typeface="+mn-lt"/>
              <a:ea typeface="+mn-ea"/>
              <a:cs typeface="+mn-cs"/>
            </a:rPr>
            <a:t>          </a:t>
          </a:r>
          <a:r>
            <a:rPr lang="en-IN" sz="1200" b="1" i="0" u="none" strike="noStrike">
              <a:solidFill>
                <a:schemeClr val="accent3"/>
              </a:solidFill>
              <a:effectLst/>
              <a:latin typeface="+mn-lt"/>
              <a:ea typeface="+mn-ea"/>
              <a:cs typeface="+mn-cs"/>
            </a:rPr>
            <a:t>DATE AND TIME FUNCTIONS</a:t>
          </a:r>
        </a:p>
        <a:p>
          <a:pPr lvl="2" algn="l"/>
          <a:r>
            <a:rPr lang="en-IN" sz="1200" b="1">
              <a:solidFill>
                <a:srgbClr val="FF0000"/>
              </a:solidFill>
              <a:effectLst/>
            </a:rPr>
            <a:t>                            </a:t>
          </a:r>
          <a:r>
            <a:rPr lang="en-IN" sz="1100" b="1" i="0" u="none" strike="noStrike">
              <a:solidFill>
                <a:srgbClr val="FF0000"/>
              </a:solidFill>
              <a:effectLst/>
              <a:latin typeface="+mn-lt"/>
              <a:ea typeface="+mn-ea"/>
              <a:cs typeface="+mn-cs"/>
            </a:rPr>
            <a:t>FORMULA=DATEDIF(I2,TODAY(),"D")</a:t>
          </a:r>
        </a:p>
        <a:p>
          <a:pPr lvl="2" algn="l"/>
          <a:r>
            <a:rPr lang="en-IN" sz="1200" b="1">
              <a:solidFill>
                <a:srgbClr val="FF0000"/>
              </a:solidFill>
              <a:effectLst/>
            </a:rPr>
            <a:t>                                                 </a:t>
          </a:r>
          <a:r>
            <a:rPr lang="en-IN" sz="1100" b="1" i="0" u="none" strike="noStrike">
              <a:solidFill>
                <a:srgbClr val="FF0000"/>
              </a:solidFill>
              <a:effectLst/>
              <a:latin typeface="+mn-lt"/>
              <a:ea typeface="+mn-ea"/>
              <a:cs typeface="+mn-cs"/>
            </a:rPr>
            <a:t>347</a:t>
          </a:r>
          <a:r>
            <a:rPr lang="en-IN" sz="1200" b="1">
              <a:solidFill>
                <a:srgbClr val="FF0000"/>
              </a:solidFill>
              <a:effectLst/>
            </a:rPr>
            <a:t> </a:t>
          </a:r>
        </a:p>
        <a:p>
          <a:pPr lvl="2" algn="l"/>
          <a:r>
            <a:rPr lang="en-IN" sz="1400" b="1" i="0" u="none" strike="noStrike">
              <a:solidFill>
                <a:schemeClr val="accent3"/>
              </a:solidFill>
              <a:effectLst/>
              <a:latin typeface="+mn-lt"/>
              <a:ea typeface="+mn-ea"/>
              <a:cs typeface="+mn-cs"/>
            </a:rPr>
            <a:t>                                 Age in years</a:t>
          </a:r>
        </a:p>
        <a:p>
          <a:pPr lvl="2" algn="l"/>
          <a:r>
            <a:rPr lang="en-IN" sz="1100" b="0" i="0" u="none" strike="noStrike">
              <a:solidFill>
                <a:srgbClr val="FF0000"/>
              </a:solidFill>
              <a:effectLst/>
              <a:latin typeface="+mn-lt"/>
              <a:ea typeface="+mn-ea"/>
              <a:cs typeface="+mn-cs"/>
            </a:rPr>
            <a:t>                           </a:t>
          </a:r>
          <a:r>
            <a:rPr lang="en-IN" sz="1100" b="1" i="0" u="none" strike="noStrike">
              <a:solidFill>
                <a:srgbClr val="FF0000"/>
              </a:solidFill>
              <a:effectLst/>
              <a:latin typeface="+mn-lt"/>
              <a:ea typeface="+mn-ea"/>
              <a:cs typeface="+mn-cs"/>
            </a:rPr>
            <a:t>FORMULA</a:t>
          </a:r>
          <a:r>
            <a:rPr lang="en-IN" sz="1100" b="0" i="0" u="none" strike="noStrike">
              <a:solidFill>
                <a:srgbClr val="FF0000"/>
              </a:solidFill>
              <a:effectLst/>
              <a:latin typeface="+mn-lt"/>
              <a:ea typeface="+mn-ea"/>
              <a:cs typeface="+mn-cs"/>
            </a:rPr>
            <a:t>  </a:t>
          </a:r>
          <a:r>
            <a:rPr lang="en-IN" sz="1100" b="1" i="0" u="none" strike="noStrike">
              <a:solidFill>
                <a:srgbClr val="FF0000"/>
              </a:solidFill>
              <a:effectLst/>
              <a:latin typeface="+mn-lt"/>
              <a:ea typeface="+mn-ea"/>
              <a:cs typeface="+mn-cs"/>
            </a:rPr>
            <a:t>=DATEDIF(P67,TODAY(),"Y")</a:t>
          </a:r>
          <a:endParaRPr lang="en-IN" sz="1200" b="1">
            <a:solidFill>
              <a:srgbClr val="FF0000"/>
            </a:solidFill>
            <a:effectLst/>
          </a:endParaRPr>
        </a:p>
        <a:p>
          <a:pPr lvl="2" algn="l"/>
          <a:r>
            <a:rPr lang="en-IN" sz="1100" b="0" i="0" u="none" strike="noStrike">
              <a:solidFill>
                <a:srgbClr val="FF0000"/>
              </a:solidFill>
              <a:effectLst/>
              <a:latin typeface="+mn-lt"/>
              <a:ea typeface="+mn-ea"/>
              <a:cs typeface="+mn-cs"/>
            </a:rPr>
            <a:t>                                          19-06-1997</a:t>
          </a:r>
          <a:r>
            <a:rPr lang="en-IN" sz="1200">
              <a:solidFill>
                <a:srgbClr val="FF0000"/>
              </a:solidFill>
              <a:effectLst/>
            </a:rPr>
            <a:t> </a:t>
          </a:r>
        </a:p>
        <a:p>
          <a:pPr lvl="2" algn="l"/>
          <a:r>
            <a:rPr lang="en-IN" sz="1100" b="1" i="0" u="none" strike="noStrike">
              <a:solidFill>
                <a:srgbClr val="FF0000"/>
              </a:solidFill>
              <a:effectLst/>
              <a:latin typeface="+mn-lt"/>
              <a:ea typeface="+mn-ea"/>
              <a:cs typeface="+mn-cs"/>
            </a:rPr>
            <a:t>                                                 28</a:t>
          </a:r>
          <a:r>
            <a:rPr lang="en-IN" sz="1200" b="1">
              <a:solidFill>
                <a:srgbClr val="FF0000"/>
              </a:solidFill>
              <a:effectLst/>
            </a:rPr>
            <a:t> </a:t>
          </a:r>
        </a:p>
        <a:p>
          <a:pPr lvl="2" algn="l"/>
          <a:r>
            <a:rPr lang="en-IN" sz="1100" b="0" i="0" u="none" strike="noStrike">
              <a:solidFill>
                <a:srgbClr val="FF0000"/>
              </a:solidFill>
              <a:effectLst/>
              <a:latin typeface="+mn-lt"/>
              <a:ea typeface="+mn-ea"/>
              <a:cs typeface="+mn-cs"/>
            </a:rPr>
            <a:t>  </a:t>
          </a:r>
          <a:endParaRPr lang="en-IN" b="1">
            <a:solidFill>
              <a:srgbClr val="FF0000"/>
            </a:solidFill>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lakshmi" refreshedDate="46061.907192013889" createdVersion="8" refreshedVersion="8" minRefreshableVersion="3" recordCount="2500" xr:uid="{A241D9A1-0D7D-4F7C-9734-D2D04ACDA70C}">
  <cacheSource type="worksheet">
    <worksheetSource name="SNITCH_FASHION"/>
  </cacheSource>
  <cacheFields count="14">
    <cacheField name="Order_ID" numFmtId="0">
      <sharedItems containsSemiMixedTypes="0" containsString="0" containsNumber="1" containsInteger="1" minValue="1000" maxValue="3499"/>
    </cacheField>
    <cacheField name="First name" numFmtId="49">
      <sharedItems/>
    </cacheField>
    <cacheField name="Last name" numFmtId="49">
      <sharedItems/>
    </cacheField>
    <cacheField name="Product_brand" numFmtId="49">
      <sharedItems/>
    </cacheField>
    <cacheField name="Units_Sold" numFmtId="0">
      <sharedItems containsSemiMixedTypes="0" containsString="0" containsNumber="1" containsInteger="1" minValue="-2" maxValue="6"/>
    </cacheField>
    <cacheField name="Unit_price" numFmtId="164">
      <sharedItems containsSemiMixedTypes="0" containsString="0" containsNumber="1" minValue="400.21" maxValue="4998.91"/>
    </cacheField>
    <cacheField name="Discount%" numFmtId="10">
      <sharedItems containsSemiMixedTypes="0" containsString="0" containsNumber="1" minValue="0" maxValue="1.3"/>
    </cacheField>
    <cacheField name="Sales_Amount" numFmtId="164">
      <sharedItems containsSemiMixedTypes="0" containsString="0" containsNumber="1" minValue="-7518.33" maxValue="29180.68"/>
    </cacheField>
    <cacheField name="Order_Date" numFmtId="14">
      <sharedItems containsSemiMixedTypes="0" containsNonDate="0" containsDate="1" containsString="0" minDate="2023-07-23T00:00:00" maxDate="2025-07-23T00:00:00"/>
    </cacheField>
    <cacheField name="City" numFmtId="49">
      <sharedItems count="6">
        <s v="Delhi"/>
        <s v="Ahmedabad"/>
        <s v="Mumbai"/>
        <s v="Bangalore"/>
        <s v="Pune"/>
        <s v="Hyderabad"/>
      </sharedItems>
    </cacheField>
    <cacheField name="Segment" numFmtId="49">
      <sharedItems count="3">
        <s v="B2C"/>
        <s v="UNKNOWN"/>
        <s v="B2B"/>
      </sharedItems>
    </cacheField>
    <cacheField name="Profit" numFmtId="164">
      <sharedItems containsSemiMixedTypes="0" containsString="0" containsNumber="1" minValue="-992.61" maxValue="2997.11"/>
    </cacheField>
    <cacheField name="Sales range" numFmtId="49">
      <sharedItems/>
    </cacheField>
    <cacheField name="Revenue" numFmtId="164">
      <sharedItems containsSemiMixedTypes="0" containsString="0" containsNumber="1" minValue="-9898.34" maxValue="29907.9"/>
    </cacheField>
  </cacheFields>
  <extLst>
    <ext xmlns:x14="http://schemas.microsoft.com/office/spreadsheetml/2009/9/main" uri="{725AE2AE-9491-48be-B2B4-4EB974FC3084}">
      <x14:pivotCacheDefinition pivotCacheId="9694092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n v="1000"/>
    <s v="Brian"/>
    <s v="Thompson"/>
    <s v="Slim Fit Jeans"/>
    <n v="0"/>
    <n v="842"/>
    <n v="0.6"/>
    <n v="0"/>
    <d v="2025-02-27T00:00:00"/>
    <x v="0"/>
    <x v="0"/>
    <n v="2137.4499999999998"/>
    <s v="NEGATIVE SALES"/>
    <n v="0"/>
  </r>
  <r>
    <n v="1001"/>
    <s v="Shaun"/>
    <s v="Ross"/>
    <s v="Slim Fit Jeans"/>
    <n v="1"/>
    <n v="2691.7154999999998"/>
    <n v="0.64652122641509402"/>
    <n v="0"/>
    <d v="2025-07-15T00:00:00"/>
    <x v="1"/>
    <x v="1"/>
    <n v="1588.15"/>
    <s v="NEGATIVE SALES"/>
    <n v="2691.7154999999998"/>
  </r>
  <r>
    <n v="1002"/>
    <s v="Aaron"/>
    <s v="Adams"/>
    <s v="Leather Jacket"/>
    <n v="3"/>
    <n v="2662.3820999999998"/>
    <n v="0.67129032258064503"/>
    <n v="0"/>
    <d v="2025-07-15T00:00:00"/>
    <x v="2"/>
    <x v="0"/>
    <n v="2315.23"/>
    <s v="NEGATIVE SALES"/>
    <n v="7987.1463000000003"/>
  </r>
  <r>
    <n v="1002"/>
    <s v="Travis"/>
    <s v="Thomas"/>
    <s v="Watches"/>
    <n v="0"/>
    <n v="2748.6568000000002"/>
    <n v="0.64629757785467201"/>
    <n v="0"/>
    <d v="2025-03-13T00:00:00"/>
    <x v="1"/>
    <x v="1"/>
    <n v="48.87"/>
    <s v="NEGATIVE SALES"/>
    <n v="0"/>
  </r>
  <r>
    <n v="1002"/>
    <s v="Jim"/>
    <s v="Strong"/>
    <s v="Straight Cut"/>
    <n v="0"/>
    <n v="2942.95"/>
    <n v="0.64480769230769197"/>
    <n v="0"/>
    <d v="2025-06-22T00:00:00"/>
    <x v="3"/>
    <x v="2"/>
    <n v="-519.87"/>
    <s v="NEGATIVE SALES"/>
    <n v="0"/>
  </r>
  <r>
    <n v="1002"/>
    <s v="Jeff"/>
    <s v="Bowman"/>
    <s v="Boyfriend Jeans"/>
    <n v="-1"/>
    <n v="4351.1099999999997"/>
    <n v="0.63268595041322295"/>
    <n v="0"/>
    <d v="2024-08-14T00:00:00"/>
    <x v="4"/>
    <x v="0"/>
    <n v="-190.68"/>
    <s v="NEGATIVE SALES"/>
    <n v="-4351.1099999999997"/>
  </r>
  <r>
    <n v="1002"/>
    <s v="Jessica"/>
    <s v="Gibson"/>
    <s v="Puffer Coat"/>
    <n v="1"/>
    <n v="2688.2804000000001"/>
    <n v="0.64626847290640399"/>
    <n v="0"/>
    <d v="2024-12-31T00:00:00"/>
    <x v="1"/>
    <x v="2"/>
    <n v="2513.75"/>
    <s v="NEGATIVE SALES"/>
    <n v="2688.2804000000001"/>
  </r>
  <r>
    <n v="1002"/>
    <s v="Sarah"/>
    <s v="Snyder"/>
    <s v="Puffer Coat"/>
    <n v="1"/>
    <n v="637.82000000000005"/>
    <n v="0.64652122641509402"/>
    <n v="0"/>
    <d v="2025-01-02T00:00:00"/>
    <x v="2"/>
    <x v="2"/>
    <n v="-158.03"/>
    <s v="NEGATIVE SALES"/>
    <n v="637.82000000000005"/>
  </r>
  <r>
    <n v="1003"/>
    <s v="Jay"/>
    <s v="Briggs"/>
    <s v="Loafers"/>
    <n v="2"/>
    <n v="2962.27"/>
    <n v="0.64652122641509402"/>
    <n v="0"/>
    <d v="2025-06-18T00:00:00"/>
    <x v="3"/>
    <x v="2"/>
    <n v="2296.5"/>
    <s v="NEGATIVE SALES"/>
    <n v="5924.54"/>
  </r>
  <r>
    <n v="1003"/>
    <s v="Mark"/>
    <s v="Williams"/>
    <s v="Ripped Denim"/>
    <n v="-2"/>
    <n v="2700.9094"/>
    <n v="0.65717850287907797"/>
    <n v="0"/>
    <d v="2025-03-25T00:00:00"/>
    <x v="4"/>
    <x v="2"/>
    <n v="2368.6999999999998"/>
    <s v="NEGATIVE SALES"/>
    <n v="-5401.8188"/>
  </r>
  <r>
    <n v="1003"/>
    <s v="Tammy"/>
    <s v="Jennings"/>
    <s v="Puffer Coat"/>
    <n v="0"/>
    <n v="1685.85"/>
    <n v="0.658159645232816"/>
    <n v="0"/>
    <d v="2024-10-02T00:00:00"/>
    <x v="5"/>
    <x v="0"/>
    <n v="-298.61"/>
    <s v="NEGATIVE SALES"/>
    <n v="0"/>
  </r>
  <r>
    <n v="1003"/>
    <s v="Audrey"/>
    <s v="Pittman"/>
    <s v="Straight Cut"/>
    <n v="-1"/>
    <n v="4426.82"/>
    <n v="0.64546153846153898"/>
    <n v="0"/>
    <d v="2025-05-03T00:00:00"/>
    <x v="5"/>
    <x v="0"/>
    <n v="2095.4499999999998"/>
    <s v="NEGATIVE SALES"/>
    <n v="-4426.82"/>
  </r>
  <r>
    <n v="1003"/>
    <s v="Christopher"/>
    <s v="Ferguson"/>
    <s v="Puffer Coat"/>
    <n v="-2"/>
    <n v="548.19000000000005"/>
    <n v="0.64704545454545503"/>
    <n v="0"/>
    <d v="2024-11-07T00:00:00"/>
    <x v="2"/>
    <x v="1"/>
    <n v="259.02999999999997"/>
    <s v="NEGATIVE SALES"/>
    <n v="-1096.3800000000001"/>
  </r>
  <r>
    <n v="1003"/>
    <s v="Sandra"/>
    <s v="Ho"/>
    <s v="Slim Fit Jeans"/>
    <n v="0"/>
    <n v="2835.973"/>
    <n v="0.603883495145631"/>
    <n v="0"/>
    <d v="2024-04-14T00:00:00"/>
    <x v="2"/>
    <x v="0"/>
    <n v="-756.14"/>
    <s v="NEGATIVE SALES"/>
    <n v="0"/>
  </r>
  <r>
    <n v="1004"/>
    <s v="Maria"/>
    <s v="Blake"/>
    <s v="Belts"/>
    <n v="1"/>
    <n v="2881.07"/>
    <n v="0.27"/>
    <n v="2103.1799999999998"/>
    <d v="2025-06-18T00:00:00"/>
    <x v="5"/>
    <x v="1"/>
    <n v="63.66"/>
    <s v="POSITIVE SALES"/>
    <n v="2881.07"/>
  </r>
  <r>
    <n v="1004"/>
    <s v="Heather"/>
    <s v="Gordon"/>
    <s v="Ripped Denim"/>
    <n v="6"/>
    <n v="987.35"/>
    <n v="0.65124800000000005"/>
    <n v="0"/>
    <d v="2025-02-04T00:00:00"/>
    <x v="2"/>
    <x v="2"/>
    <n v="-108.36"/>
    <s v="NEGATIVE SALES"/>
    <n v="5924.1"/>
  </r>
  <r>
    <n v="1004"/>
    <s v="Raymond"/>
    <s v="Hernandez"/>
    <s v="Loafers"/>
    <n v="0"/>
    <n v="2750.6736000000001"/>
    <n v="0.64"/>
    <n v="0"/>
    <d v="2025-01-01T00:00:00"/>
    <x v="4"/>
    <x v="1"/>
    <n v="968.3"/>
    <s v="NEGATIVE SALES"/>
    <n v="0"/>
  </r>
  <r>
    <n v="1004"/>
    <s v="Cheryl"/>
    <s v="Baker"/>
    <s v="Slim Fit Jeans"/>
    <n v="0"/>
    <n v="977.64"/>
    <n v="0.63529100529100502"/>
    <n v="0"/>
    <d v="2024-11-17T00:00:00"/>
    <x v="3"/>
    <x v="1"/>
    <n v="2702.46"/>
    <s v="NEGATIVE SALES"/>
    <n v="0"/>
  </r>
  <r>
    <n v="1005"/>
    <s v="Samuel"/>
    <s v="Miller"/>
    <s v="Crop Top"/>
    <n v="0"/>
    <n v="2694.5383999999999"/>
    <n v="0.64696576151121599"/>
    <n v="0"/>
    <d v="2023-12-05T00:00:00"/>
    <x v="2"/>
    <x v="2"/>
    <n v="1477.73"/>
    <s v="NEGATIVE SALES"/>
    <n v="0"/>
  </r>
  <r>
    <n v="1005"/>
    <s v="Andrew"/>
    <s v="Davis"/>
    <s v="Straight Cut"/>
    <n v="6"/>
    <n v="2228.4499999999998"/>
    <n v="1.2"/>
    <n v="-2674.14"/>
    <d v="2025-02-06T00:00:00"/>
    <x v="3"/>
    <x v="0"/>
    <n v="2728.03"/>
    <s v="NEGATIVE SALES"/>
    <n v="13370.7"/>
  </r>
  <r>
    <n v="1006"/>
    <s v="Laura"/>
    <s v="Smith"/>
    <s v="Leather Jacket"/>
    <n v="-2"/>
    <n v="714.5"/>
    <n v="0.72"/>
    <n v="-400.12"/>
    <d v="2024-07-24T00:00:00"/>
    <x v="0"/>
    <x v="2"/>
    <n v="-29.59"/>
    <s v="NEGATIVE SALES"/>
    <n v="-1429"/>
  </r>
  <r>
    <n v="1006"/>
    <s v="Tara"/>
    <s v="Rivas"/>
    <s v="Boots"/>
    <n v="2"/>
    <n v="3593.06"/>
    <n v="0.34"/>
    <n v="4742.84"/>
    <d v="2024-09-07T00:00:00"/>
    <x v="5"/>
    <x v="0"/>
    <n v="1031.6600000000001"/>
    <s v="POSITIVE SALES"/>
    <n v="7186.12"/>
  </r>
  <r>
    <n v="1006"/>
    <s v="Lisa"/>
    <s v="Thornton"/>
    <s v="Belts"/>
    <n v="3"/>
    <n v="3891.07"/>
    <n v="0.2"/>
    <n v="9338.57"/>
    <d v="2025-07-18T00:00:00"/>
    <x v="1"/>
    <x v="0"/>
    <n v="-861.28"/>
    <s v="POSITIVE SALES"/>
    <n v="11673.21"/>
  </r>
  <r>
    <n v="1006"/>
    <s v="Rhonda"/>
    <s v="Rodriguez"/>
    <s v="Leather Jacket"/>
    <n v="4"/>
    <n v="2691.5636"/>
    <n v="0.65575139146567696"/>
    <n v="0"/>
    <d v="2025-04-15T00:00:00"/>
    <x v="2"/>
    <x v="2"/>
    <n v="1663.32"/>
    <s v="NEGATIVE SALES"/>
    <n v="10766.2544"/>
  </r>
  <r>
    <n v="1006"/>
    <s v="Jeffrey"/>
    <s v="Dalton"/>
    <s v="Loafers"/>
    <n v="0"/>
    <n v="2520.44"/>
    <n v="0.15"/>
    <n v="0"/>
    <d v="2025-02-10T00:00:00"/>
    <x v="3"/>
    <x v="0"/>
    <n v="2408.2800000000002"/>
    <s v="NEGATIVE SALES"/>
    <n v="0"/>
  </r>
  <r>
    <n v="1006"/>
    <s v="Kenneth"/>
    <s v="Harris"/>
    <s v="Ripped Denim"/>
    <n v="0"/>
    <n v="732.96"/>
    <n v="0.21"/>
    <n v="0"/>
    <d v="2024-03-24T00:00:00"/>
    <x v="5"/>
    <x v="2"/>
    <n v="-702.58"/>
    <s v="NEGATIVE SALES"/>
    <n v="0"/>
  </r>
  <r>
    <n v="1006"/>
    <s v="John"/>
    <s v="Mclean"/>
    <s v="Boyfriend Jeans"/>
    <n v="1"/>
    <n v="2060.85"/>
    <n v="0.64696576151121599"/>
    <n v="0"/>
    <d v="2024-04-02T00:00:00"/>
    <x v="1"/>
    <x v="2"/>
    <n v="198.36"/>
    <s v="NEGATIVE SALES"/>
    <n v="2060.85"/>
  </r>
  <r>
    <n v="1007"/>
    <s v="Brian"/>
    <s v="Wilson"/>
    <s v="Caps"/>
    <n v="0"/>
    <n v="3402.85"/>
    <n v="0.63"/>
    <n v="0"/>
    <d v="2025-04-26T00:00:00"/>
    <x v="4"/>
    <x v="1"/>
    <n v="1333.09"/>
    <s v="NEGATIVE SALES"/>
    <n v="0"/>
  </r>
  <r>
    <n v="1007"/>
    <s v="Dr."/>
    <s v="Kathryn"/>
    <s v="Casual Midi"/>
    <n v="0"/>
    <n v="3669.56"/>
    <n v="0.64696576151121599"/>
    <n v="0"/>
    <d v="2024-04-02T00:00:00"/>
    <x v="3"/>
    <x v="0"/>
    <n v="2490.0100000000002"/>
    <s v="NEGATIVE SALES"/>
    <n v="0"/>
  </r>
  <r>
    <n v="1008"/>
    <s v="Marie"/>
    <s v="Fisher"/>
    <s v="Sunglasses"/>
    <n v="0"/>
    <n v="2694.8863999999999"/>
    <n v="0.64696576151121599"/>
    <n v="0"/>
    <d v="2024-04-02T00:00:00"/>
    <x v="1"/>
    <x v="0"/>
    <n v="-886.8"/>
    <s v="NEGATIVE SALES"/>
    <n v="0"/>
  </r>
  <r>
    <n v="1008"/>
    <s v="Sarah"/>
    <s v="Vance"/>
    <s v="Classic Tee"/>
    <n v="2"/>
    <n v="2319.84"/>
    <n v="0.64576341127922998"/>
    <n v="0"/>
    <d v="2025-02-17T00:00:00"/>
    <x v="3"/>
    <x v="2"/>
    <n v="1669.55"/>
    <s v="NEGATIVE SALES"/>
    <n v="4639.68"/>
  </r>
  <r>
    <n v="1009"/>
    <s v="Renee"/>
    <s v="Martinez"/>
    <s v="Ripped Denim"/>
    <n v="6"/>
    <n v="2739.5266999999999"/>
    <n v="1.27"/>
    <n v="0"/>
    <d v="2024-11-10T00:00:00"/>
    <x v="3"/>
    <x v="0"/>
    <n v="2936.21"/>
    <s v="NEGATIVE SALES"/>
    <n v="16437.160199999998"/>
  </r>
  <r>
    <n v="1009"/>
    <s v="Dale"/>
    <s v="Perry"/>
    <s v="Oversized T-Shirt"/>
    <n v="5"/>
    <n v="2694.1273000000001"/>
    <n v="0.64696576151121599"/>
    <n v="0"/>
    <d v="2025-07-20T00:00:00"/>
    <x v="3"/>
    <x v="2"/>
    <n v="-972.73"/>
    <s v="NEGATIVE SALES"/>
    <n v="13470.636500000001"/>
  </r>
  <r>
    <n v="1010"/>
    <s v="Oscar"/>
    <s v="Turner"/>
    <s v="Crop Top"/>
    <n v="0"/>
    <n v="4007.02"/>
    <n v="0.64696576151121599"/>
    <n v="0"/>
    <d v="2025-07-20T00:00:00"/>
    <x v="4"/>
    <x v="2"/>
    <n v="-950.38"/>
    <s v="NEGATIVE SALES"/>
    <n v="0"/>
  </r>
  <r>
    <n v="1010"/>
    <s v="Steve"/>
    <s v="Mann"/>
    <s v="Crop Top"/>
    <n v="0"/>
    <n v="2680.0319"/>
    <n v="0.64903350515463898"/>
    <n v="0"/>
    <d v="2025-05-27T00:00:00"/>
    <x v="5"/>
    <x v="0"/>
    <n v="2709.47"/>
    <s v="NEGATIVE SALES"/>
    <n v="0"/>
  </r>
  <r>
    <n v="1010"/>
    <s v="Dalton"/>
    <s v="Logan"/>
    <s v="Casual Midi"/>
    <n v="2"/>
    <n v="3134.69"/>
    <n v="7.0000000000000007E-2"/>
    <n v="5830.52"/>
    <d v="2025-01-05T00:00:00"/>
    <x v="0"/>
    <x v="1"/>
    <n v="555.44000000000005"/>
    <s v="POSITIVE SALES"/>
    <n v="6269.38"/>
  </r>
  <r>
    <n v="1011"/>
    <s v="Dr."/>
    <s v="Nicholas"/>
    <s v="Sunglasses"/>
    <n v="3"/>
    <n v="2741.8591000000001"/>
    <n v="0.64644699140401196"/>
    <n v="0"/>
    <d v="2024-08-31T00:00:00"/>
    <x v="2"/>
    <x v="2"/>
    <n v="-360.37"/>
    <s v="NEGATIVE SALES"/>
    <n v="8225.5773000000008"/>
  </r>
  <r>
    <n v="1011"/>
    <s v="Leslie"/>
    <s v="Chandler"/>
    <s v="Casual Midi"/>
    <n v="0"/>
    <n v="2842.91"/>
    <n v="0.65558139534883697"/>
    <n v="0"/>
    <d v="2025-06-20T00:00:00"/>
    <x v="2"/>
    <x v="0"/>
    <n v="-835.65"/>
    <s v="NEGATIVE SALES"/>
    <n v="0"/>
  </r>
  <r>
    <n v="1011"/>
    <s v="Jacob"/>
    <s v="Sanchez"/>
    <s v="Belts"/>
    <n v="0"/>
    <n v="2694.1273000000001"/>
    <n v="0.64696576151121599"/>
    <n v="0"/>
    <d v="2025-05-27T00:00:00"/>
    <x v="0"/>
    <x v="0"/>
    <n v="1370.67"/>
    <s v="NEGATIVE SALES"/>
    <n v="0"/>
  </r>
  <r>
    <n v="1012"/>
    <s v="Katie"/>
    <s v="Ryan"/>
    <s v="Denim Jacket"/>
    <n v="0"/>
    <n v="1364.73"/>
    <n v="0.71"/>
    <n v="0"/>
    <d v="2025-03-10T00:00:00"/>
    <x v="2"/>
    <x v="1"/>
    <n v="-909.85"/>
    <s v="NEGATIVE SALES"/>
    <n v="0"/>
  </r>
  <r>
    <n v="1012"/>
    <s v="Valerie"/>
    <s v="Hampton"/>
    <s v="Straight Cut"/>
    <n v="4"/>
    <n v="2693.1039999999998"/>
    <n v="0.21"/>
    <n v="0"/>
    <d v="2024-08-22T00:00:00"/>
    <x v="1"/>
    <x v="1"/>
    <n v="843.61"/>
    <s v="NEGATIVE SALES"/>
    <n v="10772.415999999999"/>
  </r>
  <r>
    <n v="1012"/>
    <s v="Manuel"/>
    <s v="Prince"/>
    <s v="Boyfriend Jeans"/>
    <n v="0"/>
    <n v="4129.37"/>
    <n v="0.64846357615894001"/>
    <n v="0"/>
    <d v="2025-07-20T00:00:00"/>
    <x v="0"/>
    <x v="2"/>
    <n v="2328.1"/>
    <s v="NEGATIVE SALES"/>
    <n v="0"/>
  </r>
  <r>
    <n v="1013"/>
    <s v="Michael"/>
    <s v="James"/>
    <s v="Puffer Coat"/>
    <n v="2"/>
    <n v="2682.0533999999998"/>
    <n v="0.64499298737727895"/>
    <n v="0"/>
    <d v="2024-10-09T00:00:00"/>
    <x v="0"/>
    <x v="1"/>
    <n v="1647.38"/>
    <s v="NEGATIVE SALES"/>
    <n v="5364.1067999999996"/>
  </r>
  <r>
    <n v="1013"/>
    <s v="Tamara"/>
    <s v="Hopkins"/>
    <s v="Sneakers"/>
    <n v="6"/>
    <n v="2355.2800000000002"/>
    <n v="0.64298360655737696"/>
    <n v="0"/>
    <d v="2025-01-17T00:00:00"/>
    <x v="1"/>
    <x v="1"/>
    <n v="330.11"/>
    <s v="NEGATIVE SALES"/>
    <n v="14131.68"/>
  </r>
  <r>
    <n v="1013"/>
    <s v="Amanda"/>
    <s v="Rios"/>
    <s v="Slip-Ons"/>
    <n v="6"/>
    <n v="2625.2123000000001"/>
    <n v="0.56000000000000005"/>
    <n v="0"/>
    <d v="2024-10-24T00:00:00"/>
    <x v="5"/>
    <x v="1"/>
    <n v="-270.22000000000003"/>
    <s v="NEGATIVE SALES"/>
    <n v="15751.273800000001"/>
  </r>
  <r>
    <n v="1013"/>
    <s v="James"/>
    <s v="Delgado"/>
    <s v="Crop Top"/>
    <n v="0"/>
    <n v="2693.1039999999998"/>
    <n v="0.62"/>
    <n v="0"/>
    <d v="2024-08-22T00:00:00"/>
    <x v="4"/>
    <x v="0"/>
    <n v="1279.58"/>
    <s v="NEGATIVE SALES"/>
    <n v="0"/>
  </r>
  <r>
    <n v="1014"/>
    <s v="Keith"/>
    <s v="Schroeder"/>
    <s v="Wrap Dress"/>
    <n v="0"/>
    <n v="3172.11"/>
    <n v="0.64324561403508795"/>
    <n v="0"/>
    <d v="2023-09-07T00:00:00"/>
    <x v="2"/>
    <x v="0"/>
    <n v="673.33"/>
    <s v="NEGATIVE SALES"/>
    <n v="0"/>
  </r>
  <r>
    <n v="1014"/>
    <s v="Jonathan"/>
    <s v="Montgomery"/>
    <s v="Ripped Denim"/>
    <n v="0"/>
    <n v="784.1"/>
    <n v="0.64464788732394396"/>
    <n v="0"/>
    <d v="2025-02-05T00:00:00"/>
    <x v="0"/>
    <x v="1"/>
    <n v="401.24"/>
    <s v="NEGATIVE SALES"/>
    <n v="0"/>
  </r>
  <r>
    <n v="1014"/>
    <s v="Gregory"/>
    <s v="Palmer"/>
    <s v="Slim Fit Jeans"/>
    <n v="5"/>
    <n v="2951.4"/>
    <n v="0.65707664884135397"/>
    <n v="0"/>
    <d v="2024-11-13T00:00:00"/>
    <x v="0"/>
    <x v="1"/>
    <n v="2811.87"/>
    <s v="NEGATIVE SALES"/>
    <n v="14757"/>
  </r>
  <r>
    <n v="1014"/>
    <s v="Joshua"/>
    <s v="Wade"/>
    <s v="Boyfriend Jeans"/>
    <n v="0"/>
    <n v="2744.3209000000002"/>
    <n v="0.63912878787878802"/>
    <n v="0"/>
    <d v="2025-02-16T00:00:00"/>
    <x v="0"/>
    <x v="2"/>
    <n v="2219.4899999999998"/>
    <s v="NEGATIVE SALES"/>
    <n v="0"/>
  </r>
  <r>
    <n v="1014"/>
    <s v="Robin"/>
    <s v="Rios"/>
    <s v="Graphic Tee"/>
    <n v="6"/>
    <n v="2732.7266"/>
    <n v="0.28999999999999998"/>
    <n v="0"/>
    <d v="2025-07-02T00:00:00"/>
    <x v="4"/>
    <x v="0"/>
    <n v="-958.22"/>
    <s v="NEGATIVE SALES"/>
    <n v="16396.3596"/>
  </r>
  <r>
    <n v="1014"/>
    <s v="Sally"/>
    <s v="Morales"/>
    <s v="Boyfriend Jeans"/>
    <n v="-2"/>
    <n v="2758.9749000000002"/>
    <n v="0.64416107382550403"/>
    <n v="0"/>
    <d v="2024-04-10T00:00:00"/>
    <x v="0"/>
    <x v="0"/>
    <n v="1946.1"/>
    <s v="NEGATIVE SALES"/>
    <n v="-5517.9498000000003"/>
  </r>
  <r>
    <n v="1014"/>
    <s v="Richard"/>
    <s v="Hood"/>
    <s v="Loafers"/>
    <n v="4"/>
    <n v="2693.1039999999998"/>
    <n v="0.64751479289940805"/>
    <n v="0"/>
    <d v="2024-09-21T00:00:00"/>
    <x v="5"/>
    <x v="1"/>
    <n v="-889.25"/>
    <s v="NEGATIVE SALES"/>
    <n v="10772.415999999999"/>
  </r>
  <r>
    <n v="1015"/>
    <s v="Stephanie"/>
    <s v="Gonzalez"/>
    <s v="Boyfriend Jeans"/>
    <n v="0"/>
    <n v="2677.3447999999999"/>
    <n v="0.64479315263908699"/>
    <n v="0"/>
    <d v="2025-01-25T00:00:00"/>
    <x v="0"/>
    <x v="1"/>
    <n v="1869.46"/>
    <s v="NEGATIVE SALES"/>
    <n v="0"/>
  </r>
  <r>
    <n v="1015"/>
    <s v="Julie"/>
    <s v="Fox"/>
    <s v="Sneakers"/>
    <n v="6"/>
    <n v="2693.1039999999998"/>
    <n v="0.64751479289940805"/>
    <n v="0"/>
    <d v="2024-09-21T00:00:00"/>
    <x v="1"/>
    <x v="1"/>
    <n v="793.8"/>
    <s v="NEGATIVE SALES"/>
    <n v="16158.624"/>
  </r>
  <r>
    <n v="1015"/>
    <s v="Amy"/>
    <s v="Ramsey"/>
    <s v="Classic Tee"/>
    <n v="0"/>
    <n v="2724.5410000000002"/>
    <n v="0.65900212314225004"/>
    <n v="0"/>
    <d v="2024-09-19T00:00:00"/>
    <x v="4"/>
    <x v="0"/>
    <n v="2811.88"/>
    <s v="NEGATIVE SALES"/>
    <n v="0"/>
  </r>
  <r>
    <n v="1016"/>
    <s v="Valerie"/>
    <s v="Garner"/>
    <s v="Crop Top"/>
    <n v="0"/>
    <n v="2693.1039999999998"/>
    <n v="0.64751479289940805"/>
    <n v="0"/>
    <d v="2024-10-26T00:00:00"/>
    <x v="5"/>
    <x v="2"/>
    <n v="1881.89"/>
    <s v="NEGATIVE SALES"/>
    <n v="0"/>
  </r>
  <r>
    <n v="1017"/>
    <s v="Alejandro"/>
    <s v="Johnson"/>
    <s v="Oversized T-Shirt"/>
    <n v="3"/>
    <n v="468.53"/>
    <n v="0.64751479289940805"/>
    <n v="0"/>
    <d v="2024-10-26T00:00:00"/>
    <x v="2"/>
    <x v="2"/>
    <n v="-195.65"/>
    <s v="NEGATIVE SALES"/>
    <n v="1405.59"/>
  </r>
  <r>
    <n v="1018"/>
    <s v="Thomas"/>
    <s v="Cole"/>
    <s v="Maxi Dress"/>
    <n v="1"/>
    <n v="2847.86"/>
    <n v="0.7"/>
    <n v="854.36"/>
    <d v="2024-03-09T00:00:00"/>
    <x v="0"/>
    <x v="0"/>
    <n v="2190.67"/>
    <s v="POSITIVE SALES"/>
    <n v="2847.86"/>
  </r>
  <r>
    <n v="1018"/>
    <s v="Andrew"/>
    <s v="Washington"/>
    <s v="Maxi Dress"/>
    <n v="4"/>
    <n v="2693.1039999999998"/>
    <n v="0.64751479289940805"/>
    <n v="0"/>
    <d v="2024-04-13T00:00:00"/>
    <x v="3"/>
    <x v="0"/>
    <n v="2102.56"/>
    <s v="NEGATIVE SALES"/>
    <n v="10772.415999999999"/>
  </r>
  <r>
    <n v="1019"/>
    <s v="Mark"/>
    <s v="Allison"/>
    <s v="Casual Midi"/>
    <n v="0"/>
    <n v="4064.4"/>
    <n v="0.7"/>
    <n v="0"/>
    <d v="2024-10-22T00:00:00"/>
    <x v="1"/>
    <x v="0"/>
    <n v="877.21"/>
    <s v="NEGATIVE SALES"/>
    <n v="0"/>
  </r>
  <r>
    <n v="1020"/>
    <s v="Catherine"/>
    <s v="Good"/>
    <s v="Bodycon"/>
    <n v="0"/>
    <n v="2750.7640000000001"/>
    <n v="0.64227758007117397"/>
    <n v="0"/>
    <d v="2023-08-10T00:00:00"/>
    <x v="4"/>
    <x v="1"/>
    <n v="1224.3499999999999"/>
    <s v="NEGATIVE SALES"/>
    <n v="0"/>
  </r>
  <r>
    <n v="1020"/>
    <s v="Russell"/>
    <s v="Eaton"/>
    <s v="Boyfriend Jeans"/>
    <n v="1"/>
    <n v="2694.8391999999999"/>
    <n v="0.64745260663507098"/>
    <n v="0"/>
    <d v="2025-03-19T00:00:00"/>
    <x v="4"/>
    <x v="2"/>
    <n v="669.75"/>
    <s v="NEGATIVE SALES"/>
    <n v="2694.8391999999999"/>
  </r>
  <r>
    <n v="1021"/>
    <s v="Preston"/>
    <s v="Gomez"/>
    <s v="Classic Tee"/>
    <n v="2"/>
    <n v="2760.3525"/>
    <n v="0.04"/>
    <n v="0"/>
    <d v="2025-03-03T00:00:00"/>
    <x v="4"/>
    <x v="0"/>
    <n v="796.33"/>
    <s v="NEGATIVE SALES"/>
    <n v="5520.7049999999999"/>
  </r>
  <r>
    <n v="1021"/>
    <s v="Amber"/>
    <s v="Bowman"/>
    <s v="Wrap Dress"/>
    <n v="0"/>
    <n v="2693.7701000000002"/>
    <n v="0.64745260663507098"/>
    <n v="0"/>
    <d v="2024-05-05T00:00:00"/>
    <x v="3"/>
    <x v="2"/>
    <n v="-705.72"/>
    <s v="NEGATIVE SALES"/>
    <n v="0"/>
  </r>
  <r>
    <n v="1022"/>
    <s v="Bryan"/>
    <s v="Molina"/>
    <s v="Sneakers"/>
    <n v="0"/>
    <n v="3611.35"/>
    <n v="0.60884615384615404"/>
    <n v="0"/>
    <d v="2025-07-10T00:00:00"/>
    <x v="1"/>
    <x v="1"/>
    <n v="-200.64"/>
    <s v="NEGATIVE SALES"/>
    <n v="0"/>
  </r>
  <r>
    <n v="1022"/>
    <s v="Julia"/>
    <s v="Campbell"/>
    <s v="Crop Top"/>
    <n v="5"/>
    <n v="2759.8636000000001"/>
    <n v="0.39"/>
    <n v="0"/>
    <d v="2024-09-15T00:00:00"/>
    <x v="1"/>
    <x v="2"/>
    <n v="-63"/>
    <s v="NEGATIVE SALES"/>
    <n v="13799.317999999999"/>
  </r>
  <r>
    <n v="1023"/>
    <s v="David"/>
    <s v="Arnold"/>
    <s v="Slip-Ons"/>
    <n v="0"/>
    <n v="2693.7701000000002"/>
    <n v="0.64804270462633395"/>
    <n v="0"/>
    <d v="2025-05-27T00:00:00"/>
    <x v="2"/>
    <x v="1"/>
    <n v="-875.51"/>
    <s v="NEGATIVE SALES"/>
    <n v="0"/>
  </r>
  <r>
    <n v="1024"/>
    <s v="Joseph"/>
    <s v="Wilson"/>
    <s v="Straight Cut"/>
    <n v="0"/>
    <n v="1580.59"/>
    <n v="0.08"/>
    <n v="0"/>
    <d v="2025-05-05T00:00:00"/>
    <x v="0"/>
    <x v="2"/>
    <n v="1786.82"/>
    <s v="NEGATIVE SALES"/>
    <n v="0"/>
  </r>
  <r>
    <n v="1024"/>
    <s v="William"/>
    <s v="Johnson"/>
    <s v="Watches"/>
    <n v="-2"/>
    <n v="940.64"/>
    <n v="0.67"/>
    <n v="-620.82000000000005"/>
    <d v="2025-01-10T00:00:00"/>
    <x v="2"/>
    <x v="0"/>
    <n v="1552.9"/>
    <s v="NEGATIVE SALES"/>
    <n v="-1881.28"/>
  </r>
  <r>
    <n v="1024"/>
    <s v="Thomas"/>
    <s v="Long"/>
    <s v="Puffer Coat"/>
    <n v="-2"/>
    <n v="2694.4121"/>
    <n v="1.19"/>
    <n v="0"/>
    <d v="2025-02-19T00:00:00"/>
    <x v="0"/>
    <x v="2"/>
    <n v="491.1"/>
    <s v="NEGATIVE SALES"/>
    <n v="-5388.8242"/>
  </r>
  <r>
    <n v="1025"/>
    <s v="Michael"/>
    <s v="Pierce"/>
    <s v="Maxi Dress"/>
    <n v="0"/>
    <n v="2820.3885"/>
    <n v="0.58606060606060595"/>
    <n v="0"/>
    <d v="2024-11-11T00:00:00"/>
    <x v="1"/>
    <x v="2"/>
    <n v="-861.84"/>
    <s v="NEGATIVE SALES"/>
    <n v="0"/>
  </r>
  <r>
    <n v="1025"/>
    <s v="Sharon"/>
    <s v="Cain"/>
    <s v="Oversized T-Shirt"/>
    <n v="0"/>
    <n v="2733.6871999999998"/>
    <n v="0.64149870801033604"/>
    <n v="0"/>
    <d v="2025-02-06T00:00:00"/>
    <x v="0"/>
    <x v="2"/>
    <n v="-973.7"/>
    <s v="NEGATIVE SALES"/>
    <n v="0"/>
  </r>
  <r>
    <n v="1025"/>
    <s v="Christine"/>
    <s v="Reed"/>
    <s v="Straight Cut"/>
    <n v="4"/>
    <n v="4595.08"/>
    <n v="0.64739904988123498"/>
    <n v="0"/>
    <d v="2025-07-18T00:00:00"/>
    <x v="3"/>
    <x v="1"/>
    <n v="330.82"/>
    <s v="NEGATIVE SALES"/>
    <n v="18380.32"/>
  </r>
  <r>
    <n v="1026"/>
    <s v="Brandi"/>
    <s v="Walker"/>
    <s v="Crop Top"/>
    <n v="0"/>
    <n v="3186.11"/>
    <n v="0.74"/>
    <n v="0"/>
    <d v="2024-10-18T00:00:00"/>
    <x v="1"/>
    <x v="0"/>
    <n v="2939.87"/>
    <s v="NEGATIVE SALES"/>
    <n v="0"/>
  </r>
  <r>
    <n v="1026"/>
    <s v="Jacob"/>
    <s v="Morris"/>
    <s v="Crop Top"/>
    <n v="0"/>
    <n v="2672.0463"/>
    <n v="0.64718608169440195"/>
    <n v="0"/>
    <d v="2023-10-31T00:00:00"/>
    <x v="0"/>
    <x v="1"/>
    <n v="2916.18"/>
    <s v="NEGATIVE SALES"/>
    <n v="0"/>
  </r>
  <r>
    <n v="1026"/>
    <s v="Colton"/>
    <s v="Baxter"/>
    <s v="Sunglasses"/>
    <n v="0"/>
    <n v="2694.4121"/>
    <n v="0.64739904988123498"/>
    <n v="0"/>
    <d v="2024-12-21T00:00:00"/>
    <x v="1"/>
    <x v="2"/>
    <n v="-194.77"/>
    <s v="NEGATIVE SALES"/>
    <n v="0"/>
  </r>
  <r>
    <n v="1026"/>
    <s v="Mike"/>
    <s v="Velasquez"/>
    <s v="Boots"/>
    <n v="0"/>
    <n v="2746.2105000000001"/>
    <n v="0.63482456140350896"/>
    <n v="0"/>
    <d v="2024-08-12T00:00:00"/>
    <x v="2"/>
    <x v="0"/>
    <n v="1975.98"/>
    <s v="NEGATIVE SALES"/>
    <n v="0"/>
  </r>
  <r>
    <n v="1026"/>
    <s v="Caroline"/>
    <s v="Roth"/>
    <s v="Denim Jacket"/>
    <n v="0"/>
    <n v="2763.8575999999998"/>
    <n v="0.03"/>
    <n v="0"/>
    <d v="2024-09-26T00:00:00"/>
    <x v="0"/>
    <x v="1"/>
    <n v="688.48"/>
    <s v="NEGATIVE SALES"/>
    <n v="0"/>
  </r>
  <r>
    <n v="1026"/>
    <s v="Timothy"/>
    <s v="Murphy"/>
    <s v="Maxi Dress"/>
    <n v="0"/>
    <n v="2739.8433"/>
    <n v="0.639849056603774"/>
    <n v="0"/>
    <d v="2024-06-14T00:00:00"/>
    <x v="1"/>
    <x v="1"/>
    <n v="2344.12"/>
    <s v="NEGATIVE SALES"/>
    <n v="0"/>
  </r>
  <r>
    <n v="1026"/>
    <s v="Elizabeth"/>
    <s v="Vargas"/>
    <s v="Boyfriend Jeans"/>
    <n v="0"/>
    <n v="2293.29"/>
    <n v="0.4"/>
    <n v="0"/>
    <d v="2024-11-01T00:00:00"/>
    <x v="2"/>
    <x v="0"/>
    <n v="1000.06"/>
    <s v="NEGATIVE SALES"/>
    <n v="0"/>
  </r>
  <r>
    <n v="1027"/>
    <s v="Morgan"/>
    <s v="Sharp"/>
    <s v="Watches"/>
    <n v="0"/>
    <n v="2092.33"/>
    <n v="0.63637305699481805"/>
    <n v="0"/>
    <d v="2025-04-14T00:00:00"/>
    <x v="1"/>
    <x v="1"/>
    <n v="-586.88"/>
    <s v="NEGATIVE SALES"/>
    <n v="0"/>
  </r>
  <r>
    <n v="1027"/>
    <s v="Rebecca"/>
    <s v="Dorsey"/>
    <s v="Belts"/>
    <n v="1"/>
    <n v="2692.9259999999999"/>
    <n v="0.64739904988123498"/>
    <n v="0"/>
    <d v="2024-12-21T00:00:00"/>
    <x v="5"/>
    <x v="2"/>
    <n v="1085.3599999999999"/>
    <s v="NEGATIVE SALES"/>
    <n v="2692.9259999999999"/>
  </r>
  <r>
    <n v="1027"/>
    <s v="Christine"/>
    <s v="Cox"/>
    <s v="Bomber Jacket"/>
    <n v="0"/>
    <n v="2778.0646999999999"/>
    <n v="0.63254658385093199"/>
    <n v="0"/>
    <d v="2025-03-08T00:00:00"/>
    <x v="5"/>
    <x v="1"/>
    <n v="1921.25"/>
    <s v="NEGATIVE SALES"/>
    <n v="0"/>
  </r>
  <r>
    <n v="1028"/>
    <s v="Ashley"/>
    <s v="Miller"/>
    <s v="Oversized T-Shirt"/>
    <n v="0"/>
    <n v="2756.5671000000002"/>
    <n v="0.64085443037974699"/>
    <n v="0"/>
    <d v="2024-12-27T00:00:00"/>
    <x v="1"/>
    <x v="1"/>
    <n v="-701.08"/>
    <s v="NEGATIVE SALES"/>
    <n v="0"/>
  </r>
  <r>
    <n v="1028"/>
    <s v="Nancy"/>
    <s v="Wood"/>
    <s v="Belts"/>
    <n v="0"/>
    <n v="4142.54"/>
    <n v="0.65886160714285702"/>
    <n v="0"/>
    <d v="2025-03-06T00:00:00"/>
    <x v="1"/>
    <x v="2"/>
    <n v="2453.9899999999998"/>
    <s v="NEGATIVE SALES"/>
    <n v="0"/>
  </r>
  <r>
    <n v="1028"/>
    <s v="Felicia"/>
    <s v="Orozco"/>
    <s v="Classic Tee"/>
    <n v="-2"/>
    <n v="2692.9259999999999"/>
    <n v="0.64739904988123498"/>
    <n v="0"/>
    <d v="2024-12-21T00:00:00"/>
    <x v="5"/>
    <x v="2"/>
    <n v="2060.0300000000002"/>
    <s v="NEGATIVE SALES"/>
    <n v="-5385.8519999999999"/>
  </r>
  <r>
    <n v="1028"/>
    <s v="John"/>
    <s v="Taylor"/>
    <s v="Watches"/>
    <n v="0"/>
    <n v="2679.3968"/>
    <n v="0.64769754768392396"/>
    <n v="0"/>
    <d v="2023-11-10T00:00:00"/>
    <x v="1"/>
    <x v="2"/>
    <n v="2502.73"/>
    <s v="NEGATIVE SALES"/>
    <n v="0"/>
  </r>
  <r>
    <n v="1028"/>
    <s v="Miguel"/>
    <s v="Edwards"/>
    <s v="Maxi Dress"/>
    <n v="0"/>
    <n v="2996.43"/>
    <n v="0.58606060606060595"/>
    <n v="0"/>
    <d v="2024-09-03T00:00:00"/>
    <x v="4"/>
    <x v="0"/>
    <n v="2205.5700000000002"/>
    <s v="NEGATIVE SALES"/>
    <n v="0"/>
  </r>
  <r>
    <n v="1028"/>
    <s v="Benjamin"/>
    <s v="Frye"/>
    <s v="Slim Fit Jeans"/>
    <n v="-2"/>
    <n v="3344.74"/>
    <n v="1.1000000000000001"/>
    <n v="668.95"/>
    <d v="2025-02-04T00:00:00"/>
    <x v="1"/>
    <x v="2"/>
    <n v="2728.08"/>
    <s v="POSITIVE SALES"/>
    <n v="-6689.48"/>
  </r>
  <r>
    <n v="1029"/>
    <s v="Terry"/>
    <s v="Anderson"/>
    <s v="Classic Tee"/>
    <n v="4"/>
    <n v="2692.9259999999999"/>
    <n v="0.64739904988123498"/>
    <n v="0"/>
    <d v="2024-12-21T00:00:00"/>
    <x v="2"/>
    <x v="1"/>
    <n v="1737.92"/>
    <s v="NEGATIVE SALES"/>
    <n v="10771.704"/>
  </r>
  <r>
    <n v="1029"/>
    <s v="Lisa"/>
    <s v="Moss"/>
    <s v="Bomber Jacket"/>
    <n v="3"/>
    <n v="4343.12"/>
    <n v="0.658835978835979"/>
    <n v="0"/>
    <d v="2025-06-17T00:00:00"/>
    <x v="5"/>
    <x v="0"/>
    <n v="2997.11"/>
    <s v="NEGATIVE SALES"/>
    <n v="13029.36"/>
  </r>
  <r>
    <n v="1029"/>
    <s v="Nicholas"/>
    <s v="Morgan"/>
    <s v="Oversized T-Shirt"/>
    <n v="0"/>
    <n v="2965.32"/>
    <n v="0.63398340248962604"/>
    <n v="0"/>
    <d v="2025-05-17T00:00:00"/>
    <x v="2"/>
    <x v="0"/>
    <n v="-786.53"/>
    <s v="NEGATIVE SALES"/>
    <n v="0"/>
  </r>
  <r>
    <n v="1030"/>
    <s v="Brandi"/>
    <s v="Jones"/>
    <s v="Maxi Dress"/>
    <n v="3"/>
    <n v="1069.77"/>
    <n v="0.64739904988123498"/>
    <n v="0"/>
    <d v="2023-09-03T00:00:00"/>
    <x v="5"/>
    <x v="0"/>
    <n v="1155.3800000000001"/>
    <s v="NEGATIVE SALES"/>
    <n v="3209.31"/>
  </r>
  <r>
    <n v="1030"/>
    <s v="Joseph"/>
    <s v="Pennington"/>
    <s v="Graphic Tee"/>
    <n v="3"/>
    <n v="2437.4753999999998"/>
    <n v="0.70199999999999996"/>
    <n v="0"/>
    <d v="2025-07-09T00:00:00"/>
    <x v="5"/>
    <x v="2"/>
    <n v="1528.52"/>
    <s v="NEGATIVE SALES"/>
    <n v="7312.4261999999999"/>
  </r>
  <r>
    <n v="1030"/>
    <s v="William"/>
    <s v="Ortiz"/>
    <s v="Sneakers"/>
    <n v="0"/>
    <n v="3389.44"/>
    <n v="0.09"/>
    <n v="0"/>
    <d v="2024-12-02T00:00:00"/>
    <x v="0"/>
    <x v="2"/>
    <n v="1663.45"/>
    <s v="NEGATIVE SALES"/>
    <n v="0"/>
  </r>
  <r>
    <n v="1031"/>
    <s v="Samantha"/>
    <s v="Richards"/>
    <s v="Oversized T-Shirt"/>
    <n v="0"/>
    <n v="2753.6064000000001"/>
    <n v="0.57999999999999996"/>
    <n v="0"/>
    <d v="2024-05-04T00:00:00"/>
    <x v="0"/>
    <x v="0"/>
    <n v="652.37"/>
    <s v="NEGATIVE SALES"/>
    <n v="0"/>
  </r>
  <r>
    <n v="1031"/>
    <s v="Lauren"/>
    <s v="Jensen"/>
    <s v="Wrap Dress"/>
    <n v="0"/>
    <n v="1872.05"/>
    <n v="0.15"/>
    <n v="0"/>
    <d v="2025-05-27T00:00:00"/>
    <x v="4"/>
    <x v="0"/>
    <n v="-863.9"/>
    <s v="NEGATIVE SALES"/>
    <n v="0"/>
  </r>
  <r>
    <n v="1031"/>
    <s v="William"/>
    <s v="Williams"/>
    <s v="Wrap Dress"/>
    <n v="4"/>
    <n v="2692.9259999999999"/>
    <n v="0.64739904988123498"/>
    <n v="0"/>
    <d v="2025-01-31T00:00:00"/>
    <x v="3"/>
    <x v="2"/>
    <n v="-960.24"/>
    <s v="NEGATIVE SALES"/>
    <n v="10771.704"/>
  </r>
  <r>
    <n v="1031"/>
    <s v="Eric"/>
    <s v="Williams"/>
    <s v="Classic Tee"/>
    <n v="6"/>
    <n v="3792.09"/>
    <n v="0.64369942196531804"/>
    <n v="0"/>
    <d v="2023-12-03T00:00:00"/>
    <x v="3"/>
    <x v="0"/>
    <n v="194.31"/>
    <s v="NEGATIVE SALES"/>
    <n v="22752.54"/>
  </r>
  <r>
    <n v="1031"/>
    <s v="Brittany"/>
    <s v="Jones"/>
    <s v="Slim Fit Jeans"/>
    <n v="0"/>
    <n v="2267.3000000000002"/>
    <n v="0.91"/>
    <n v="0"/>
    <d v="2025-03-16T00:00:00"/>
    <x v="3"/>
    <x v="0"/>
    <n v="1673.55"/>
    <s v="NEGATIVE SALES"/>
    <n v="0"/>
  </r>
  <r>
    <n v="1032"/>
    <s v="Walter"/>
    <s v="Stanton"/>
    <s v="Bomber Jacket"/>
    <n v="-1"/>
    <n v="4146.91"/>
    <n v="1.03"/>
    <n v="124.41"/>
    <d v="2025-05-14T00:00:00"/>
    <x v="0"/>
    <x v="2"/>
    <n v="930.16"/>
    <s v="POSITIVE SALES"/>
    <n v="-4146.91"/>
  </r>
  <r>
    <n v="1032"/>
    <s v="Stephanie"/>
    <s v="Booth"/>
    <s v="Sunglasses"/>
    <n v="0"/>
    <n v="2680.2069000000001"/>
    <n v="0.64903350515463898"/>
    <n v="0"/>
    <d v="2025-07-09T00:00:00"/>
    <x v="1"/>
    <x v="0"/>
    <n v="1941.65"/>
    <s v="NEGATIVE SALES"/>
    <n v="0"/>
  </r>
  <r>
    <n v="1032"/>
    <s v="David"/>
    <s v="Garner"/>
    <s v="Loafers"/>
    <n v="0"/>
    <n v="3956.83"/>
    <n v="0.63535864978903001"/>
    <n v="0"/>
    <d v="2024-11-24T00:00:00"/>
    <x v="5"/>
    <x v="2"/>
    <n v="1061.44"/>
    <s v="NEGATIVE SALES"/>
    <n v="0"/>
  </r>
  <r>
    <n v="1032"/>
    <s v="Kim"/>
    <s v="Harris"/>
    <s v="Boyfriend Jeans"/>
    <n v="0"/>
    <n v="2182.0100000000002"/>
    <n v="0.64739904988123498"/>
    <n v="0"/>
    <d v="2025-01-25T00:00:00"/>
    <x v="0"/>
    <x v="1"/>
    <n v="1377.61"/>
    <s v="NEGATIVE SALES"/>
    <n v="0"/>
  </r>
  <r>
    <n v="1033"/>
    <s v="John"/>
    <s v="Mora"/>
    <s v="Crop Top"/>
    <n v="0"/>
    <n v="2741.9834000000001"/>
    <n v="0.65817155756207602"/>
    <n v="0"/>
    <d v="2024-09-30T00:00:00"/>
    <x v="0"/>
    <x v="0"/>
    <n v="-299.77999999999997"/>
    <s v="NEGATIVE SALES"/>
    <n v="0"/>
  </r>
  <r>
    <n v="1033"/>
    <s v="Kimberly"/>
    <s v="Gomez"/>
    <s v="Classic Tee"/>
    <n v="0"/>
    <n v="3369.55"/>
    <n v="0.65062300319488797"/>
    <n v="0"/>
    <d v="2025-01-07T00:00:00"/>
    <x v="4"/>
    <x v="0"/>
    <n v="1927.24"/>
    <s v="NEGATIVE SALES"/>
    <n v="0"/>
  </r>
  <r>
    <n v="1033"/>
    <s v="Carla"/>
    <s v="Phillips"/>
    <s v="Belts"/>
    <n v="0"/>
    <n v="421.92"/>
    <n v="0.64462009803921605"/>
    <n v="0"/>
    <d v="2025-01-04T00:00:00"/>
    <x v="5"/>
    <x v="1"/>
    <n v="2969.19"/>
    <s v="NEGATIVE SALES"/>
    <n v="0"/>
  </r>
  <r>
    <n v="1033"/>
    <s v="Jonathan"/>
    <s v="Neal"/>
    <s v="Straight Cut"/>
    <n v="0"/>
    <n v="2694.1961000000001"/>
    <n v="0.64739904988123498"/>
    <n v="0"/>
    <d v="2024-11-13T00:00:00"/>
    <x v="5"/>
    <x v="2"/>
    <n v="903.69"/>
    <s v="NEGATIVE SALES"/>
    <n v="0"/>
  </r>
  <r>
    <n v="1033"/>
    <s v="Toni"/>
    <s v="Allison"/>
    <s v="Casual Midi"/>
    <n v="0"/>
    <n v="3863.95"/>
    <n v="0.9"/>
    <n v="0"/>
    <d v="2025-04-10T00:00:00"/>
    <x v="4"/>
    <x v="1"/>
    <n v="1784.65"/>
    <s v="NEGATIVE SALES"/>
    <n v="0"/>
  </r>
  <r>
    <n v="1034"/>
    <s v="Robert"/>
    <s v="Goodwin"/>
    <s v="Casual Midi"/>
    <n v="0"/>
    <n v="2771.3930999999998"/>
    <n v="0.63254658385093199"/>
    <n v="0"/>
    <d v="2024-09-22T00:00:00"/>
    <x v="5"/>
    <x v="1"/>
    <n v="-41.81"/>
    <s v="NEGATIVE SALES"/>
    <n v="0"/>
  </r>
  <r>
    <n v="1034"/>
    <s v="Nathan"/>
    <s v="Stewart"/>
    <s v="Puffer Coat"/>
    <n v="0"/>
    <n v="4449.3599999999997"/>
    <n v="0.94"/>
    <n v="0"/>
    <d v="2025-07-13T00:00:00"/>
    <x v="0"/>
    <x v="2"/>
    <n v="-282.68"/>
    <s v="NEGATIVE SALES"/>
    <n v="0"/>
  </r>
  <r>
    <n v="1034"/>
    <s v="Matthew"/>
    <s v="Robbins"/>
    <s v="Graphic Tee"/>
    <n v="0"/>
    <n v="3991.4"/>
    <n v="0.64576341127922998"/>
    <n v="0"/>
    <d v="2025-02-05T00:00:00"/>
    <x v="4"/>
    <x v="1"/>
    <n v="-555.4"/>
    <s v="NEGATIVE SALES"/>
    <n v="0"/>
  </r>
  <r>
    <n v="1034"/>
    <s v="Jeremy"/>
    <s v="Booth"/>
    <s v="Leather Jacket"/>
    <n v="0"/>
    <n v="3062.79"/>
    <n v="0.64546153846153898"/>
    <n v="0"/>
    <d v="2024-07-30T00:00:00"/>
    <x v="5"/>
    <x v="1"/>
    <n v="1135.53"/>
    <s v="NEGATIVE SALES"/>
    <n v="0"/>
  </r>
  <r>
    <n v="1035"/>
    <s v="Laura"/>
    <s v="Porter"/>
    <s v="Belts"/>
    <n v="0"/>
    <n v="2694.7002000000002"/>
    <n v="0.64462009803921605"/>
    <n v="0"/>
    <d v="2025-01-04T00:00:00"/>
    <x v="2"/>
    <x v="0"/>
    <n v="1539.59"/>
    <s v="NEGATIVE SALES"/>
    <n v="0"/>
  </r>
  <r>
    <n v="1035"/>
    <s v="Joshua"/>
    <s v="Thomas"/>
    <s v="Bomber Jacket"/>
    <n v="-1"/>
    <n v="2694.5972000000002"/>
    <n v="0.94"/>
    <n v="0"/>
    <d v="2025-07-13T00:00:00"/>
    <x v="1"/>
    <x v="0"/>
    <n v="-199.18"/>
    <s v="NEGATIVE SALES"/>
    <n v="-2694.5972000000002"/>
  </r>
  <r>
    <n v="1036"/>
    <s v="Carmen"/>
    <s v="Cline"/>
    <s v="Boots"/>
    <n v="6"/>
    <n v="4437.4399999999996"/>
    <n v="0.64760493827160504"/>
    <n v="0"/>
    <d v="2024-09-04T00:00:00"/>
    <x v="4"/>
    <x v="0"/>
    <n v="493.76"/>
    <s v="NEGATIVE SALES"/>
    <n v="26624.639999999999"/>
  </r>
  <r>
    <n v="1036"/>
    <s v="Mark"/>
    <s v="Robertson"/>
    <s v="Sunglasses"/>
    <n v="1"/>
    <n v="1534.98"/>
    <n v="0.65641441441441395"/>
    <n v="0"/>
    <d v="2024-08-01T00:00:00"/>
    <x v="3"/>
    <x v="2"/>
    <n v="2042.17"/>
    <s v="NEGATIVE SALES"/>
    <n v="1534.98"/>
  </r>
  <r>
    <n v="1036"/>
    <s v="Juan"/>
    <s v="White"/>
    <s v="Oversized T-Shirt"/>
    <n v="2"/>
    <n v="4802.42"/>
    <n v="1.18"/>
    <n v="-1728.87"/>
    <d v="2025-04-18T00:00:00"/>
    <x v="5"/>
    <x v="1"/>
    <n v="605.03"/>
    <s v="NEGATIVE SALES"/>
    <n v="9604.84"/>
  </r>
  <r>
    <n v="1036"/>
    <s v="Connie"/>
    <s v="Cunningham"/>
    <s v="Graphic Tee"/>
    <n v="-2"/>
    <n v="2721.83"/>
    <n v="0.64670238095238097"/>
    <n v="0"/>
    <d v="2024-04-06T00:00:00"/>
    <x v="1"/>
    <x v="2"/>
    <n v="1213.95"/>
    <s v="NEGATIVE SALES"/>
    <n v="-5443.66"/>
  </r>
  <r>
    <n v="1036"/>
    <s v="Nathaniel"/>
    <s v="Thomas"/>
    <s v="Straight Cut"/>
    <n v="1"/>
    <n v="4601.4399999999996"/>
    <n v="0.64514110429447802"/>
    <n v="0"/>
    <d v="2024-12-16T00:00:00"/>
    <x v="2"/>
    <x v="0"/>
    <n v="2145.66"/>
    <s v="NEGATIVE SALES"/>
    <n v="4601.4399999999996"/>
  </r>
  <r>
    <n v="1037"/>
    <s v="Mason"/>
    <s v="Ruiz"/>
    <s v="Oversized T-Shirt"/>
    <n v="0"/>
    <n v="2795.0511000000001"/>
    <n v="0.61813333333333398"/>
    <n v="0"/>
    <d v="2023-08-13T00:00:00"/>
    <x v="2"/>
    <x v="0"/>
    <n v="1396.38"/>
    <s v="NEGATIVE SALES"/>
    <n v="0"/>
  </r>
  <r>
    <n v="1037"/>
    <s v="Christopher"/>
    <s v="Williams"/>
    <s v="Caps"/>
    <n v="0"/>
    <n v="3127.73"/>
    <n v="0.06"/>
    <n v="0"/>
    <d v="2024-10-16T00:00:00"/>
    <x v="1"/>
    <x v="1"/>
    <n v="-793.02"/>
    <s v="NEGATIVE SALES"/>
    <n v="0"/>
  </r>
  <r>
    <n v="1037"/>
    <s v="Amy"/>
    <s v="Martin"/>
    <s v="Sunglasses"/>
    <n v="2"/>
    <n v="2693.2220000000002"/>
    <n v="1.1000000000000001"/>
    <n v="0"/>
    <d v="2024-04-06T00:00:00"/>
    <x v="1"/>
    <x v="2"/>
    <n v="907.77"/>
    <s v="NEGATIVE SALES"/>
    <n v="5386.4440000000004"/>
  </r>
  <r>
    <n v="1038"/>
    <s v="Joel"/>
    <s v="Martinez"/>
    <s v="Boots"/>
    <n v="0"/>
    <n v="2773.2354"/>
    <n v="0.63426900584795298"/>
    <n v="0"/>
    <d v="2023-11-30T00:00:00"/>
    <x v="4"/>
    <x v="0"/>
    <n v="2689.89"/>
    <s v="NEGATIVE SALES"/>
    <n v="0"/>
  </r>
  <r>
    <n v="1038"/>
    <s v="Courtney"/>
    <s v="Riddle"/>
    <s v="Crop Top"/>
    <n v="3"/>
    <n v="1692.38"/>
    <n v="0.64616209773539901"/>
    <n v="0"/>
    <d v="2024-01-20T00:00:00"/>
    <x v="3"/>
    <x v="0"/>
    <n v="1704.49"/>
    <s v="NEGATIVE SALES"/>
    <n v="5077.1400000000003"/>
  </r>
  <r>
    <n v="1039"/>
    <s v="Susan"/>
    <s v="Morris"/>
    <s v="Crop Top"/>
    <n v="0"/>
    <n v="633.23"/>
    <n v="0.64884520884520902"/>
    <n v="0"/>
    <d v="2024-09-04T00:00:00"/>
    <x v="2"/>
    <x v="0"/>
    <n v="232.2"/>
    <s v="NEGATIVE SALES"/>
    <n v="0"/>
  </r>
  <r>
    <n v="1039"/>
    <s v="Ashley"/>
    <s v="Ramirez"/>
    <s v="Boots"/>
    <n v="0"/>
    <n v="1372.16"/>
    <n v="0.56000000000000005"/>
    <n v="0"/>
    <d v="2025-05-20T00:00:00"/>
    <x v="5"/>
    <x v="0"/>
    <n v="1626.51"/>
    <s v="NEGATIVE SALES"/>
    <n v="0"/>
  </r>
  <r>
    <n v="1040"/>
    <s v="Laurie"/>
    <s v="Potter"/>
    <s v="Puffer Coat"/>
    <n v="0"/>
    <n v="1640.04"/>
    <n v="0.63823529411764701"/>
    <n v="0"/>
    <d v="2025-03-31T00:00:00"/>
    <x v="3"/>
    <x v="0"/>
    <n v="288.44"/>
    <s v="NEGATIVE SALES"/>
    <n v="0"/>
  </r>
  <r>
    <n v="1040"/>
    <s v="Tim"/>
    <s v="Jennings"/>
    <s v="Classic Tee"/>
    <n v="2"/>
    <n v="2675.8807000000002"/>
    <n v="0.18"/>
    <n v="0"/>
    <d v="2025-07-21T00:00:00"/>
    <x v="3"/>
    <x v="2"/>
    <n v="2721.4"/>
    <s v="NEGATIVE SALES"/>
    <n v="5351.7614000000003"/>
  </r>
  <r>
    <n v="1040"/>
    <s v="Julie"/>
    <s v="Moon"/>
    <s v="Crop Top"/>
    <n v="0"/>
    <n v="2777.1759999999999"/>
    <n v="0.64042168674698796"/>
    <n v="0"/>
    <d v="2025-05-05T00:00:00"/>
    <x v="0"/>
    <x v="2"/>
    <n v="2959.73"/>
    <s v="NEGATIVE SALES"/>
    <n v="0"/>
  </r>
  <r>
    <n v="1040"/>
    <s v="Angel"/>
    <s v="Nelson"/>
    <s v="Denim Jacket"/>
    <n v="0"/>
    <n v="2693.9850999999999"/>
    <n v="0.64626491646777995"/>
    <n v="0"/>
    <d v="2024-11-15T00:00:00"/>
    <x v="1"/>
    <x v="0"/>
    <n v="693.6"/>
    <s v="NEGATIVE SALES"/>
    <n v="0"/>
  </r>
  <r>
    <n v="1041"/>
    <s v="Teresa"/>
    <s v="Chavez"/>
    <s v="Puffer Coat"/>
    <n v="0"/>
    <n v="2695.0234999999998"/>
    <n v="0.64626491646777995"/>
    <n v="0"/>
    <d v="2025-03-07T00:00:00"/>
    <x v="1"/>
    <x v="0"/>
    <n v="-983.06"/>
    <s v="NEGATIVE SALES"/>
    <n v="0"/>
  </r>
  <r>
    <n v="1042"/>
    <s v="Richard"/>
    <s v="Williams"/>
    <s v="Bodycon"/>
    <n v="0"/>
    <n v="2695.0234999999998"/>
    <n v="0.64626491646777995"/>
    <n v="0"/>
    <d v="2025-04-12T00:00:00"/>
    <x v="4"/>
    <x v="1"/>
    <n v="283.39"/>
    <s v="NEGATIVE SALES"/>
    <n v="0"/>
  </r>
  <r>
    <n v="1042"/>
    <s v="Kathleen"/>
    <s v="Moore"/>
    <s v="Straight Cut"/>
    <n v="0"/>
    <n v="2678.1979999999999"/>
    <n v="0.84"/>
    <n v="0"/>
    <d v="2025-06-08T00:00:00"/>
    <x v="3"/>
    <x v="1"/>
    <n v="1558.99"/>
    <s v="NEGATIVE SALES"/>
    <n v="0"/>
  </r>
  <r>
    <n v="1042"/>
    <s v="Ashley"/>
    <s v="Manning"/>
    <s v="Boyfriend Jeans"/>
    <n v="6"/>
    <n v="2422.0100000000002"/>
    <n v="0.63389380530973505"/>
    <n v="0"/>
    <d v="2025-01-25T00:00:00"/>
    <x v="4"/>
    <x v="2"/>
    <n v="339.16"/>
    <s v="NEGATIVE SALES"/>
    <n v="14532.06"/>
  </r>
  <r>
    <n v="1043"/>
    <s v="Valerie"/>
    <s v="Ramirez"/>
    <s v="Graphic Tee"/>
    <n v="4"/>
    <n v="2679.5650999999998"/>
    <n v="0.64383502170767004"/>
    <n v="0"/>
    <d v="2024-06-13T00:00:00"/>
    <x v="0"/>
    <x v="0"/>
    <n v="-401.44"/>
    <s v="NEGATIVE SALES"/>
    <n v="10718.260399999999"/>
  </r>
  <r>
    <n v="1043"/>
    <s v="Deborah"/>
    <s v="Walker"/>
    <s v="Graphic Tee"/>
    <n v="0"/>
    <n v="4575.93"/>
    <n v="0.56000000000000005"/>
    <n v="0"/>
    <d v="2025-04-05T00:00:00"/>
    <x v="1"/>
    <x v="1"/>
    <n v="442.14"/>
    <s v="NEGATIVE SALES"/>
    <n v="0"/>
  </r>
  <r>
    <n v="1044"/>
    <s v="Cody"/>
    <s v="Rogers"/>
    <s v="Bomber Jacket"/>
    <n v="0"/>
    <n v="756.73"/>
    <n v="0.64127035830618895"/>
    <n v="0"/>
    <d v="2024-12-05T00:00:00"/>
    <x v="0"/>
    <x v="1"/>
    <n v="1504.13"/>
    <s v="NEGATIVE SALES"/>
    <n v="0"/>
  </r>
  <r>
    <n v="1044"/>
    <s v="Elizabeth"/>
    <s v="Williams"/>
    <s v="Classic Tee"/>
    <n v="0"/>
    <n v="2695.0234999999998"/>
    <n v="0.64636798088410996"/>
    <n v="0"/>
    <d v="2024-09-12T00:00:00"/>
    <x v="3"/>
    <x v="2"/>
    <n v="-80.23"/>
    <s v="NEGATIVE SALES"/>
    <n v="0"/>
  </r>
  <r>
    <n v="1045"/>
    <s v="Jennifer"/>
    <s v="Fowler"/>
    <s v="Sunglasses"/>
    <n v="-2"/>
    <n v="2860.2838000000002"/>
    <n v="0.639625"/>
    <n v="0"/>
    <d v="2024-02-25T00:00:00"/>
    <x v="4"/>
    <x v="0"/>
    <n v="454.74"/>
    <s v="NEGATIVE SALES"/>
    <n v="-5720.5676000000003"/>
  </r>
  <r>
    <n v="1045"/>
    <s v="Michelle"/>
    <s v="Clayton"/>
    <s v="Graphic Tee"/>
    <n v="4"/>
    <n v="2746.1210000000001"/>
    <n v="0.98"/>
    <n v="0"/>
    <d v="2025-04-15T00:00:00"/>
    <x v="4"/>
    <x v="1"/>
    <n v="1009.78"/>
    <s v="NEGATIVE SALES"/>
    <n v="10984.484"/>
  </r>
  <r>
    <n v="1045"/>
    <s v="Connie"/>
    <s v="Mills"/>
    <s v="Sunglasses"/>
    <n v="0"/>
    <n v="3477.16"/>
    <n v="0.64636798088410996"/>
    <n v="0"/>
    <d v="2025-02-10T00:00:00"/>
    <x v="5"/>
    <x v="2"/>
    <n v="1323.75"/>
    <s v="NEGATIVE SALES"/>
    <n v="0"/>
  </r>
  <r>
    <n v="1046"/>
    <s v="Charlotte"/>
    <s v="Cook"/>
    <s v="Slim Fit Jeans"/>
    <n v="-1"/>
    <n v="2441.92"/>
    <n v="0.92"/>
    <n v="-195.35"/>
    <d v="2025-02-10T00:00:00"/>
    <x v="0"/>
    <x v="1"/>
    <n v="1004.91"/>
    <s v="NEGATIVE SALES"/>
    <n v="-2441.92"/>
  </r>
  <r>
    <n v="1046"/>
    <s v="Peter"/>
    <s v="Merritt"/>
    <s v="Oversized T-Shirt"/>
    <n v="0"/>
    <n v="2771.3930999999998"/>
    <n v="0.63254658385093199"/>
    <n v="0"/>
    <d v="2024-08-24T00:00:00"/>
    <x v="0"/>
    <x v="2"/>
    <n v="900.65"/>
    <s v="NEGATIVE SALES"/>
    <n v="0"/>
  </r>
  <r>
    <n v="1047"/>
    <s v="Matthew"/>
    <s v="Thompson"/>
    <s v="Straight Cut"/>
    <n v="3"/>
    <n v="2692.9281999999998"/>
    <n v="0.64604066985645903"/>
    <n v="0"/>
    <d v="2025-06-12T00:00:00"/>
    <x v="5"/>
    <x v="0"/>
    <n v="-395.76"/>
    <s v="NEGATIVE SALES"/>
    <n v="8078.7846"/>
  </r>
  <r>
    <n v="1047"/>
    <s v="Wendy"/>
    <s v="Sandoval"/>
    <s v="Oversized T-Shirt"/>
    <n v="1"/>
    <n v="3154.48"/>
    <n v="0.59824561403508802"/>
    <n v="0"/>
    <d v="2024-07-28T00:00:00"/>
    <x v="1"/>
    <x v="0"/>
    <n v="-243.92"/>
    <s v="NEGATIVE SALES"/>
    <n v="3154.48"/>
  </r>
  <r>
    <n v="1047"/>
    <s v="Caroline"/>
    <s v="Turner"/>
    <s v="Straight Cut"/>
    <n v="5"/>
    <n v="2680.7885999999999"/>
    <n v="1.1499999999999999"/>
    <n v="0"/>
    <d v="2025-07-05T00:00:00"/>
    <x v="5"/>
    <x v="1"/>
    <n v="1368.68"/>
    <s v="NEGATIVE SALES"/>
    <n v="13403.942999999999"/>
  </r>
  <r>
    <n v="1047"/>
    <s v="Timothy"/>
    <s v="Potter"/>
    <s v="Maxi Dress"/>
    <n v="0"/>
    <n v="3218.39"/>
    <n v="0.64819163292847504"/>
    <n v="0"/>
    <d v="2025-06-02T00:00:00"/>
    <x v="2"/>
    <x v="2"/>
    <n v="-442.98"/>
    <s v="NEGATIVE SALES"/>
    <n v="0"/>
  </r>
  <r>
    <n v="1048"/>
    <s v="Michael"/>
    <s v="Keller"/>
    <s v="Watches"/>
    <n v="4"/>
    <n v="1429.93"/>
    <n v="0.65436152570480899"/>
    <n v="0"/>
    <d v="2024-11-14T00:00:00"/>
    <x v="1"/>
    <x v="2"/>
    <n v="1844.84"/>
    <s v="NEGATIVE SALES"/>
    <n v="5719.72"/>
  </r>
  <r>
    <n v="1048"/>
    <s v="Michelle"/>
    <s v="Rodriguez"/>
    <s v="Slip-Ons"/>
    <n v="2"/>
    <n v="2680.3393000000001"/>
    <n v="0.64439606741572997"/>
    <n v="0"/>
    <d v="2024-12-31T00:00:00"/>
    <x v="1"/>
    <x v="1"/>
    <n v="2393.9899999999998"/>
    <s v="NEGATIVE SALES"/>
    <n v="5360.6786000000002"/>
  </r>
  <r>
    <n v="1048"/>
    <s v="Angela"/>
    <s v="Newman"/>
    <s v="Watches"/>
    <n v="0"/>
    <n v="1316.64"/>
    <n v="0.64717488789237598"/>
    <n v="0"/>
    <d v="2023-08-13T00:00:00"/>
    <x v="3"/>
    <x v="0"/>
    <n v="1390.52"/>
    <s v="NEGATIVE SALES"/>
    <n v="0"/>
  </r>
  <r>
    <n v="1048"/>
    <s v="Dr."/>
    <s v="Adam"/>
    <s v="Caps"/>
    <n v="0"/>
    <n v="2298.27"/>
    <n v="0.59"/>
    <n v="0"/>
    <d v="2025-03-27T00:00:00"/>
    <x v="4"/>
    <x v="2"/>
    <n v="2994.93"/>
    <s v="NEGATIVE SALES"/>
    <n v="0"/>
  </r>
  <r>
    <n v="1048"/>
    <s v="James"/>
    <s v="Hughes"/>
    <s v="Straight Cut"/>
    <n v="5"/>
    <n v="2693.1259"/>
    <n v="0.41"/>
    <n v="0"/>
    <d v="2024-10-16T00:00:00"/>
    <x v="0"/>
    <x v="1"/>
    <n v="2409.2600000000002"/>
    <s v="NEGATIVE SALES"/>
    <n v="13465.629499999999"/>
  </r>
  <r>
    <n v="1049"/>
    <s v="Paul"/>
    <s v="Thompson"/>
    <s v="Leather Jacket"/>
    <n v="0"/>
    <n v="1360.22"/>
    <n v="0.63565573770491801"/>
    <n v="0"/>
    <d v="2025-04-14T00:00:00"/>
    <x v="2"/>
    <x v="1"/>
    <n v="276.89999999999998"/>
    <s v="NEGATIVE SALES"/>
    <n v="0"/>
  </r>
  <r>
    <n v="1049"/>
    <s v="Kimberly"/>
    <s v="Anderson"/>
    <s v="Graphic Tee"/>
    <n v="0"/>
    <n v="2693.1259"/>
    <n v="0.64632335329341295"/>
    <n v="0"/>
    <d v="2024-10-16T00:00:00"/>
    <x v="2"/>
    <x v="0"/>
    <n v="19.87"/>
    <s v="NEGATIVE SALES"/>
    <n v="0"/>
  </r>
  <r>
    <n v="1050"/>
    <s v="Lindsey"/>
    <s v="Craig"/>
    <s v="Caps"/>
    <n v="4"/>
    <n v="4439.3900000000003"/>
    <n v="0.64919642857142901"/>
    <n v="0"/>
    <d v="2024-09-08T00:00:00"/>
    <x v="1"/>
    <x v="0"/>
    <n v="2062.85"/>
    <s v="NEGATIVE SALES"/>
    <n v="17757.560000000001"/>
  </r>
  <r>
    <n v="1050"/>
    <s v="Robin"/>
    <s v="Ortiz"/>
    <s v="Sneakers"/>
    <n v="4"/>
    <n v="1205.98"/>
    <n v="0.60648648648648695"/>
    <n v="0"/>
    <d v="2024-11-28T00:00:00"/>
    <x v="0"/>
    <x v="0"/>
    <n v="-794.73"/>
    <s v="NEGATIVE SALES"/>
    <n v="4823.92"/>
  </r>
  <r>
    <n v="1050"/>
    <s v="Matthew"/>
    <s v="Schmidt"/>
    <s v="Slim Fit Jeans"/>
    <n v="-1"/>
    <n v="1083.1600000000001"/>
    <n v="0.64632335329341295"/>
    <n v="0"/>
    <d v="2025-07-08T00:00:00"/>
    <x v="4"/>
    <x v="0"/>
    <n v="2904.29"/>
    <s v="NEGATIVE SALES"/>
    <n v="-1083.1600000000001"/>
  </r>
  <r>
    <n v="1050"/>
    <s v="Andrea"/>
    <s v="Cortez"/>
    <s v="Boyfriend Jeans"/>
    <n v="1"/>
    <n v="2103.54"/>
    <n v="0.64826865671641798"/>
    <n v="0"/>
    <d v="2025-01-05T00:00:00"/>
    <x v="5"/>
    <x v="0"/>
    <n v="2871.06"/>
    <s v="NEGATIVE SALES"/>
    <n v="2103.54"/>
  </r>
  <r>
    <n v="1051"/>
    <s v="Eric"/>
    <s v="Wilson"/>
    <s v="Boyfriend Jeans"/>
    <n v="0"/>
    <n v="2693.1259"/>
    <n v="0.56999999999999995"/>
    <n v="0"/>
    <d v="2025-04-26T00:00:00"/>
    <x v="0"/>
    <x v="0"/>
    <n v="2857.9"/>
    <s v="NEGATIVE SALES"/>
    <n v="0"/>
  </r>
  <r>
    <n v="1052"/>
    <s v="Zachary"/>
    <s v="Ramos"/>
    <s v="Ripped Denim"/>
    <n v="0"/>
    <n v="3252.49"/>
    <n v="0.56000000000000005"/>
    <n v="0"/>
    <d v="2023-12-08T00:00:00"/>
    <x v="3"/>
    <x v="1"/>
    <n v="-11.15"/>
    <s v="NEGATIVE SALES"/>
    <n v="0"/>
  </r>
  <r>
    <n v="1053"/>
    <s v="Debra"/>
    <s v="Pollard"/>
    <s v="Maxi Dress"/>
    <n v="0"/>
    <n v="714.23"/>
    <n v="1.29"/>
    <n v="0"/>
    <d v="2025-07-21T00:00:00"/>
    <x v="0"/>
    <x v="1"/>
    <n v="1057.24"/>
    <s v="NEGATIVE SALES"/>
    <n v="0"/>
  </r>
  <r>
    <n v="1054"/>
    <s v="Angela"/>
    <s v="Martinez"/>
    <s v="Classic Tee"/>
    <n v="0"/>
    <n v="2693.9544000000001"/>
    <n v="0.64574519230769201"/>
    <n v="0"/>
    <d v="2025-02-12T00:00:00"/>
    <x v="4"/>
    <x v="1"/>
    <n v="1002.96"/>
    <s v="NEGATIVE SALES"/>
    <n v="0"/>
  </r>
  <r>
    <n v="1055"/>
    <s v="Brett"/>
    <s v="Burch"/>
    <s v="Boyfriend Jeans"/>
    <n v="0"/>
    <n v="2695.5169999999998"/>
    <n v="0.64574519230769201"/>
    <n v="0"/>
    <d v="2024-03-02T00:00:00"/>
    <x v="4"/>
    <x v="2"/>
    <n v="1374.9"/>
    <s v="NEGATIVE SALES"/>
    <n v="0"/>
  </r>
  <r>
    <n v="1056"/>
    <s v="Jennifer"/>
    <s v="English"/>
    <s v="Sunglasses"/>
    <n v="6"/>
    <n v="2695.5169999999998"/>
    <n v="0.64574519230769201"/>
    <n v="0"/>
    <d v="2025-07-11T00:00:00"/>
    <x v="2"/>
    <x v="0"/>
    <n v="-343.36"/>
    <s v="NEGATIVE SALES"/>
    <n v="16173.102000000001"/>
  </r>
  <r>
    <n v="1057"/>
    <s v="Penny"/>
    <s v="Campbell"/>
    <s v="Puffer Coat"/>
    <n v="4"/>
    <n v="2695.5169999999998"/>
    <n v="0.04"/>
    <n v="0"/>
    <d v="2024-12-23T00:00:00"/>
    <x v="4"/>
    <x v="1"/>
    <n v="1725.76"/>
    <s v="NEGATIVE SALES"/>
    <n v="10782.067999999999"/>
  </r>
  <r>
    <n v="1058"/>
    <s v="Karen"/>
    <s v="Garcia"/>
    <s v="Oversized T-Shirt"/>
    <n v="0"/>
    <n v="3982.53"/>
    <n v="1.08"/>
    <n v="0"/>
    <d v="2024-08-14T00:00:00"/>
    <x v="4"/>
    <x v="0"/>
    <n v="1912.49"/>
    <s v="NEGATIVE SALES"/>
    <n v="0"/>
  </r>
  <r>
    <n v="1059"/>
    <s v="John"/>
    <s v="Ramos"/>
    <s v="Boyfriend Jeans"/>
    <n v="0"/>
    <n v="2927.57"/>
    <n v="0.19"/>
    <n v="0"/>
    <d v="2024-08-14T00:00:00"/>
    <x v="0"/>
    <x v="1"/>
    <n v="2218.42"/>
    <s v="NEGATIVE SALES"/>
    <n v="0"/>
  </r>
  <r>
    <n v="1060"/>
    <s v="Dylan"/>
    <s v="Roberson"/>
    <s v="Ripped Denim"/>
    <n v="0"/>
    <n v="2813.51"/>
    <n v="0.64650180940892599"/>
    <n v="0"/>
    <d v="2025-07-14T00:00:00"/>
    <x v="4"/>
    <x v="1"/>
    <n v="94.96"/>
    <s v="NEGATIVE SALES"/>
    <n v="0"/>
  </r>
  <r>
    <n v="1061"/>
    <s v="Kelsey"/>
    <s v="Reyes"/>
    <s v="Belts"/>
    <n v="0"/>
    <n v="2291.15"/>
    <n v="0.33"/>
    <n v="0"/>
    <d v="2024-11-05T00:00:00"/>
    <x v="2"/>
    <x v="2"/>
    <n v="2536.3000000000002"/>
    <s v="NEGATIVE SALES"/>
    <n v="0"/>
  </r>
  <r>
    <n v="1062"/>
    <s v="Larry"/>
    <s v="Gibson"/>
    <s v="Ripped Denim"/>
    <n v="-1"/>
    <n v="2694.2217999999998"/>
    <n v="0.646884057971014"/>
    <n v="0"/>
    <d v="2024-11-05T00:00:00"/>
    <x v="4"/>
    <x v="0"/>
    <n v="328.72"/>
    <s v="NEGATIVE SALES"/>
    <n v="-2694.2217999999998"/>
  </r>
  <r>
    <n v="1063"/>
    <s v="Kristin"/>
    <s v="Ho"/>
    <s v="Graphic Tee"/>
    <n v="1"/>
    <n v="2694.5410000000002"/>
    <n v="0.646884057971014"/>
    <n v="0"/>
    <d v="2025-06-28T00:00:00"/>
    <x v="3"/>
    <x v="0"/>
    <n v="2147.75"/>
    <s v="NEGATIVE SALES"/>
    <n v="2694.5410000000002"/>
  </r>
  <r>
    <n v="1064"/>
    <s v="Jessica"/>
    <s v="Johnston"/>
    <s v="Denim Jacket"/>
    <n v="0"/>
    <n v="2694.5410000000002"/>
    <n v="1.3"/>
    <n v="0"/>
    <d v="2025-06-28T00:00:00"/>
    <x v="3"/>
    <x v="1"/>
    <n v="-901.74"/>
    <s v="NEGATIVE SALES"/>
    <n v="0"/>
  </r>
  <r>
    <n v="1065"/>
    <s v="Amanda"/>
    <s v="Parker"/>
    <s v="Boyfriend Jeans"/>
    <n v="5"/>
    <n v="2694.5410000000002"/>
    <n v="0.64609431680773899"/>
    <n v="0"/>
    <d v="2024-05-28T00:00:00"/>
    <x v="3"/>
    <x v="1"/>
    <n v="2316.9699999999998"/>
    <s v="NEGATIVE SALES"/>
    <n v="13472.705"/>
  </r>
  <r>
    <n v="1066"/>
    <s v="Joshua"/>
    <s v="Figueroa"/>
    <s v="Slip-Ons"/>
    <n v="-2"/>
    <n v="3479.44"/>
    <n v="0.64609431680773899"/>
    <n v="0"/>
    <d v="2025-01-15T00:00:00"/>
    <x v="0"/>
    <x v="1"/>
    <n v="-252.78"/>
    <s v="NEGATIVE SALES"/>
    <n v="-6958.88"/>
  </r>
  <r>
    <n v="1067"/>
    <s v="Julie"/>
    <s v="Howard"/>
    <s v="Casual Midi"/>
    <n v="0"/>
    <n v="3945.25"/>
    <n v="0.64609431680773899"/>
    <n v="0"/>
    <d v="2025-06-30T00:00:00"/>
    <x v="3"/>
    <x v="2"/>
    <n v="305.55"/>
    <s v="NEGATIVE SALES"/>
    <n v="0"/>
  </r>
  <r>
    <n v="1068"/>
    <s v="Brandon"/>
    <s v="Lin"/>
    <s v="Wrap Dress"/>
    <n v="4"/>
    <n v="2765.26"/>
    <n v="0.64609431680773899"/>
    <n v="0"/>
    <d v="2025-06-30T00:00:00"/>
    <x v="1"/>
    <x v="0"/>
    <n v="1719.9"/>
    <s v="NEGATIVE SALES"/>
    <n v="11061.04"/>
  </r>
  <r>
    <n v="1069"/>
    <s v="Anna"/>
    <s v="Allen"/>
    <s v="Watches"/>
    <n v="2"/>
    <n v="2102.02"/>
    <n v="1.1299999999999999"/>
    <n v="-546.53"/>
    <d v="2024-03-11T00:00:00"/>
    <x v="0"/>
    <x v="2"/>
    <n v="-992.61"/>
    <s v="NEGATIVE SALES"/>
    <n v="4204.04"/>
  </r>
  <r>
    <n v="1070"/>
    <s v="Kimberly"/>
    <s v="Ho"/>
    <s v="Leather Jacket"/>
    <n v="5"/>
    <n v="2692.8692999999998"/>
    <n v="0.64550847457627103"/>
    <n v="0"/>
    <d v="2025-04-06T00:00:00"/>
    <x v="5"/>
    <x v="2"/>
    <n v="1383.48"/>
    <s v="NEGATIVE SALES"/>
    <n v="13464.3465"/>
  </r>
  <r>
    <n v="1071"/>
    <s v="Nancy"/>
    <s v="White"/>
    <s v="Sunglasses"/>
    <n v="0"/>
    <n v="1000.76"/>
    <n v="0.64550847457627103"/>
    <n v="0"/>
    <d v="2025-04-06T00:00:00"/>
    <x v="0"/>
    <x v="2"/>
    <n v="2131.4299999999998"/>
    <s v="NEGATIVE SALES"/>
    <n v="0"/>
  </r>
  <r>
    <n v="1072"/>
    <s v="Eric"/>
    <s v="Salazar"/>
    <s v="Maxi Dress"/>
    <n v="0"/>
    <n v="2693.3386"/>
    <n v="0.64550847457627103"/>
    <n v="0"/>
    <d v="2025-04-06T00:00:00"/>
    <x v="3"/>
    <x v="0"/>
    <n v="2878.09"/>
    <s v="NEGATIVE SALES"/>
    <n v="0"/>
  </r>
  <r>
    <n v="1073"/>
    <s v="Michael"/>
    <s v="Williamson"/>
    <s v="Straight Cut"/>
    <n v="-2"/>
    <n v="2694.6840000000002"/>
    <n v="0.18"/>
    <n v="0"/>
    <d v="2025-04-06T00:00:00"/>
    <x v="4"/>
    <x v="1"/>
    <n v="368.69"/>
    <s v="NEGATIVE SALES"/>
    <n v="-5389.3680000000004"/>
  </r>
  <r>
    <n v="1074"/>
    <s v="Lynn"/>
    <s v="Morales"/>
    <s v="Casual Midi"/>
    <n v="-2"/>
    <n v="2694.6840000000002"/>
    <n v="1.06"/>
    <n v="0"/>
    <d v="2025-01-25T00:00:00"/>
    <x v="5"/>
    <x v="1"/>
    <n v="192.91"/>
    <s v="NEGATIVE SALES"/>
    <n v="-5389.3680000000004"/>
  </r>
  <r>
    <n v="1075"/>
    <s v="Jennifer"/>
    <s v="Horn"/>
    <s v="Crop Top"/>
    <n v="0"/>
    <n v="795.85"/>
    <n v="0.64557038834951397"/>
    <n v="0"/>
    <d v="2025-01-25T00:00:00"/>
    <x v="4"/>
    <x v="2"/>
    <n v="2418.8000000000002"/>
    <s v="NEGATIVE SALES"/>
    <n v="0"/>
  </r>
  <r>
    <n v="1076"/>
    <s v="Lori"/>
    <s v="Preston"/>
    <s v="Oversized T-Shirt"/>
    <n v="2"/>
    <n v="2694.6840000000002"/>
    <n v="0.64557038834951397"/>
    <n v="0"/>
    <d v="2025-01-07T00:00:00"/>
    <x v="3"/>
    <x v="1"/>
    <n v="1408.61"/>
    <s v="NEGATIVE SALES"/>
    <n v="5389.3680000000004"/>
  </r>
  <r>
    <n v="1077"/>
    <s v="Gabriel"/>
    <s v="Parrish"/>
    <s v="Oversized T-Shirt"/>
    <n v="2"/>
    <n v="2696.1945999999998"/>
    <n v="0.64557038834951397"/>
    <n v="0"/>
    <d v="2024-09-20T00:00:00"/>
    <x v="5"/>
    <x v="2"/>
    <n v="902.52"/>
    <s v="NEGATIVE SALES"/>
    <n v="5392.3891999999996"/>
  </r>
  <r>
    <n v="1078"/>
    <s v="Debbie"/>
    <s v="Raymond"/>
    <s v="Leather Jacket"/>
    <n v="0"/>
    <n v="4059.56"/>
    <n v="0.64557038834951397"/>
    <n v="0"/>
    <d v="2025-02-13T00:00:00"/>
    <x v="4"/>
    <x v="0"/>
    <n v="-819.94"/>
    <s v="NEGATIVE SALES"/>
    <n v="0"/>
  </r>
  <r>
    <n v="1079"/>
    <s v="Cheryl"/>
    <s v="Clark"/>
    <s v="Classic Tee"/>
    <n v="0"/>
    <n v="2696.1945999999998"/>
    <n v="0.64557038834951397"/>
    <n v="0"/>
    <d v="2025-02-13T00:00:00"/>
    <x v="5"/>
    <x v="2"/>
    <n v="-22.55"/>
    <s v="NEGATIVE SALES"/>
    <n v="0"/>
  </r>
  <r>
    <n v="1080"/>
    <s v="Laura"/>
    <s v="Thompson"/>
    <s v="Crop Top"/>
    <n v="0"/>
    <n v="3872.22"/>
    <n v="1.1499999999999999"/>
    <n v="0"/>
    <d v="2025-02-13T00:00:00"/>
    <x v="2"/>
    <x v="0"/>
    <n v="-302.97000000000003"/>
    <s v="NEGATIVE SALES"/>
    <n v="0"/>
  </r>
  <r>
    <n v="1081"/>
    <s v="Mary"/>
    <s v="Lin"/>
    <s v="Boyfriend Jeans"/>
    <n v="6"/>
    <n v="4798.0600000000004"/>
    <n v="0.81"/>
    <n v="5469.79"/>
    <d v="2025-02-13T00:00:00"/>
    <x v="5"/>
    <x v="2"/>
    <n v="-361.78"/>
    <s v="POSITIVE SALES"/>
    <n v="28788.36"/>
  </r>
  <r>
    <n v="1082"/>
    <s v="Nicholas"/>
    <s v="White"/>
    <s v="Bodycon"/>
    <n v="0"/>
    <n v="2694.1712000000002"/>
    <n v="0.64475669099756705"/>
    <n v="0"/>
    <d v="2025-02-13T00:00:00"/>
    <x v="3"/>
    <x v="2"/>
    <n v="712.91"/>
    <s v="NEGATIVE SALES"/>
    <n v="0"/>
  </r>
  <r>
    <n v="1083"/>
    <s v="Timothy"/>
    <s v="Farmer"/>
    <s v="Bomber Jacket"/>
    <n v="1"/>
    <n v="2692.4935"/>
    <n v="1.28"/>
    <n v="0"/>
    <d v="2025-02-13T00:00:00"/>
    <x v="4"/>
    <x v="2"/>
    <n v="-612.62"/>
    <s v="NEGATIVE SALES"/>
    <n v="2692.4935"/>
  </r>
  <r>
    <n v="1084"/>
    <s v="Kevin"/>
    <s v="Martinez"/>
    <s v="Loafers"/>
    <n v="0"/>
    <n v="2692.4935"/>
    <n v="0.53"/>
    <n v="0"/>
    <d v="2024-12-24T00:00:00"/>
    <x v="4"/>
    <x v="2"/>
    <n v="2458.0700000000002"/>
    <s v="NEGATIVE SALES"/>
    <n v="0"/>
  </r>
  <r>
    <n v="1085"/>
    <s v="James"/>
    <s v="Martinez"/>
    <s v="Slip-Ons"/>
    <n v="0"/>
    <n v="2692.4935"/>
    <n v="0.02"/>
    <n v="0"/>
    <d v="2023-10-18T00:00:00"/>
    <x v="4"/>
    <x v="2"/>
    <n v="264.73"/>
    <s v="NEGATIVE SALES"/>
    <n v="0"/>
  </r>
  <r>
    <n v="1086"/>
    <s v="Douglas"/>
    <s v="Nelson"/>
    <s v="Sunglasses"/>
    <n v="0"/>
    <n v="948.33"/>
    <n v="0.46"/>
    <n v="0"/>
    <d v="2025-03-16T00:00:00"/>
    <x v="3"/>
    <x v="0"/>
    <n v="-865.22"/>
    <s v="NEGATIVE SALES"/>
    <n v="0"/>
  </r>
  <r>
    <n v="1087"/>
    <s v="Thomas"/>
    <s v="Ramirez"/>
    <s v="Ripped Denim"/>
    <n v="0"/>
    <n v="1976.75"/>
    <n v="0.81"/>
    <n v="0"/>
    <d v="2025-07-08T00:00:00"/>
    <x v="2"/>
    <x v="0"/>
    <n v="2790.95"/>
    <s v="NEGATIVE SALES"/>
    <n v="0"/>
  </r>
  <r>
    <n v="1088"/>
    <s v="David"/>
    <s v="Faulkner"/>
    <s v="Caps"/>
    <n v="0"/>
    <n v="3891.14"/>
    <n v="0.64490820073439403"/>
    <n v="0"/>
    <d v="2025-05-08T00:00:00"/>
    <x v="4"/>
    <x v="0"/>
    <n v="1374.27"/>
    <s v="NEGATIVE SALES"/>
    <n v="0"/>
  </r>
  <r>
    <n v="1089"/>
    <s v="Dennis"/>
    <s v="Ross"/>
    <s v="Slip-Ons"/>
    <n v="0"/>
    <n v="1412.17"/>
    <n v="0.88"/>
    <n v="0"/>
    <d v="2025-02-22T00:00:00"/>
    <x v="2"/>
    <x v="1"/>
    <n v="-355.26"/>
    <s v="NEGATIVE SALES"/>
    <n v="0"/>
  </r>
  <r>
    <n v="1090"/>
    <s v="Heather"/>
    <s v="Arnold"/>
    <s v="Slip-Ons"/>
    <n v="5"/>
    <n v="2477.8200000000002"/>
    <n v="0.64462009803921605"/>
    <n v="0"/>
    <d v="2024-11-09T00:00:00"/>
    <x v="1"/>
    <x v="0"/>
    <n v="-888.86"/>
    <s v="NEGATIVE SALES"/>
    <n v="12389.1"/>
  </r>
  <r>
    <n v="1091"/>
    <s v="David"/>
    <s v="Bridges"/>
    <s v="Belts"/>
    <n v="1"/>
    <n v="2694.5266999999999"/>
    <n v="0.64462009803921605"/>
    <n v="0"/>
    <d v="2023-07-28T00:00:00"/>
    <x v="0"/>
    <x v="1"/>
    <n v="156.43"/>
    <s v="NEGATIVE SALES"/>
    <n v="2694.5266999999999"/>
  </r>
  <r>
    <n v="1092"/>
    <s v="Jennifer"/>
    <s v="Keller"/>
    <s v="Bodycon"/>
    <n v="0"/>
    <n v="2694.7002000000002"/>
    <n v="0.64462009803921605"/>
    <n v="0"/>
    <d v="2023-07-28T00:00:00"/>
    <x v="4"/>
    <x v="1"/>
    <n v="1122.6600000000001"/>
    <s v="NEGATIVE SALES"/>
    <n v="0"/>
  </r>
  <r>
    <n v="1093"/>
    <s v="Amanda"/>
    <s v="Myers"/>
    <s v="Bodycon"/>
    <n v="-2"/>
    <n v="2694.7002000000002"/>
    <n v="0.64462009803921605"/>
    <n v="0"/>
    <d v="2024-12-03T00:00:00"/>
    <x v="3"/>
    <x v="2"/>
    <n v="2966.76"/>
    <s v="NEGATIVE SALES"/>
    <n v="-5389.4004000000004"/>
  </r>
  <r>
    <n v="1094"/>
    <s v="Betty"/>
    <s v="Middleton"/>
    <s v="Denim Jacket"/>
    <n v="-1"/>
    <n v="4741.41"/>
    <n v="0.64462009803921605"/>
    <n v="0"/>
    <d v="2024-12-03T00:00:00"/>
    <x v="2"/>
    <x v="0"/>
    <n v="1901.7"/>
    <s v="NEGATIVE SALES"/>
    <n v="-4741.41"/>
  </r>
  <r>
    <n v="1097"/>
    <s v="Amber"/>
    <s v="Smith"/>
    <s v="Sunglasses"/>
    <n v="0"/>
    <n v="2693.0601999999999"/>
    <n v="0.64462009803921605"/>
    <n v="0"/>
    <d v="2025-01-18T00:00:00"/>
    <x v="2"/>
    <x v="1"/>
    <n v="1141.1500000000001"/>
    <s v="NEGATIVE SALES"/>
    <n v="0"/>
  </r>
  <r>
    <n v="1098"/>
    <s v="Diana"/>
    <s v="Jones"/>
    <s v="Caps"/>
    <n v="0"/>
    <n v="4752.04"/>
    <n v="0.64462009803921605"/>
    <n v="0"/>
    <d v="2024-09-08T00:00:00"/>
    <x v="1"/>
    <x v="0"/>
    <n v="129.37"/>
    <s v="NEGATIVE SALES"/>
    <n v="0"/>
  </r>
  <r>
    <n v="1099"/>
    <s v="Valerie"/>
    <s v="Walker"/>
    <s v="Loafers"/>
    <n v="0"/>
    <n v="2694.8815"/>
    <n v="0.64462009803921605"/>
    <n v="0"/>
    <d v="2024-02-22T00:00:00"/>
    <x v="4"/>
    <x v="2"/>
    <n v="300.02"/>
    <s v="NEGATIVE SALES"/>
    <n v="0"/>
  </r>
  <r>
    <n v="1100"/>
    <s v="Daniel"/>
    <s v="Brown"/>
    <s v="Boots"/>
    <n v="2"/>
    <n v="2011.73"/>
    <n v="0.64462009803921605"/>
    <n v="0"/>
    <d v="2024-12-30T00:00:00"/>
    <x v="5"/>
    <x v="0"/>
    <n v="2493.5"/>
    <s v="NEGATIVE SALES"/>
    <n v="4023.46"/>
  </r>
  <r>
    <n v="1101"/>
    <s v="Stephen"/>
    <s v="Smith"/>
    <s v="Boyfriend Jeans"/>
    <n v="0"/>
    <n v="2693.2305000000001"/>
    <n v="0.22"/>
    <n v="0"/>
    <d v="2025-03-04T00:00:00"/>
    <x v="4"/>
    <x v="0"/>
    <n v="2962.73"/>
    <s v="NEGATIVE SALES"/>
    <n v="0"/>
  </r>
  <r>
    <n v="1102"/>
    <s v="Kimberly"/>
    <s v="Walter"/>
    <s v="Boyfriend Jeans"/>
    <n v="5"/>
    <n v="2693.7779"/>
    <n v="0.64514110429447802"/>
    <n v="0"/>
    <d v="2025-04-15T00:00:00"/>
    <x v="5"/>
    <x v="1"/>
    <n v="2776.7"/>
    <s v="NEGATIVE SALES"/>
    <n v="13468.889499999999"/>
  </r>
  <r>
    <n v="1103"/>
    <s v="Brandon"/>
    <s v="Webb"/>
    <s v="Bodycon"/>
    <n v="5"/>
    <n v="1521.46"/>
    <n v="0.64514110429447802"/>
    <n v="0"/>
    <d v="2025-06-11T00:00:00"/>
    <x v="3"/>
    <x v="2"/>
    <n v="1713.47"/>
    <s v="NEGATIVE SALES"/>
    <n v="7607.3"/>
  </r>
  <r>
    <n v="1104"/>
    <s v="Andrew"/>
    <s v="Moreno"/>
    <s v="Maxi Dress"/>
    <n v="3"/>
    <n v="2752.71"/>
    <n v="0.64514110429447802"/>
    <n v="0"/>
    <d v="2024-06-11T00:00:00"/>
    <x v="1"/>
    <x v="2"/>
    <n v="1660.01"/>
    <s v="NEGATIVE SALES"/>
    <n v="8258.1299999999992"/>
  </r>
  <r>
    <n v="1105"/>
    <s v="Willie"/>
    <s v="Smith"/>
    <s v="Maxi Dress"/>
    <n v="-2"/>
    <n v="2694.7203"/>
    <n v="0.64514110429447802"/>
    <n v="0"/>
    <d v="2024-06-11T00:00:00"/>
    <x v="1"/>
    <x v="2"/>
    <n v="616.04"/>
    <s v="NEGATIVE SALES"/>
    <n v="-5389.4405999999999"/>
  </r>
  <r>
    <n v="1106"/>
    <s v="Evelyn"/>
    <s v="Allison"/>
    <s v="Boyfriend Jeans"/>
    <n v="3"/>
    <n v="2694.6736000000001"/>
    <n v="0.64514110429447802"/>
    <n v="0"/>
    <d v="2025-04-01T00:00:00"/>
    <x v="4"/>
    <x v="0"/>
    <n v="53.28"/>
    <s v="NEGATIVE SALES"/>
    <n v="8084.0208000000002"/>
  </r>
  <r>
    <n v="1107"/>
    <s v="Elizabeth"/>
    <s v="Hood"/>
    <s v="Straight Cut"/>
    <n v="0"/>
    <n v="4948"/>
    <n v="0.64514110429447802"/>
    <n v="0"/>
    <d v="2025-04-01T00:00:00"/>
    <x v="0"/>
    <x v="0"/>
    <n v="1064.8599999999999"/>
    <s v="NEGATIVE SALES"/>
    <n v="0"/>
  </r>
  <r>
    <n v="1109"/>
    <s v="Nicole"/>
    <s v="Evans"/>
    <s v="Ripped Denim"/>
    <n v="0"/>
    <n v="2692.8593999999998"/>
    <n v="0.64514110429447802"/>
    <n v="0"/>
    <d v="2025-05-02T00:00:00"/>
    <x v="5"/>
    <x v="0"/>
    <n v="2133.58"/>
    <s v="NEGATIVE SALES"/>
    <n v="0"/>
  </r>
  <r>
    <n v="1110"/>
    <s v="Michael"/>
    <s v="Velasquez"/>
    <s v="Slim Fit Jeans"/>
    <n v="4"/>
    <n v="2691.3213999999998"/>
    <n v="0.64514110429447802"/>
    <n v="0"/>
    <d v="2025-06-26T00:00:00"/>
    <x v="2"/>
    <x v="0"/>
    <n v="2155.6799999999998"/>
    <s v="NEGATIVE SALES"/>
    <n v="10765.285599999999"/>
  </r>
  <r>
    <n v="1111"/>
    <s v="Tammy"/>
    <s v="Gonzales"/>
    <s v="Classic Tee"/>
    <n v="0"/>
    <n v="2691.3213999999998"/>
    <n v="0.64514110429447802"/>
    <n v="0"/>
    <d v="2025-06-26T00:00:00"/>
    <x v="1"/>
    <x v="0"/>
    <n v="748.93"/>
    <s v="NEGATIVE SALES"/>
    <n v="0"/>
  </r>
  <r>
    <n v="1112"/>
    <s v="Sherry"/>
    <s v="Shepard"/>
    <s v="Casual Midi"/>
    <n v="0"/>
    <n v="1027.56"/>
    <n v="0.64514110429447802"/>
    <n v="0"/>
    <d v="2025-06-26T00:00:00"/>
    <x v="2"/>
    <x v="1"/>
    <n v="1160.17"/>
    <s v="NEGATIVE SALES"/>
    <n v="0"/>
  </r>
  <r>
    <n v="1113"/>
    <s v="Derek"/>
    <s v="Edwards"/>
    <s v="Puffer Coat"/>
    <n v="0"/>
    <n v="3864.5"/>
    <n v="0.64514110429447802"/>
    <n v="0"/>
    <d v="2025-06-26T00:00:00"/>
    <x v="1"/>
    <x v="0"/>
    <n v="-763.23"/>
    <s v="NEGATIVE SALES"/>
    <n v="0"/>
  </r>
  <r>
    <n v="1114"/>
    <s v="Robert"/>
    <s v="Williams"/>
    <s v="Bodycon"/>
    <n v="6"/>
    <n v="568.61"/>
    <n v="0.2"/>
    <n v="2729.33"/>
    <d v="2025-02-18T00:00:00"/>
    <x v="0"/>
    <x v="0"/>
    <n v="-689.16"/>
    <s v="POSITIVE SALES"/>
    <n v="3411.66"/>
  </r>
  <r>
    <n v="1115"/>
    <s v="Carolyn"/>
    <s v="Nelson"/>
    <s v="Belts"/>
    <n v="0"/>
    <n v="2691.7174"/>
    <n v="0.64568796068796097"/>
    <n v="0"/>
    <d v="2025-06-18T00:00:00"/>
    <x v="1"/>
    <x v="1"/>
    <n v="-624.26"/>
    <s v="NEGATIVE SALES"/>
    <n v="0"/>
  </r>
  <r>
    <n v="1116"/>
    <s v="Olivia"/>
    <s v="Jones"/>
    <s v="Bomber Jacket"/>
    <n v="1"/>
    <n v="2693.4322999999999"/>
    <n v="0.64568796068796097"/>
    <n v="0"/>
    <d v="2025-03-02T00:00:00"/>
    <x v="0"/>
    <x v="0"/>
    <n v="1733.04"/>
    <s v="NEGATIVE SALES"/>
    <n v="2693.4322999999999"/>
  </r>
  <r>
    <n v="1117"/>
    <s v="Molly"/>
    <s v="Johnson"/>
    <s v="Puffer Coat"/>
    <n v="0"/>
    <n v="3567.55"/>
    <n v="0.64568796068796097"/>
    <n v="0"/>
    <d v="2025-03-02T00:00:00"/>
    <x v="3"/>
    <x v="1"/>
    <n v="-455.6"/>
    <s v="NEGATIVE SALES"/>
    <n v="0"/>
  </r>
  <r>
    <n v="1118"/>
    <s v="Jose"/>
    <s v="Jackson"/>
    <s v="Belts"/>
    <n v="0"/>
    <n v="2693.4322999999999"/>
    <n v="0.64568796068796097"/>
    <n v="0"/>
    <d v="2025-05-01T00:00:00"/>
    <x v="3"/>
    <x v="0"/>
    <n v="1039.53"/>
    <s v="NEGATIVE SALES"/>
    <n v="0"/>
  </r>
  <r>
    <n v="1119"/>
    <s v="Elizabeth"/>
    <s v="Vega"/>
    <s v="Ripped Denim"/>
    <n v="0"/>
    <n v="2692.7257"/>
    <n v="0.64568796068796097"/>
    <n v="0"/>
    <d v="2025-05-14T00:00:00"/>
    <x v="2"/>
    <x v="0"/>
    <n v="142.69"/>
    <s v="NEGATIVE SALES"/>
    <n v="0"/>
  </r>
  <r>
    <n v="1120"/>
    <s v="Angelica"/>
    <s v="Gonzalez"/>
    <s v="Puffer Coat"/>
    <n v="0"/>
    <n v="4709"/>
    <n v="0.64568796068796097"/>
    <n v="0"/>
    <d v="2025-05-05T00:00:00"/>
    <x v="1"/>
    <x v="1"/>
    <n v="828.98"/>
    <s v="NEGATIVE SALES"/>
    <n v="0"/>
  </r>
  <r>
    <n v="1121"/>
    <s v="Henry"/>
    <s v="Parker"/>
    <s v="Boots"/>
    <n v="0"/>
    <n v="4109.6000000000004"/>
    <n v="0.42"/>
    <n v="0"/>
    <d v="2025-05-05T00:00:00"/>
    <x v="4"/>
    <x v="0"/>
    <n v="1422.36"/>
    <s v="NEGATIVE SALES"/>
    <n v="0"/>
  </r>
  <r>
    <n v="1122"/>
    <s v="Jennifer"/>
    <s v="Lee"/>
    <s v="Bomber Jacket"/>
    <n v="0"/>
    <n v="4745.03"/>
    <n v="0.4"/>
    <n v="0"/>
    <d v="2025-05-05T00:00:00"/>
    <x v="2"/>
    <x v="0"/>
    <n v="2658.02"/>
    <s v="NEGATIVE SALES"/>
    <n v="0"/>
  </r>
  <r>
    <n v="1123"/>
    <s v="Michael"/>
    <s v="Clarke"/>
    <s v="Caps"/>
    <n v="5"/>
    <n v="3978.76"/>
    <n v="0.64626847290640399"/>
    <n v="0"/>
    <d v="2024-04-11T00:00:00"/>
    <x v="1"/>
    <x v="1"/>
    <n v="1494.78"/>
    <s v="NEGATIVE SALES"/>
    <n v="19893.8"/>
  </r>
  <r>
    <n v="1125"/>
    <s v="Jason"/>
    <s v="Turner"/>
    <s v="Boots"/>
    <n v="-2"/>
    <n v="2687.2338"/>
    <n v="0.64626847290640399"/>
    <n v="0"/>
    <d v="2024-12-31T00:00:00"/>
    <x v="0"/>
    <x v="1"/>
    <n v="-754.58"/>
    <s v="NEGATIVE SALES"/>
    <n v="-5374.4675999999999"/>
  </r>
  <r>
    <n v="1126"/>
    <s v="Grant"/>
    <s v="Munoz"/>
    <s v="Boyfriend Jeans"/>
    <n v="2"/>
    <n v="2687.2338"/>
    <n v="0.59"/>
    <n v="0"/>
    <d v="2024-12-31T00:00:00"/>
    <x v="4"/>
    <x v="0"/>
    <n v="1820.2"/>
    <s v="NEGATIVE SALES"/>
    <n v="5374.4675999999999"/>
  </r>
  <r>
    <n v="1127"/>
    <s v="Rhonda"/>
    <s v="Ray"/>
    <s v="Bodycon"/>
    <n v="3"/>
    <n v="4843.4399999999996"/>
    <n v="7.0000000000000007E-2"/>
    <n v="13513.2"/>
    <d v="2024-08-07T00:00:00"/>
    <x v="1"/>
    <x v="2"/>
    <n v="2881.91"/>
    <s v="POSITIVE SALES"/>
    <n v="14530.32"/>
  </r>
  <r>
    <n v="1128"/>
    <s v="Susan"/>
    <s v="Anderson"/>
    <s v="Oversized T-Shirt"/>
    <n v="0"/>
    <n v="2687.2338"/>
    <n v="0.43"/>
    <n v="0"/>
    <d v="2024-08-07T00:00:00"/>
    <x v="5"/>
    <x v="1"/>
    <n v="-68.489999999999995"/>
    <s v="NEGATIVE SALES"/>
    <n v="0"/>
  </r>
  <r>
    <n v="1129"/>
    <s v="Miranda"/>
    <s v="Thomas"/>
    <s v="Boyfriend Jeans"/>
    <n v="-2"/>
    <n v="2412.36"/>
    <n v="0.23"/>
    <n v="-3715.03"/>
    <d v="2025-06-27T00:00:00"/>
    <x v="2"/>
    <x v="0"/>
    <n v="-668.36"/>
    <s v="NEGATIVE SALES"/>
    <n v="-4824.72"/>
  </r>
  <r>
    <n v="1130"/>
    <s v="Samuel"/>
    <s v="Miller"/>
    <s v="Sunglasses"/>
    <n v="0"/>
    <n v="2685.4836"/>
    <n v="0.64783415841584202"/>
    <n v="0"/>
    <d v="2025-06-27T00:00:00"/>
    <x v="0"/>
    <x v="2"/>
    <n v="2782.45"/>
    <s v="NEGATIVE SALES"/>
    <n v="0"/>
  </r>
  <r>
    <n v="1131"/>
    <s v="Grace"/>
    <s v="Chavez"/>
    <s v="Classic Tee"/>
    <n v="5"/>
    <n v="2685.7055"/>
    <n v="0.99"/>
    <n v="0"/>
    <d v="2025-01-18T00:00:00"/>
    <x v="0"/>
    <x v="1"/>
    <n v="-941.56"/>
    <s v="NEGATIVE SALES"/>
    <n v="13428.5275"/>
  </r>
  <r>
    <n v="1132"/>
    <s v="Andrew"/>
    <s v="Carlson"/>
    <s v="Bomber Jacket"/>
    <n v="0"/>
    <n v="2685.7055"/>
    <n v="0.57999999999999996"/>
    <n v="0"/>
    <d v="2025-01-18T00:00:00"/>
    <x v="0"/>
    <x v="2"/>
    <n v="2043.57"/>
    <s v="NEGATIVE SALES"/>
    <n v="0"/>
  </r>
  <r>
    <n v="1133"/>
    <s v="Erin"/>
    <s v="Williams"/>
    <s v="Casual Midi"/>
    <n v="0"/>
    <n v="2685.7055"/>
    <n v="0.6"/>
    <n v="0"/>
    <d v="2025-01-18T00:00:00"/>
    <x v="1"/>
    <x v="1"/>
    <n v="806.19"/>
    <s v="NEGATIVE SALES"/>
    <n v="0"/>
  </r>
  <r>
    <n v="1134"/>
    <s v="Melissa"/>
    <s v="Jenkins"/>
    <s v="Wrap Dress"/>
    <n v="3"/>
    <n v="2685.7055"/>
    <n v="0.64755279503105601"/>
    <n v="0"/>
    <d v="2025-05-14T00:00:00"/>
    <x v="0"/>
    <x v="0"/>
    <n v="1101.19"/>
    <s v="NEGATIVE SALES"/>
    <n v="8057.1165000000001"/>
  </r>
  <r>
    <n v="1135"/>
    <s v="Ronald"/>
    <s v="Ballard"/>
    <s v="Sneakers"/>
    <n v="4"/>
    <n v="1556.96"/>
    <n v="0.84"/>
    <n v="996.45"/>
    <d v="2024-10-23T00:00:00"/>
    <x v="2"/>
    <x v="2"/>
    <n v="1432.84"/>
    <s v="POSITIVE SALES"/>
    <n v="6227.84"/>
  </r>
  <r>
    <n v="1136"/>
    <s v="Danielle"/>
    <s v="Johnson"/>
    <s v="Straight Cut"/>
    <n v="0"/>
    <n v="3658.42"/>
    <n v="0.47"/>
    <n v="0"/>
    <d v="2024-01-27T00:00:00"/>
    <x v="2"/>
    <x v="1"/>
    <n v="1897.33"/>
    <s v="NEGATIVE SALES"/>
    <n v="0"/>
  </r>
  <r>
    <n v="1137"/>
    <s v="Jason"/>
    <s v="Moore"/>
    <s v="Sneakers"/>
    <n v="0"/>
    <n v="4206.0600000000004"/>
    <n v="0.64753424657534198"/>
    <n v="0"/>
    <d v="2025-04-23T00:00:00"/>
    <x v="0"/>
    <x v="2"/>
    <n v="1161.76"/>
    <s v="NEGATIVE SALES"/>
    <n v="0"/>
  </r>
  <r>
    <n v="1138"/>
    <s v="Thomas"/>
    <s v="Freeman"/>
    <s v="Bodycon"/>
    <n v="0"/>
    <n v="2685.8325"/>
    <n v="0.26"/>
    <n v="0"/>
    <d v="2025-04-23T00:00:00"/>
    <x v="5"/>
    <x v="0"/>
    <n v="-658.58"/>
    <s v="NEGATIVE SALES"/>
    <n v="0"/>
  </r>
  <r>
    <n v="1139"/>
    <s v="Katherine"/>
    <s v="Reyes"/>
    <s v="Graphic Tee"/>
    <n v="0"/>
    <n v="2684.5945000000002"/>
    <n v="0.21"/>
    <n v="0"/>
    <d v="2024-10-28T00:00:00"/>
    <x v="3"/>
    <x v="1"/>
    <n v="-832.45"/>
    <s v="NEGATIVE SALES"/>
    <n v="0"/>
  </r>
  <r>
    <n v="1140"/>
    <s v="Dawn"/>
    <s v="Smith"/>
    <s v="Belts"/>
    <n v="4"/>
    <n v="2684.5945000000002"/>
    <n v="0.64856429463170995"/>
    <n v="0"/>
    <d v="2024-08-13T00:00:00"/>
    <x v="5"/>
    <x v="2"/>
    <n v="-127.91"/>
    <s v="NEGATIVE SALES"/>
    <n v="10738.378000000001"/>
  </r>
  <r>
    <n v="1141"/>
    <s v="Sarah"/>
    <s v="Pacheco"/>
    <s v="Graphic Tee"/>
    <n v="0"/>
    <n v="2684.5945000000002"/>
    <n v="1.1499999999999999"/>
    <n v="0"/>
    <d v="2024-04-19T00:00:00"/>
    <x v="0"/>
    <x v="0"/>
    <n v="429.67"/>
    <s v="NEGATIVE SALES"/>
    <n v="0"/>
  </r>
  <r>
    <n v="1142"/>
    <s v="Daniel"/>
    <s v="Alvarez"/>
    <s v="Bodycon"/>
    <n v="6"/>
    <n v="3004.58"/>
    <n v="0.64793750000000006"/>
    <n v="0"/>
    <d v="2024-02-22T00:00:00"/>
    <x v="5"/>
    <x v="0"/>
    <n v="-509.67"/>
    <s v="NEGATIVE SALES"/>
    <n v="18027.48"/>
  </r>
  <r>
    <n v="1143"/>
    <s v="Bernard"/>
    <s v="Ramirez"/>
    <s v="Denim Jacket"/>
    <n v="0"/>
    <n v="2684.5945000000002"/>
    <n v="0.64793750000000006"/>
    <n v="0"/>
    <d v="2025-05-05T00:00:00"/>
    <x v="3"/>
    <x v="1"/>
    <n v="816.49"/>
    <s v="NEGATIVE SALES"/>
    <n v="0"/>
  </r>
  <r>
    <n v="1144"/>
    <s v="Mrs."/>
    <s v="Julia"/>
    <s v="Slim Fit Jeans"/>
    <n v="0"/>
    <n v="2684.3337000000001"/>
    <n v="0.19"/>
    <n v="0"/>
    <d v="2025-05-05T00:00:00"/>
    <x v="2"/>
    <x v="0"/>
    <n v="2966.21"/>
    <s v="NEGATIVE SALES"/>
    <n v="0"/>
  </r>
  <r>
    <n v="1145"/>
    <s v="Jorge"/>
    <s v="Anderson"/>
    <s v="Graphic Tee"/>
    <n v="-2"/>
    <n v="3607.9"/>
    <n v="0.94"/>
    <n v="-432.95"/>
    <d v="2024-11-06T00:00:00"/>
    <x v="5"/>
    <x v="2"/>
    <n v="-171.58"/>
    <s v="NEGATIVE SALES"/>
    <n v="-7215.8"/>
  </r>
  <r>
    <n v="1146"/>
    <s v="Jacqueline"/>
    <s v="Jenkins"/>
    <s v="Belts"/>
    <n v="0"/>
    <n v="2684.3337000000001"/>
    <n v="1.0900000000000001"/>
    <n v="0"/>
    <d v="2025-03-03T00:00:00"/>
    <x v="4"/>
    <x v="0"/>
    <n v="-431.7"/>
    <s v="NEGATIVE SALES"/>
    <n v="0"/>
  </r>
  <r>
    <n v="1147"/>
    <s v="Tracy"/>
    <s v="Miller"/>
    <s v="Casual Midi"/>
    <n v="0"/>
    <n v="2875.46"/>
    <n v="0.64759096612296096"/>
    <n v="0"/>
    <d v="2024-12-06T00:00:00"/>
    <x v="0"/>
    <x v="2"/>
    <n v="-794.99"/>
    <s v="NEGATIVE SALES"/>
    <n v="0"/>
  </r>
  <r>
    <n v="1148"/>
    <s v="Travis"/>
    <s v="Lopez"/>
    <s v="Belts"/>
    <n v="0"/>
    <n v="2471.48"/>
    <n v="1.1100000000000001"/>
    <n v="0"/>
    <d v="2025-01-23T00:00:00"/>
    <x v="2"/>
    <x v="0"/>
    <n v="2247.9"/>
    <s v="NEGATIVE SALES"/>
    <n v="0"/>
  </r>
  <r>
    <n v="1149"/>
    <s v="Steven"/>
    <s v="Ortiz"/>
    <s v="Bodycon"/>
    <n v="2"/>
    <n v="2683.4236999999998"/>
    <n v="0.64701005025125602"/>
    <n v="0"/>
    <d v="2024-10-05T00:00:00"/>
    <x v="5"/>
    <x v="2"/>
    <n v="562.69000000000005"/>
    <s v="NEGATIVE SALES"/>
    <n v="5366.8473999999997"/>
  </r>
  <r>
    <n v="1150"/>
    <s v="Brittany"/>
    <s v="Robinson"/>
    <s v="Sunglasses"/>
    <n v="0"/>
    <n v="1554.9"/>
    <n v="0.64701005025125602"/>
    <n v="0"/>
    <d v="2024-10-17T00:00:00"/>
    <x v="1"/>
    <x v="0"/>
    <n v="457.65"/>
    <s v="NEGATIVE SALES"/>
    <n v="0"/>
  </r>
  <r>
    <n v="1151"/>
    <s v="Joseph"/>
    <s v="Allen"/>
    <s v="Straight Cut"/>
    <n v="4"/>
    <n v="2266.44"/>
    <n v="0.33"/>
    <n v="6074.06"/>
    <d v="2025-07-17T00:00:00"/>
    <x v="4"/>
    <x v="0"/>
    <n v="-655.45"/>
    <s v="POSITIVE SALES"/>
    <n v="9065.76"/>
  </r>
  <r>
    <n v="1152"/>
    <s v="Matthew"/>
    <s v="Deleon"/>
    <s v="Slip-Ons"/>
    <n v="1"/>
    <n v="2684.5198"/>
    <n v="1.26"/>
    <n v="0"/>
    <d v="2024-11-03T00:00:00"/>
    <x v="4"/>
    <x v="1"/>
    <n v="454.45"/>
    <s v="NEGATIVE SALES"/>
    <n v="2684.5198"/>
  </r>
  <r>
    <n v="1153"/>
    <s v="Julia"/>
    <s v="Evans"/>
    <s v="Belts"/>
    <n v="1"/>
    <n v="478.59"/>
    <n v="0.64663727959697703"/>
    <n v="0"/>
    <d v="2024-12-15T00:00:00"/>
    <x v="0"/>
    <x v="2"/>
    <n v="-681.2"/>
    <s v="NEGATIVE SALES"/>
    <n v="478.59"/>
  </r>
  <r>
    <n v="1154"/>
    <s v="Robert"/>
    <s v="Parks"/>
    <s v="Watches"/>
    <n v="0"/>
    <n v="2684.8618999999999"/>
    <n v="0.64663727959697703"/>
    <n v="0"/>
    <d v="2024-10-10T00:00:00"/>
    <x v="3"/>
    <x v="0"/>
    <n v="52.85"/>
    <s v="NEGATIVE SALES"/>
    <n v="0"/>
  </r>
  <r>
    <n v="1155"/>
    <s v="Sean"/>
    <s v="Small"/>
    <s v="Slip-Ons"/>
    <n v="0"/>
    <n v="2686.6689000000001"/>
    <n v="0.64"/>
    <n v="0"/>
    <d v="2024-11-08T00:00:00"/>
    <x v="2"/>
    <x v="1"/>
    <n v="2493.12"/>
    <s v="NEGATIVE SALES"/>
    <n v="0"/>
  </r>
  <r>
    <n v="1156"/>
    <s v="Jacob"/>
    <s v="Moore"/>
    <s v="Wrap Dress"/>
    <n v="3"/>
    <n v="2686.6689000000001"/>
    <n v="0.93"/>
    <n v="0"/>
    <d v="2024-11-08T00:00:00"/>
    <x v="0"/>
    <x v="1"/>
    <n v="1699.17"/>
    <s v="NEGATIVE SALES"/>
    <n v="8060.0066999999999"/>
  </r>
  <r>
    <n v="1157"/>
    <s v="Dean"/>
    <s v="Allen"/>
    <s v="Ripped Denim"/>
    <n v="6"/>
    <n v="645.03"/>
    <n v="0.64628787878787897"/>
    <n v="0"/>
    <d v="2025-06-25T00:00:00"/>
    <x v="1"/>
    <x v="0"/>
    <n v="2724.92"/>
    <s v="NEGATIVE SALES"/>
    <n v="3870.18"/>
  </r>
  <r>
    <n v="1158"/>
    <s v="Vicki"/>
    <s v="Jackson"/>
    <s v="Wrap Dress"/>
    <n v="0"/>
    <n v="4516.08"/>
    <n v="0.64628787878787897"/>
    <n v="0"/>
    <d v="2025-07-06T00:00:00"/>
    <x v="0"/>
    <x v="2"/>
    <n v="2164.9499999999998"/>
    <s v="NEGATIVE SALES"/>
    <n v="0"/>
  </r>
  <r>
    <n v="1159"/>
    <s v="Robert"/>
    <s v="Knox"/>
    <s v="Sneakers"/>
    <n v="0"/>
    <n v="3335.18"/>
    <n v="0.09"/>
    <n v="0"/>
    <d v="2025-07-06T00:00:00"/>
    <x v="1"/>
    <x v="0"/>
    <n v="235.11"/>
    <s v="NEGATIVE SALES"/>
    <n v="0"/>
  </r>
  <r>
    <n v="1160"/>
    <s v="Ruben"/>
    <s v="Oconnell"/>
    <s v="Casual Midi"/>
    <n v="0"/>
    <n v="2686.8429999999998"/>
    <n v="0.77"/>
    <n v="0"/>
    <d v="2024-11-11T00:00:00"/>
    <x v="5"/>
    <x v="1"/>
    <n v="-711.19"/>
    <s v="NEGATIVE SALES"/>
    <n v="0"/>
  </r>
  <r>
    <n v="1161"/>
    <s v="Laura"/>
    <s v="Gallegos"/>
    <s v="Classic Tee"/>
    <n v="0"/>
    <n v="1801.91"/>
    <n v="0.64683544303797402"/>
    <n v="0"/>
    <d v="2024-03-01T00:00:00"/>
    <x v="2"/>
    <x v="1"/>
    <n v="502.86"/>
    <s v="NEGATIVE SALES"/>
    <n v="0"/>
  </r>
  <r>
    <n v="1162"/>
    <s v="Christopher"/>
    <s v="Harvey"/>
    <s v="Boots"/>
    <n v="4"/>
    <n v="2686.3107"/>
    <n v="0.14000000000000001"/>
    <n v="0"/>
    <d v="2024-11-25T00:00:00"/>
    <x v="2"/>
    <x v="0"/>
    <n v="2566.0500000000002"/>
    <s v="NEGATIVE SALES"/>
    <n v="10745.2428"/>
  </r>
  <r>
    <n v="1163"/>
    <s v="Scott"/>
    <s v="Hampton"/>
    <s v="Sunglasses"/>
    <n v="0"/>
    <n v="1033.58"/>
    <n v="0.68"/>
    <n v="0"/>
    <d v="2025-01-09T00:00:00"/>
    <x v="3"/>
    <x v="0"/>
    <n v="-441.46"/>
    <s v="NEGATIVE SALES"/>
    <n v="0"/>
  </r>
  <r>
    <n v="1164"/>
    <s v="Steven"/>
    <s v="Ingram"/>
    <s v="Sunglasses"/>
    <n v="5"/>
    <n v="2687.0374000000002"/>
    <n v="0.64743654822334995"/>
    <n v="0"/>
    <d v="2025-01-09T00:00:00"/>
    <x v="5"/>
    <x v="2"/>
    <n v="598.79"/>
    <s v="NEGATIVE SALES"/>
    <n v="13435.187"/>
  </r>
  <r>
    <n v="1165"/>
    <s v="Joshua"/>
    <s v="Jones"/>
    <s v="Classic Tee"/>
    <n v="2"/>
    <n v="2688.3971000000001"/>
    <n v="0.08"/>
    <n v="0"/>
    <d v="2024-10-04T00:00:00"/>
    <x v="3"/>
    <x v="2"/>
    <n v="-102.32"/>
    <s v="NEGATIVE SALES"/>
    <n v="5376.7942000000003"/>
  </r>
  <r>
    <n v="1166"/>
    <s v="Jennifer"/>
    <s v="Johnson"/>
    <s v="Bomber Jacket"/>
    <n v="0"/>
    <n v="2688.3971000000001"/>
    <n v="0.91"/>
    <n v="0"/>
    <d v="2023-08-27T00:00:00"/>
    <x v="1"/>
    <x v="1"/>
    <n v="285.44"/>
    <s v="NEGATIVE SALES"/>
    <n v="0"/>
  </r>
  <r>
    <n v="1167"/>
    <s v="Robert"/>
    <s v="Evans"/>
    <s v="Oversized T-Shirt"/>
    <n v="0"/>
    <n v="4595.8999999999996"/>
    <n v="0.09"/>
    <n v="0"/>
    <d v="2025-05-14T00:00:00"/>
    <x v="3"/>
    <x v="1"/>
    <n v="-653.79999999999995"/>
    <s v="NEGATIVE SALES"/>
    <n v="0"/>
  </r>
  <r>
    <n v="1168"/>
    <s v="Eugene"/>
    <s v="Olson"/>
    <s v="Sunglasses"/>
    <n v="0"/>
    <n v="3655.71"/>
    <n v="0.48"/>
    <n v="0"/>
    <d v="2024-11-13T00:00:00"/>
    <x v="5"/>
    <x v="1"/>
    <n v="2024.15"/>
    <s v="NEGATIVE SALES"/>
    <n v="0"/>
  </r>
  <r>
    <n v="1169"/>
    <s v="Kristine"/>
    <s v="Sexton"/>
    <s v="Classic Tee"/>
    <n v="-1"/>
    <n v="2948.26"/>
    <n v="0.9"/>
    <n v="-294.83"/>
    <d v="2024-11-13T00:00:00"/>
    <x v="4"/>
    <x v="1"/>
    <n v="1285.1500000000001"/>
    <s v="NEGATIVE SALES"/>
    <n v="-2948.26"/>
  </r>
  <r>
    <n v="1170"/>
    <s v="Marc"/>
    <s v="Hull"/>
    <s v="Straight Cut"/>
    <n v="0"/>
    <n v="2686.0291000000002"/>
    <n v="0.76"/>
    <n v="0"/>
    <d v="2024-11-13T00:00:00"/>
    <x v="0"/>
    <x v="0"/>
    <n v="-528.70000000000005"/>
    <s v="NEGATIVE SALES"/>
    <n v="0"/>
  </r>
  <r>
    <n v="1171"/>
    <s v="Richard"/>
    <s v="Johnson"/>
    <s v="Straight Cut"/>
    <n v="1"/>
    <n v="2685.8128999999999"/>
    <n v="0.64828644501278798"/>
    <n v="0"/>
    <d v="2025-06-16T00:00:00"/>
    <x v="4"/>
    <x v="2"/>
    <n v="2475.83"/>
    <s v="NEGATIVE SALES"/>
    <n v="2685.8128999999999"/>
  </r>
  <r>
    <n v="1172"/>
    <s v="Diane"/>
    <s v="Davis"/>
    <s v="Puffer Coat"/>
    <n v="-2"/>
    <n v="2719.32"/>
    <n v="0.64828644501278798"/>
    <n v="0"/>
    <d v="2025-05-02T00:00:00"/>
    <x v="5"/>
    <x v="0"/>
    <n v="655.1"/>
    <s v="NEGATIVE SALES"/>
    <n v="-5438.64"/>
  </r>
  <r>
    <n v="1173"/>
    <s v="Shaun"/>
    <s v="Bush"/>
    <s v="Boyfriend Jeans"/>
    <n v="0"/>
    <n v="4063.39"/>
    <n v="0.64828644501278798"/>
    <n v="0"/>
    <d v="2025-05-02T00:00:00"/>
    <x v="3"/>
    <x v="1"/>
    <n v="2034.39"/>
    <s v="NEGATIVE SALES"/>
    <n v="0"/>
  </r>
  <r>
    <n v="1174"/>
    <s v="Tiffany"/>
    <s v="Flores"/>
    <s v="Leather Jacket"/>
    <n v="6"/>
    <n v="4984.6499999999996"/>
    <n v="0.42"/>
    <n v="17346.580000000002"/>
    <d v="2024-12-23T00:00:00"/>
    <x v="3"/>
    <x v="1"/>
    <n v="2931.32"/>
    <s v="POSITIVE SALES"/>
    <n v="29907.9"/>
  </r>
  <r>
    <n v="1175"/>
    <s v="Ashley"/>
    <s v="Brown"/>
    <s v="Casual Midi"/>
    <n v="3"/>
    <n v="2684.6477"/>
    <n v="0.64857874519846304"/>
    <n v="0"/>
    <d v="2024-10-01T00:00:00"/>
    <x v="1"/>
    <x v="0"/>
    <n v="728.61"/>
    <s v="NEGATIVE SALES"/>
    <n v="8053.9431000000004"/>
  </r>
  <r>
    <n v="1176"/>
    <s v="Bailey"/>
    <s v="Williamson"/>
    <s v="Boyfriend Jeans"/>
    <n v="6"/>
    <n v="2682.7467999999999"/>
    <n v="0.87"/>
    <n v="0"/>
    <d v="2024-10-01T00:00:00"/>
    <x v="2"/>
    <x v="2"/>
    <n v="-879.15"/>
    <s v="NEGATIVE SALES"/>
    <n v="16096.480799999999"/>
  </r>
  <r>
    <n v="1177"/>
    <s v="Elizabeth"/>
    <s v="Torres"/>
    <s v="Straight Cut"/>
    <n v="0"/>
    <n v="2426.13"/>
    <n v="0.648294871794872"/>
    <n v="0"/>
    <d v="2025-03-30T00:00:00"/>
    <x v="1"/>
    <x v="0"/>
    <n v="353.91"/>
    <s v="NEGATIVE SALES"/>
    <n v="0"/>
  </r>
  <r>
    <n v="1178"/>
    <s v="Joshua"/>
    <s v="Anderson"/>
    <s v="Crop Top"/>
    <n v="4"/>
    <n v="1204.5899999999999"/>
    <n v="0.648294871794872"/>
    <n v="0"/>
    <d v="2025-03-30T00:00:00"/>
    <x v="5"/>
    <x v="1"/>
    <n v="2161.64"/>
    <s v="NEGATIVE SALES"/>
    <n v="4818.3599999999997"/>
  </r>
  <r>
    <n v="1179"/>
    <s v="Kevin"/>
    <s v="Allen"/>
    <s v="Bomber Jacket"/>
    <n v="0"/>
    <n v="2682.9591"/>
    <n v="0.648294871794872"/>
    <n v="0"/>
    <d v="2025-04-04T00:00:00"/>
    <x v="2"/>
    <x v="0"/>
    <n v="510.53"/>
    <s v="NEGATIVE SALES"/>
    <n v="0"/>
  </r>
  <r>
    <n v="1180"/>
    <s v="Michelle"/>
    <s v="Moore"/>
    <s v="Bodycon"/>
    <n v="6"/>
    <n v="2495.96"/>
    <n v="0.648294871794872"/>
    <n v="0"/>
    <d v="2025-04-04T00:00:00"/>
    <x v="5"/>
    <x v="0"/>
    <n v="835.4"/>
    <s v="NEGATIVE SALES"/>
    <n v="14975.76"/>
  </r>
  <r>
    <n v="1181"/>
    <s v="John"/>
    <s v="Barber"/>
    <s v="Bomber Jacket"/>
    <n v="0"/>
    <n v="2684.1828999999998"/>
    <n v="0.648294871794872"/>
    <n v="0"/>
    <d v="2025-03-16T00:00:00"/>
    <x v="2"/>
    <x v="2"/>
    <n v="2564.06"/>
    <s v="NEGATIVE SALES"/>
    <n v="0"/>
  </r>
  <r>
    <n v="1182"/>
    <s v="Andrew"/>
    <s v="Mclaughlin"/>
    <s v="Slim Fit Jeans"/>
    <n v="-1"/>
    <n v="2684.3388"/>
    <n v="0.648294871794872"/>
    <n v="0"/>
    <d v="2024-08-06T00:00:00"/>
    <x v="4"/>
    <x v="1"/>
    <n v="-747.25"/>
    <s v="NEGATIVE SALES"/>
    <n v="-2684.3388"/>
  </r>
  <r>
    <n v="1183"/>
    <s v="Sherry"/>
    <s v="Ward"/>
    <s v="Watches"/>
    <n v="6"/>
    <n v="2372.3000000000002"/>
    <n v="0.648294871794872"/>
    <n v="0"/>
    <d v="2024-03-27T00:00:00"/>
    <x v="0"/>
    <x v="1"/>
    <n v="1888.87"/>
    <s v="NEGATIVE SALES"/>
    <n v="14233.8"/>
  </r>
  <r>
    <n v="1184"/>
    <s v="Craig"/>
    <s v="Farrell"/>
    <s v="Ripped Denim"/>
    <n v="0"/>
    <n v="2697.1"/>
    <n v="0.648294871794872"/>
    <n v="0"/>
    <d v="2025-06-21T00:00:00"/>
    <x v="0"/>
    <x v="2"/>
    <n v="1518.99"/>
    <s v="NEGATIVE SALES"/>
    <n v="0"/>
  </r>
  <r>
    <n v="1185"/>
    <s v="Stacy"/>
    <s v="Brady"/>
    <s v="Belts"/>
    <n v="0"/>
    <n v="2684.5976000000001"/>
    <n v="0.648294871794872"/>
    <n v="0"/>
    <d v="2025-05-14T00:00:00"/>
    <x v="0"/>
    <x v="0"/>
    <n v="-445.19"/>
    <s v="NEGATIVE SALES"/>
    <n v="0"/>
  </r>
  <r>
    <n v="1186"/>
    <s v="Daniel"/>
    <s v="Patton"/>
    <s v="Boyfriend Jeans"/>
    <n v="6"/>
    <n v="2684.5871999999999"/>
    <n v="0.71"/>
    <n v="0"/>
    <d v="2025-06-12T00:00:00"/>
    <x v="3"/>
    <x v="2"/>
    <n v="-40.479999999999997"/>
    <s v="NEGATIVE SALES"/>
    <n v="16107.5232"/>
  </r>
  <r>
    <n v="1187"/>
    <s v="Karen"/>
    <s v="Smith"/>
    <s v="Belts"/>
    <n v="3"/>
    <n v="3810.89"/>
    <n v="0.64821566110397899"/>
    <n v="0"/>
    <d v="2025-06-12T00:00:00"/>
    <x v="2"/>
    <x v="0"/>
    <n v="1153.72"/>
    <s v="NEGATIVE SALES"/>
    <n v="11432.67"/>
  </r>
  <r>
    <n v="1188"/>
    <s v="Maria"/>
    <s v="Morrow"/>
    <s v="Belts"/>
    <n v="6"/>
    <n v="4910.28"/>
    <n v="0.12"/>
    <n v="25926.28"/>
    <d v="2024-08-27T00:00:00"/>
    <x v="3"/>
    <x v="1"/>
    <n v="2089.25"/>
    <s v="POSITIVE SALES"/>
    <n v="29461.68"/>
  </r>
  <r>
    <n v="1189"/>
    <s v="Elizabeth"/>
    <s v="Johnson"/>
    <s v="Oversized T-Shirt"/>
    <n v="0"/>
    <n v="4808.1000000000004"/>
    <n v="0.64889460154241596"/>
    <n v="0"/>
    <d v="2025-01-28T00:00:00"/>
    <x v="1"/>
    <x v="1"/>
    <n v="392.87"/>
    <s v="NEGATIVE SALES"/>
    <n v="0"/>
  </r>
  <r>
    <n v="1190"/>
    <s v="Antonio"/>
    <s v="Boyd"/>
    <s v="Puffer Coat"/>
    <n v="0"/>
    <n v="2681.8008"/>
    <n v="0.63"/>
    <n v="0"/>
    <d v="2025-05-27T00:00:00"/>
    <x v="4"/>
    <x v="2"/>
    <n v="75.040000000000006"/>
    <s v="NEGATIVE SALES"/>
    <n v="0"/>
  </r>
  <r>
    <n v="1191"/>
    <s v="John"/>
    <s v="Tucker"/>
    <s v="Belts"/>
    <n v="0"/>
    <n v="2469.87"/>
    <n v="0.56000000000000005"/>
    <n v="0"/>
    <d v="2025-05-27T00:00:00"/>
    <x v="2"/>
    <x v="0"/>
    <n v="2860.2"/>
    <s v="NEGATIVE SALES"/>
    <n v="0"/>
  </r>
  <r>
    <n v="1193"/>
    <s v="Christine"/>
    <s v="Lopez"/>
    <s v="Casual Midi"/>
    <n v="0"/>
    <n v="3031.06"/>
    <n v="0.64903350515463898"/>
    <n v="0"/>
    <d v="2024-08-08T00:00:00"/>
    <x v="4"/>
    <x v="2"/>
    <n v="-682.74"/>
    <s v="NEGATIVE SALES"/>
    <n v="0"/>
  </r>
  <r>
    <n v="1195"/>
    <s v="Christine"/>
    <s v="Rodgers"/>
    <s v="Wrap Dress"/>
    <n v="0"/>
    <n v="2679.9144999999999"/>
    <n v="1.2"/>
    <n v="0"/>
    <d v="2025-07-09T00:00:00"/>
    <x v="2"/>
    <x v="0"/>
    <n v="1059.17"/>
    <s v="NEGATIVE SALES"/>
    <n v="0"/>
  </r>
  <r>
    <n v="1196"/>
    <s v="Michael"/>
    <s v="Hawkins"/>
    <s v="Slim Fit Jeans"/>
    <n v="0"/>
    <n v="3959.06"/>
    <n v="0.37"/>
    <n v="0"/>
    <d v="2025-05-14T00:00:00"/>
    <x v="5"/>
    <x v="2"/>
    <n v="1539.5"/>
    <s v="NEGATIVE SALES"/>
    <n v="0"/>
  </r>
  <r>
    <n v="1197"/>
    <s v="Dean"/>
    <s v="Jimenez"/>
    <s v="Denim Jacket"/>
    <n v="1"/>
    <n v="2679.9144999999999"/>
    <n v="0.64868217054263599"/>
    <n v="0"/>
    <d v="2025-05-14T00:00:00"/>
    <x v="5"/>
    <x v="2"/>
    <n v="650.97"/>
    <s v="NEGATIVE SALES"/>
    <n v="2679.9144999999999"/>
  </r>
  <r>
    <n v="1198"/>
    <s v="Jacqueline"/>
    <s v="Erickson"/>
    <s v="Sunglasses"/>
    <n v="3"/>
    <n v="3594.97"/>
    <n v="0.64868217054263599"/>
    <n v="0"/>
    <d v="2025-04-17T00:00:00"/>
    <x v="0"/>
    <x v="0"/>
    <n v="2422.27"/>
    <s v="NEGATIVE SALES"/>
    <n v="10784.91"/>
  </r>
  <r>
    <n v="1199"/>
    <s v="Jade"/>
    <s v="Chavez"/>
    <s v="Boots"/>
    <n v="0"/>
    <n v="2317.1"/>
    <n v="0.64868217054263599"/>
    <n v="0"/>
    <d v="2025-02-02T00:00:00"/>
    <x v="3"/>
    <x v="1"/>
    <n v="2637.77"/>
    <s v="NEGATIVE SALES"/>
    <n v="0"/>
  </r>
  <r>
    <n v="1200"/>
    <s v="Laura"/>
    <s v="Green"/>
    <s v="Sneakers"/>
    <n v="4"/>
    <n v="2678.0828999999999"/>
    <n v="0.64868217054263599"/>
    <n v="0"/>
    <d v="2025-02-02T00:00:00"/>
    <x v="5"/>
    <x v="0"/>
    <n v="2782.21"/>
    <s v="NEGATIVE SALES"/>
    <n v="10712.3316"/>
  </r>
  <r>
    <n v="1201"/>
    <s v="Crystal"/>
    <s v="Hayes"/>
    <s v="Bomber Jacket"/>
    <n v="2"/>
    <n v="3507.85"/>
    <n v="0.64868217054263599"/>
    <n v="0"/>
    <d v="2025-01-10T00:00:00"/>
    <x v="4"/>
    <x v="2"/>
    <n v="1023.04"/>
    <s v="NEGATIVE SALES"/>
    <n v="7015.7"/>
  </r>
  <r>
    <n v="1202"/>
    <s v="Amy"/>
    <s v="Walker"/>
    <s v="Sunglasses"/>
    <n v="0"/>
    <n v="2678.3845000000001"/>
    <n v="0.64868217054263599"/>
    <n v="0"/>
    <d v="2025-03-23T00:00:00"/>
    <x v="3"/>
    <x v="0"/>
    <n v="-207.53"/>
    <s v="NEGATIVE SALES"/>
    <n v="0"/>
  </r>
  <r>
    <n v="1203"/>
    <s v="Amy"/>
    <s v="Gonzales"/>
    <s v="Crop Top"/>
    <n v="5"/>
    <n v="2677.6909999999998"/>
    <n v="0.64868217054263599"/>
    <n v="0"/>
    <d v="2025-01-14T00:00:00"/>
    <x v="5"/>
    <x v="0"/>
    <n v="657.59"/>
    <s v="NEGATIVE SALES"/>
    <n v="13388.455"/>
  </r>
  <r>
    <n v="1204"/>
    <s v="David"/>
    <s v="Parker"/>
    <s v="Slip-Ons"/>
    <n v="0"/>
    <n v="4213.3999999999996"/>
    <n v="0.64868217054263599"/>
    <n v="0"/>
    <d v="2024-11-12T00:00:00"/>
    <x v="4"/>
    <x v="2"/>
    <n v="1867.53"/>
    <s v="NEGATIVE SALES"/>
    <n v="0"/>
  </r>
  <r>
    <n v="1205"/>
    <s v="Jennifer"/>
    <s v="Williams"/>
    <s v="Slim Fit Jeans"/>
    <n v="0"/>
    <n v="696.49"/>
    <n v="0.64868217054263599"/>
    <n v="0"/>
    <d v="2025-06-11T00:00:00"/>
    <x v="0"/>
    <x v="0"/>
    <n v="-24.51"/>
    <s v="NEGATIVE SALES"/>
    <n v="0"/>
  </r>
  <r>
    <n v="1206"/>
    <s v="Charles"/>
    <s v="White"/>
    <s v="Classic Tee"/>
    <n v="0"/>
    <n v="2676.4059000000002"/>
    <n v="0.64868217054263599"/>
    <n v="0"/>
    <d v="2025-03-31T00:00:00"/>
    <x v="5"/>
    <x v="1"/>
    <n v="2472.2399999999998"/>
    <s v="NEGATIVE SALES"/>
    <n v="0"/>
  </r>
  <r>
    <n v="1207"/>
    <s v="Jerome"/>
    <s v="Richardson"/>
    <s v="Straight Cut"/>
    <n v="0"/>
    <n v="563.14"/>
    <n v="0.33"/>
    <n v="0"/>
    <d v="2024-05-21T00:00:00"/>
    <x v="1"/>
    <x v="2"/>
    <n v="945.7"/>
    <s v="NEGATIVE SALES"/>
    <n v="0"/>
  </r>
  <r>
    <n v="1208"/>
    <s v="Jean"/>
    <s v="Yoder"/>
    <s v="Denim Jacket"/>
    <n v="1"/>
    <n v="2678.0641000000001"/>
    <n v="0.64909443725743798"/>
    <n v="0"/>
    <d v="2025-01-10T00:00:00"/>
    <x v="2"/>
    <x v="1"/>
    <n v="648.73"/>
    <s v="NEGATIVE SALES"/>
    <n v="2678.0641000000001"/>
  </r>
  <r>
    <n v="1209"/>
    <s v="Theodore"/>
    <s v="Yang"/>
    <s v="Watches"/>
    <n v="0"/>
    <n v="4029.87"/>
    <n v="0.64909443725743798"/>
    <n v="0"/>
    <d v="2025-01-09T00:00:00"/>
    <x v="1"/>
    <x v="1"/>
    <n v="1447.79"/>
    <s v="NEGATIVE SALES"/>
    <n v="0"/>
  </r>
  <r>
    <n v="1210"/>
    <s v="Rebecca"/>
    <s v="Grant"/>
    <s v="Watches"/>
    <n v="4"/>
    <n v="2679.8368999999998"/>
    <n v="1.1599999999999999"/>
    <n v="0"/>
    <d v="2025-05-26T00:00:00"/>
    <x v="0"/>
    <x v="1"/>
    <n v="2179.54"/>
    <s v="NEGATIVE SALES"/>
    <n v="10719.347599999999"/>
  </r>
  <r>
    <n v="1211"/>
    <s v="Kelli"/>
    <s v="Young"/>
    <s v="Ripped Denim"/>
    <n v="0"/>
    <n v="1560.37"/>
    <n v="0.64843264248704602"/>
    <n v="0"/>
    <d v="2024-12-04T00:00:00"/>
    <x v="1"/>
    <x v="0"/>
    <n v="2783.91"/>
    <s v="NEGATIVE SALES"/>
    <n v="0"/>
  </r>
  <r>
    <n v="1212"/>
    <s v="Bradley"/>
    <s v="Quinn"/>
    <s v="Slip-Ons"/>
    <n v="-1"/>
    <n v="4098.12"/>
    <n v="0.64843264248704602"/>
    <n v="0"/>
    <d v="2024-10-17T00:00:00"/>
    <x v="5"/>
    <x v="1"/>
    <n v="-656.35"/>
    <s v="NEGATIVE SALES"/>
    <n v="-4098.12"/>
  </r>
  <r>
    <n v="1213"/>
    <s v="Darrell"/>
    <s v="Reynolds"/>
    <s v="Classic Tee"/>
    <n v="0"/>
    <n v="2679.6433000000002"/>
    <n v="0.64843264248704602"/>
    <n v="0"/>
    <d v="2025-01-27T00:00:00"/>
    <x v="1"/>
    <x v="1"/>
    <n v="1093.98"/>
    <s v="NEGATIVE SALES"/>
    <n v="0"/>
  </r>
  <r>
    <n v="1214"/>
    <s v="Alicia"/>
    <s v="Hernandez"/>
    <s v="Leather Jacket"/>
    <n v="4"/>
    <n v="1273.5999999999999"/>
    <n v="0.64843264248704602"/>
    <n v="0"/>
    <d v="2025-06-18T00:00:00"/>
    <x v="5"/>
    <x v="0"/>
    <n v="1851.89"/>
    <s v="NEGATIVE SALES"/>
    <n v="5094.3999999999996"/>
  </r>
  <r>
    <n v="1215"/>
    <s v="Melanie"/>
    <s v="Hoffman"/>
    <s v="Classic Tee"/>
    <n v="6"/>
    <n v="3802.27"/>
    <n v="0.64843264248704602"/>
    <n v="0"/>
    <d v="2025-06-18T00:00:00"/>
    <x v="1"/>
    <x v="0"/>
    <n v="-266.99"/>
    <s v="NEGATIVE SALES"/>
    <n v="22813.62"/>
  </r>
  <r>
    <n v="1216"/>
    <s v="Benjamin"/>
    <s v="Dunlap"/>
    <s v="Classic Tee"/>
    <n v="6"/>
    <n v="2679.6327999999999"/>
    <n v="1.17"/>
    <n v="0"/>
    <d v="2024-07-22T00:00:00"/>
    <x v="0"/>
    <x v="2"/>
    <n v="2986.8"/>
    <s v="NEGATIVE SALES"/>
    <n v="16077.7968"/>
  </r>
  <r>
    <n v="1217"/>
    <s v="Cheryl"/>
    <s v="King"/>
    <s v="Denim Jacket"/>
    <n v="3"/>
    <n v="2850.38"/>
    <n v="0.64775616083009102"/>
    <n v="0"/>
    <d v="2024-07-22T00:00:00"/>
    <x v="0"/>
    <x v="0"/>
    <n v="17.309999999999999"/>
    <s v="NEGATIVE SALES"/>
    <n v="8551.14"/>
  </r>
  <r>
    <n v="1218"/>
    <s v="Jamie"/>
    <s v="Alexander"/>
    <s v="Wrap Dress"/>
    <n v="3"/>
    <n v="1544.45"/>
    <n v="0.33"/>
    <n v="3104.34"/>
    <d v="2025-03-31T00:00:00"/>
    <x v="5"/>
    <x v="2"/>
    <n v="707.56"/>
    <s v="POSITIVE SALES"/>
    <n v="4633.3500000000004"/>
  </r>
  <r>
    <n v="1219"/>
    <s v="Kayla"/>
    <s v="Crawford"/>
    <s v="Straight Cut"/>
    <n v="0"/>
    <n v="2678.5432000000001"/>
    <n v="0.64816883116883095"/>
    <n v="0"/>
    <d v="2024-11-28T00:00:00"/>
    <x v="3"/>
    <x v="1"/>
    <n v="2206"/>
    <s v="NEGATIVE SALES"/>
    <n v="0"/>
  </r>
  <r>
    <n v="1220"/>
    <s v="Amber"/>
    <s v="Rivera"/>
    <s v="Oversized T-Shirt"/>
    <n v="0"/>
    <n v="2679.4994000000002"/>
    <n v="0.64816883116883095"/>
    <n v="0"/>
    <d v="2024-07-22T00:00:00"/>
    <x v="3"/>
    <x v="1"/>
    <n v="1598.22"/>
    <s v="NEGATIVE SALES"/>
    <n v="0"/>
  </r>
  <r>
    <n v="1221"/>
    <s v="Cody"/>
    <s v="Mitchell"/>
    <s v="Belts"/>
    <n v="3"/>
    <n v="2679.4994000000002"/>
    <n v="0.64816883116883095"/>
    <n v="0"/>
    <d v="2024-09-28T00:00:00"/>
    <x v="2"/>
    <x v="2"/>
    <n v="898.67"/>
    <s v="NEGATIVE SALES"/>
    <n v="8038.4982"/>
  </r>
  <r>
    <n v="1222"/>
    <s v="Karen"/>
    <s v="Pennington"/>
    <s v="Classic Tee"/>
    <n v="0"/>
    <n v="683.85"/>
    <n v="0.64816883116883095"/>
    <n v="0"/>
    <d v="2024-10-30T00:00:00"/>
    <x v="4"/>
    <x v="0"/>
    <n v="1489.45"/>
    <s v="NEGATIVE SALES"/>
    <n v="0"/>
  </r>
  <r>
    <n v="1223"/>
    <s v="Nicholas"/>
    <s v="Thompson"/>
    <s v="Crop Top"/>
    <n v="0"/>
    <n v="2679.4994000000002"/>
    <n v="0.64816883116883095"/>
    <n v="0"/>
    <d v="2024-10-30T00:00:00"/>
    <x v="5"/>
    <x v="2"/>
    <n v="-531.04999999999995"/>
    <s v="NEGATIVE SALES"/>
    <n v="0"/>
  </r>
  <r>
    <n v="1224"/>
    <s v="Shelby"/>
    <s v="Lewis"/>
    <s v="Wrap Dress"/>
    <n v="0"/>
    <n v="2681.1835000000001"/>
    <n v="0.64816883116883095"/>
    <n v="0"/>
    <d v="2025-03-21T00:00:00"/>
    <x v="1"/>
    <x v="0"/>
    <n v="2219.56"/>
    <s v="NEGATIVE SALES"/>
    <n v="0"/>
  </r>
  <r>
    <n v="1225"/>
    <s v="Gregory"/>
    <s v="Flores"/>
    <s v="Loafers"/>
    <n v="-1"/>
    <n v="1406.32"/>
    <n v="1.05"/>
    <n v="70.319999999999993"/>
    <d v="2025-07-13T00:00:00"/>
    <x v="3"/>
    <x v="1"/>
    <n v="1937.71"/>
    <s v="POSITIVE SALES"/>
    <n v="-1406.32"/>
  </r>
  <r>
    <n v="1226"/>
    <s v="Jeffrey"/>
    <s v="Haynes"/>
    <s v="Bodycon"/>
    <n v="1"/>
    <n v="2681.1835000000001"/>
    <n v="1.1499999999999999"/>
    <n v="0"/>
    <d v="2024-10-26T00:00:00"/>
    <x v="1"/>
    <x v="2"/>
    <n v="2806.56"/>
    <s v="NEGATIVE SALES"/>
    <n v="2681.1835000000001"/>
  </r>
  <r>
    <n v="1227"/>
    <s v="Antonio"/>
    <s v="Moses"/>
    <s v="Sunglasses"/>
    <n v="2"/>
    <n v="2682.2602999999999"/>
    <n v="0.25"/>
    <n v="0"/>
    <d v="2024-03-05T00:00:00"/>
    <x v="5"/>
    <x v="0"/>
    <n v="2096.6799999999998"/>
    <s v="NEGATIVE SALES"/>
    <n v="5364.5205999999998"/>
  </r>
  <r>
    <n v="1229"/>
    <s v="Allen"/>
    <s v="Burton"/>
    <s v="Bodycon"/>
    <n v="0"/>
    <n v="2682.2602999999999"/>
    <n v="0.64758485639686703"/>
    <n v="0"/>
    <d v="2025-03-27T00:00:00"/>
    <x v="0"/>
    <x v="1"/>
    <n v="925.22"/>
    <s v="NEGATIVE SALES"/>
    <n v="0"/>
  </r>
  <r>
    <n v="1230"/>
    <s v="Adam"/>
    <s v="Bennett"/>
    <s v="Watches"/>
    <n v="3"/>
    <n v="2682.5848999999998"/>
    <n v="1.2"/>
    <n v="0"/>
    <d v="2025-03-27T00:00:00"/>
    <x v="5"/>
    <x v="1"/>
    <n v="2725.11"/>
    <s v="NEGATIVE SALES"/>
    <n v="8047.7547000000004"/>
  </r>
  <r>
    <n v="1231"/>
    <s v="Ashley"/>
    <s v="Stevens"/>
    <s v="Slip-Ons"/>
    <n v="1"/>
    <n v="1744.73"/>
    <n v="0.64686274509803898"/>
    <n v="0"/>
    <d v="2025-03-27T00:00:00"/>
    <x v="4"/>
    <x v="2"/>
    <n v="1393.69"/>
    <s v="NEGATIVE SALES"/>
    <n v="1744.73"/>
  </r>
  <r>
    <n v="1232"/>
    <s v="Sierra"/>
    <s v="Miller"/>
    <s v="Sneakers"/>
    <n v="2"/>
    <n v="2526.77"/>
    <n v="0.64686274509803898"/>
    <n v="0"/>
    <d v="2023-09-14T00:00:00"/>
    <x v="2"/>
    <x v="0"/>
    <n v="1494.67"/>
    <s v="NEGATIVE SALES"/>
    <n v="5053.54"/>
  </r>
  <r>
    <n v="1233"/>
    <s v="Katie"/>
    <s v="Garcia"/>
    <s v="Puffer Coat"/>
    <n v="-1"/>
    <n v="2683.3782999999999"/>
    <n v="7.0000000000000007E-2"/>
    <n v="0"/>
    <d v="2025-04-25T00:00:00"/>
    <x v="3"/>
    <x v="1"/>
    <n v="2237.2399999999998"/>
    <s v="NEGATIVE SALES"/>
    <n v="-2683.3782999999999"/>
  </r>
  <r>
    <n v="1234"/>
    <s v="Timothy"/>
    <s v="Goodman"/>
    <s v="Straight Cut"/>
    <n v="0"/>
    <n v="1069.8800000000001"/>
    <n v="0.05"/>
    <n v="0"/>
    <d v="2025-06-24T00:00:00"/>
    <x v="4"/>
    <x v="2"/>
    <n v="110.58"/>
    <s v="NEGATIVE SALES"/>
    <n v="0"/>
  </r>
  <r>
    <n v="1235"/>
    <s v="Rebecca"/>
    <s v="Drake"/>
    <s v="Bomber Jacket"/>
    <n v="0"/>
    <n v="2683.5109000000002"/>
    <n v="0.64840104849279201"/>
    <n v="0"/>
    <d v="2025-06-24T00:00:00"/>
    <x v="5"/>
    <x v="2"/>
    <n v="-403.94"/>
    <s v="NEGATIVE SALES"/>
    <n v="0"/>
  </r>
  <r>
    <n v="1237"/>
    <s v="Matthew"/>
    <s v="Holloway"/>
    <s v="Classic Tee"/>
    <n v="0"/>
    <n v="2684.8784000000001"/>
    <n v="0.28999999999999998"/>
    <n v="0"/>
    <d v="2025-06-09T00:00:00"/>
    <x v="4"/>
    <x v="0"/>
    <n v="-465.98"/>
    <s v="NEGATIVE SALES"/>
    <n v="0"/>
  </r>
  <r>
    <n v="1238"/>
    <s v="Scott"/>
    <s v="Weeks"/>
    <s v="Slip-Ons"/>
    <n v="0"/>
    <n v="2683.0823"/>
    <n v="0.64817345597897502"/>
    <n v="0"/>
    <d v="2025-06-09T00:00:00"/>
    <x v="4"/>
    <x v="1"/>
    <n v="2742.61"/>
    <s v="NEGATIVE SALES"/>
    <n v="0"/>
  </r>
  <r>
    <n v="1239"/>
    <s v="Karina"/>
    <s v="Davis"/>
    <s v="Graphic Tee"/>
    <n v="4"/>
    <n v="644.58000000000004"/>
    <n v="0.64817345597897502"/>
    <n v="0"/>
    <d v="2024-10-20T00:00:00"/>
    <x v="0"/>
    <x v="2"/>
    <n v="1097.8800000000001"/>
    <s v="NEGATIVE SALES"/>
    <n v="2578.3200000000002"/>
  </r>
  <r>
    <n v="1240"/>
    <s v="Melanie"/>
    <s v="Ramirez"/>
    <s v="Casual Midi"/>
    <n v="0"/>
    <n v="4634.13"/>
    <n v="0.64817345597897502"/>
    <n v="0"/>
    <d v="2023-07-29T00:00:00"/>
    <x v="3"/>
    <x v="1"/>
    <n v="2625.44"/>
    <s v="NEGATIVE SALES"/>
    <n v="0"/>
  </r>
  <r>
    <n v="1241"/>
    <s v="Caroline"/>
    <s v="Thomas"/>
    <s v="Slim Fit Jeans"/>
    <n v="6"/>
    <n v="3111.95"/>
    <n v="0.64817345597897502"/>
    <n v="0"/>
    <d v="2024-06-22T00:00:00"/>
    <x v="3"/>
    <x v="1"/>
    <n v="2814.82"/>
    <s v="NEGATIVE SALES"/>
    <n v="18671.7"/>
  </r>
  <r>
    <n v="1242"/>
    <s v="Pamela"/>
    <s v="Navarro"/>
    <s v="Ripped Denim"/>
    <n v="-1"/>
    <n v="2683.1565999999998"/>
    <n v="0.64817345597897502"/>
    <n v="0"/>
    <d v="2025-02-18T00:00:00"/>
    <x v="4"/>
    <x v="2"/>
    <n v="1576.74"/>
    <s v="NEGATIVE SALES"/>
    <n v="-2683.1565999999998"/>
  </r>
  <r>
    <n v="1243"/>
    <s v="Jack"/>
    <s v="Mccoy"/>
    <s v="Caps"/>
    <n v="3"/>
    <n v="2682.7919999999999"/>
    <n v="0.69"/>
    <n v="0"/>
    <d v="2024-12-02T00:00:00"/>
    <x v="1"/>
    <x v="1"/>
    <n v="779.51"/>
    <s v="NEGATIVE SALES"/>
    <n v="8048.3760000000002"/>
  </r>
  <r>
    <n v="1244"/>
    <s v="Ashley"/>
    <s v="Walker"/>
    <s v="Maxi Dress"/>
    <n v="6"/>
    <n v="2682.7919999999999"/>
    <n v="0.64811842105263195"/>
    <n v="0"/>
    <d v="2024-06-29T00:00:00"/>
    <x v="1"/>
    <x v="0"/>
    <n v="2574.7600000000002"/>
    <s v="NEGATIVE SALES"/>
    <n v="16096.752"/>
  </r>
  <r>
    <n v="1245"/>
    <s v="Christopher"/>
    <s v="Mcknight"/>
    <s v="Classic Tee"/>
    <n v="0"/>
    <n v="1822.9"/>
    <n v="0.64811842105263195"/>
    <n v="0"/>
    <d v="2024-12-13T00:00:00"/>
    <x v="0"/>
    <x v="1"/>
    <n v="1076.3399999999999"/>
    <s v="NEGATIVE SALES"/>
    <n v="0"/>
  </r>
  <r>
    <n v="1246"/>
    <s v="Dr."/>
    <s v="Derrick"/>
    <s v="Maxi Dress"/>
    <n v="0"/>
    <n v="2682.7919999999999"/>
    <n v="0.03"/>
    <n v="0"/>
    <d v="2024-12-13T00:00:00"/>
    <x v="5"/>
    <x v="1"/>
    <n v="733.8"/>
    <s v="NEGATIVE SALES"/>
    <n v="0"/>
  </r>
  <r>
    <n v="1247"/>
    <s v="Jared"/>
    <s v="Tate"/>
    <s v="Crop Top"/>
    <n v="-1"/>
    <n v="2683.5237999999999"/>
    <n v="0.64893280632411099"/>
    <n v="0"/>
    <d v="2024-12-13T00:00:00"/>
    <x v="5"/>
    <x v="2"/>
    <n v="1605.97"/>
    <s v="NEGATIVE SALES"/>
    <n v="-2683.5237999999999"/>
  </r>
  <r>
    <n v="1248"/>
    <s v="Edward"/>
    <s v="Morgan"/>
    <s v="Watches"/>
    <n v="0"/>
    <n v="2683.5237999999999"/>
    <n v="1.24"/>
    <n v="0"/>
    <d v="2023-07-23T00:00:00"/>
    <x v="2"/>
    <x v="2"/>
    <n v="397.41"/>
    <s v="NEGATIVE SALES"/>
    <n v="0"/>
  </r>
  <r>
    <n v="1249"/>
    <s v="Tim"/>
    <s v="Bauer"/>
    <s v="Caps"/>
    <n v="0"/>
    <n v="2683.5237999999999"/>
    <n v="0.23"/>
    <n v="0"/>
    <d v="2024-09-10T00:00:00"/>
    <x v="4"/>
    <x v="1"/>
    <n v="809.89"/>
    <s v="NEGATIVE SALES"/>
    <n v="0"/>
  </r>
  <r>
    <n v="1250"/>
    <s v="Anthony"/>
    <s v="Lee"/>
    <s v="Slip-Ons"/>
    <n v="0"/>
    <n v="2683.5237999999999"/>
    <n v="0.64870541611624799"/>
    <n v="0"/>
    <d v="2024-09-10T00:00:00"/>
    <x v="0"/>
    <x v="2"/>
    <n v="1653.07"/>
    <s v="NEGATIVE SALES"/>
    <n v="0"/>
  </r>
  <r>
    <n v="1251"/>
    <s v="Hailey"/>
    <s v="Sullivan"/>
    <s v="Casual Midi"/>
    <n v="2"/>
    <n v="4841.3999999999996"/>
    <n v="0.6"/>
    <n v="3873.12"/>
    <d v="2025-02-04T00:00:00"/>
    <x v="4"/>
    <x v="1"/>
    <n v="578.37"/>
    <s v="POSITIVE SALES"/>
    <n v="9682.7999999999993"/>
  </r>
  <r>
    <n v="1252"/>
    <s v="Brandy"/>
    <s v="Clark"/>
    <s v="Classic Tee"/>
    <n v="6"/>
    <n v="1638.51"/>
    <n v="0.88"/>
    <n v="1179.73"/>
    <d v="2025-04-02T00:00:00"/>
    <x v="2"/>
    <x v="0"/>
    <n v="1484.7"/>
    <s v="POSITIVE SALES"/>
    <n v="9831.06"/>
  </r>
  <r>
    <n v="1253"/>
    <s v="Carlos"/>
    <s v="Anderson"/>
    <s v="Wrap Dress"/>
    <n v="0"/>
    <n v="2681.6858000000002"/>
    <n v="0.64846357615894001"/>
    <n v="0"/>
    <d v="2025-02-04T00:00:00"/>
    <x v="3"/>
    <x v="2"/>
    <n v="2512.63"/>
    <s v="NEGATIVE SALES"/>
    <n v="0"/>
  </r>
  <r>
    <n v="1254"/>
    <s v="Michael"/>
    <s v="Henson"/>
    <s v="Slip-Ons"/>
    <n v="6"/>
    <n v="2682.5751"/>
    <n v="0.64846357615894001"/>
    <n v="0"/>
    <d v="2025-02-14T00:00:00"/>
    <x v="2"/>
    <x v="2"/>
    <n v="2418.9899999999998"/>
    <s v="NEGATIVE SALES"/>
    <n v="16095.4506"/>
  </r>
  <r>
    <n v="1255"/>
    <s v="Kim"/>
    <s v="Campos"/>
    <s v="Classic Tee"/>
    <n v="4"/>
    <n v="1849.68"/>
    <n v="0.64846357615894001"/>
    <n v="0"/>
    <d v="2024-12-06T00:00:00"/>
    <x v="5"/>
    <x v="0"/>
    <n v="-706.09"/>
    <s v="NEGATIVE SALES"/>
    <n v="7398.72"/>
  </r>
  <r>
    <n v="1256"/>
    <s v="Janet"/>
    <s v="Cooley"/>
    <s v="Bomber Jacket"/>
    <n v="0"/>
    <n v="1801.38"/>
    <n v="0.64846357615894001"/>
    <n v="0"/>
    <d v="2024-11-18T00:00:00"/>
    <x v="3"/>
    <x v="0"/>
    <n v="2071.1"/>
    <s v="NEGATIVE SALES"/>
    <n v="0"/>
  </r>
  <r>
    <n v="1257"/>
    <s v="Mr."/>
    <s v="Matthew"/>
    <s v="Straight Cut"/>
    <n v="0"/>
    <n v="1228.78"/>
    <n v="0.64846357615894001"/>
    <n v="0"/>
    <d v="2024-11-18T00:00:00"/>
    <x v="1"/>
    <x v="0"/>
    <n v="-83.19"/>
    <s v="NEGATIVE SALES"/>
    <n v="0"/>
  </r>
  <r>
    <n v="1258"/>
    <s v="Shane"/>
    <s v="Gomez"/>
    <s v="Bodycon"/>
    <n v="-2"/>
    <n v="4313.38"/>
    <n v="0.64846357615894001"/>
    <n v="0"/>
    <d v="2025-03-12T00:00:00"/>
    <x v="0"/>
    <x v="0"/>
    <n v="2636.96"/>
    <s v="NEGATIVE SALES"/>
    <n v="-8626.76"/>
  </r>
  <r>
    <n v="1259"/>
    <s v="Tyler"/>
    <s v="Haney"/>
    <s v="Boots"/>
    <n v="-2"/>
    <n v="3396.92"/>
    <n v="0.64846357615894001"/>
    <n v="0"/>
    <d v="2025-05-05T00:00:00"/>
    <x v="1"/>
    <x v="1"/>
    <n v="-830.5"/>
    <s v="NEGATIVE SALES"/>
    <n v="-6793.84"/>
  </r>
  <r>
    <n v="1260"/>
    <s v="Lindsay"/>
    <s v="Haney"/>
    <s v="Maxi Dress"/>
    <n v="2"/>
    <n v="2683.89"/>
    <n v="0.64846357615894001"/>
    <n v="0"/>
    <d v="2025-03-25T00:00:00"/>
    <x v="0"/>
    <x v="2"/>
    <n v="-817.8"/>
    <s v="NEGATIVE SALES"/>
    <n v="5367.78"/>
  </r>
  <r>
    <n v="1262"/>
    <s v="George"/>
    <s v="Gray"/>
    <s v="Watches"/>
    <n v="2"/>
    <n v="2683.2795000000001"/>
    <n v="0.52"/>
    <n v="0"/>
    <d v="2024-11-02T00:00:00"/>
    <x v="3"/>
    <x v="2"/>
    <n v="786.25"/>
    <s v="NEGATIVE SALES"/>
    <n v="5366.5590000000002"/>
  </r>
  <r>
    <n v="1263"/>
    <s v="Ryan"/>
    <s v="Graves"/>
    <s v="Slip-Ons"/>
    <n v="0"/>
    <n v="2542.7199999999998"/>
    <n v="0.64863395225464204"/>
    <n v="0"/>
    <d v="2024-11-02T00:00:00"/>
    <x v="0"/>
    <x v="1"/>
    <n v="-136.41"/>
    <s v="NEGATIVE SALES"/>
    <n v="0"/>
  </r>
  <r>
    <n v="1264"/>
    <s v="Ernest"/>
    <s v="Myers"/>
    <s v="Graphic Tee"/>
    <n v="0"/>
    <n v="3382.08"/>
    <n v="0.64863395225464204"/>
    <n v="0"/>
    <d v="2024-10-27T00:00:00"/>
    <x v="0"/>
    <x v="1"/>
    <n v="1647.48"/>
    <s v="NEGATIVE SALES"/>
    <n v="0"/>
  </r>
  <r>
    <n v="1265"/>
    <s v="Brandi"/>
    <s v="Lang"/>
    <s v="Graphic Tee"/>
    <n v="0"/>
    <n v="721.41"/>
    <n v="1.1599999999999999"/>
    <n v="0"/>
    <d v="2025-03-24T00:00:00"/>
    <x v="5"/>
    <x v="0"/>
    <n v="1718.95"/>
    <s v="NEGATIVE SALES"/>
    <n v="0"/>
  </r>
  <r>
    <n v="1266"/>
    <s v="Gloria"/>
    <s v="Barnett"/>
    <s v="Slip-Ons"/>
    <n v="0"/>
    <n v="2681.5590999999999"/>
    <n v="1.1200000000000001"/>
    <n v="0"/>
    <d v="2023-10-25T00:00:00"/>
    <x v="0"/>
    <x v="0"/>
    <n v="1024.8599999999999"/>
    <s v="NEGATIVE SALES"/>
    <n v="0"/>
  </r>
  <r>
    <n v="1267"/>
    <s v="Sarah"/>
    <s v="Andrews"/>
    <s v="Bomber Jacket"/>
    <n v="3"/>
    <n v="3255.23"/>
    <n v="0.64732712765957501"/>
    <n v="0"/>
    <d v="2023-11-16T00:00:00"/>
    <x v="0"/>
    <x v="2"/>
    <n v="650.79999999999995"/>
    <s v="NEGATIVE SALES"/>
    <n v="9765.69"/>
  </r>
  <r>
    <n v="1268"/>
    <s v="Sonya"/>
    <s v="Martinez"/>
    <s v="Denim Jacket"/>
    <n v="1"/>
    <n v="2683.2429999999999"/>
    <n v="1.03"/>
    <n v="0"/>
    <d v="2023-11-16T00:00:00"/>
    <x v="4"/>
    <x v="1"/>
    <n v="2668.22"/>
    <s v="NEGATIVE SALES"/>
    <n v="2683.2429999999999"/>
  </r>
  <r>
    <n v="1269"/>
    <s v="Brittany"/>
    <s v="Harris"/>
    <s v="Graphic Tee"/>
    <n v="0"/>
    <n v="2682.7512000000002"/>
    <n v="0.64681757656458105"/>
    <n v="0"/>
    <d v="2023-11-16T00:00:00"/>
    <x v="2"/>
    <x v="1"/>
    <n v="483.01"/>
    <s v="NEGATIVE SALES"/>
    <n v="0"/>
  </r>
  <r>
    <n v="1270"/>
    <s v="Vanessa"/>
    <s v="Kelley"/>
    <s v="Graphic Tee"/>
    <n v="0"/>
    <n v="4446.82"/>
    <n v="0.64681757656458105"/>
    <n v="0"/>
    <d v="2025-06-29T00:00:00"/>
    <x v="5"/>
    <x v="2"/>
    <n v="-293.05"/>
    <s v="NEGATIVE SALES"/>
    <n v="0"/>
  </r>
  <r>
    <n v="1271"/>
    <s v="Robert"/>
    <s v="Gonzalez"/>
    <s v="Oversized T-Shirt"/>
    <n v="0"/>
    <n v="2682.7512000000002"/>
    <n v="0.64681757656458105"/>
    <n v="0"/>
    <d v="2024-05-13T00:00:00"/>
    <x v="3"/>
    <x v="2"/>
    <n v="1295.93"/>
    <s v="NEGATIVE SALES"/>
    <n v="0"/>
  </r>
  <r>
    <n v="1272"/>
    <s v="Angela"/>
    <s v="Taylor"/>
    <s v="Belts"/>
    <n v="0"/>
    <n v="1429.94"/>
    <n v="0.64681757656458105"/>
    <n v="0"/>
    <d v="2023-12-12T00:00:00"/>
    <x v="5"/>
    <x v="2"/>
    <n v="484.51"/>
    <s v="NEGATIVE SALES"/>
    <n v="0"/>
  </r>
  <r>
    <n v="1273"/>
    <s v="Bradley"/>
    <s v="Myers"/>
    <s v="Oversized T-Shirt"/>
    <n v="0"/>
    <n v="2681.2330999999999"/>
    <n v="0.64681757656458105"/>
    <n v="0"/>
    <d v="2025-01-02T00:00:00"/>
    <x v="5"/>
    <x v="0"/>
    <n v="-431.92"/>
    <s v="NEGATIVE SALES"/>
    <n v="0"/>
  </r>
  <r>
    <n v="1274"/>
    <s v="Russell"/>
    <s v="Love"/>
    <s v="Wrap Dress"/>
    <n v="0"/>
    <n v="2682.3108999999999"/>
    <n v="0.59"/>
    <n v="0"/>
    <d v="2025-01-02T00:00:00"/>
    <x v="1"/>
    <x v="2"/>
    <n v="62.98"/>
    <s v="NEGATIVE SALES"/>
    <n v="0"/>
  </r>
  <r>
    <n v="1275"/>
    <s v="Kelly"/>
    <s v="Wong"/>
    <s v="Casual Midi"/>
    <n v="3"/>
    <n v="4132"/>
    <n v="0.64689333333333399"/>
    <n v="0"/>
    <d v="2024-02-26T00:00:00"/>
    <x v="3"/>
    <x v="2"/>
    <n v="2732.47"/>
    <s v="NEGATIVE SALES"/>
    <n v="12396"/>
  </r>
  <r>
    <n v="1276"/>
    <s v="Erin"/>
    <s v="Wright"/>
    <s v="Boots"/>
    <n v="0"/>
    <n v="3243.45"/>
    <n v="0.61"/>
    <n v="0"/>
    <d v="2024-02-26T00:00:00"/>
    <x v="2"/>
    <x v="1"/>
    <n v="-869.12"/>
    <s v="NEGATIVE SALES"/>
    <n v="0"/>
  </r>
  <r>
    <n v="1277"/>
    <s v="Michael"/>
    <s v="Coleman"/>
    <s v="Sunglasses"/>
    <n v="2"/>
    <n v="4720.5200000000004"/>
    <n v="0.56999999999999995"/>
    <n v="4059.65"/>
    <d v="2024-09-05T00:00:00"/>
    <x v="0"/>
    <x v="0"/>
    <n v="1255.6600000000001"/>
    <s v="POSITIVE SALES"/>
    <n v="9441.0400000000009"/>
  </r>
  <r>
    <n v="1278"/>
    <s v="Jessica"/>
    <s v="Kirby"/>
    <s v="Sunglasses"/>
    <n v="0"/>
    <n v="3550.91"/>
    <n v="0.64704545454545503"/>
    <n v="0"/>
    <d v="2024-09-23T00:00:00"/>
    <x v="0"/>
    <x v="0"/>
    <n v="466.53"/>
    <s v="NEGATIVE SALES"/>
    <n v="0"/>
  </r>
  <r>
    <n v="1279"/>
    <s v="Laura"/>
    <s v="Romero"/>
    <s v="Boots"/>
    <n v="0"/>
    <n v="2600.33"/>
    <n v="0.64704545454545503"/>
    <n v="0"/>
    <d v="2024-08-21T00:00:00"/>
    <x v="1"/>
    <x v="0"/>
    <n v="1430.67"/>
    <s v="NEGATIVE SALES"/>
    <n v="0"/>
  </r>
  <r>
    <n v="1280"/>
    <s v="Joseph"/>
    <s v="Joseph"/>
    <s v="Crop Top"/>
    <n v="3"/>
    <n v="2678.0605"/>
    <n v="0.64704545454545503"/>
    <n v="0"/>
    <d v="2024-10-13T00:00:00"/>
    <x v="1"/>
    <x v="2"/>
    <n v="263.41000000000003"/>
    <s v="NEGATIVE SALES"/>
    <n v="8034.1814999999997"/>
  </r>
  <r>
    <n v="1282"/>
    <s v="Kevin"/>
    <s v="Hunter"/>
    <s v="Loafers"/>
    <n v="-1"/>
    <n v="2678.1278000000002"/>
    <n v="0.14000000000000001"/>
    <n v="0"/>
    <d v="2025-01-19T00:00:00"/>
    <x v="2"/>
    <x v="2"/>
    <n v="-909.75"/>
    <s v="NEGATIVE SALES"/>
    <n v="-2678.1278000000002"/>
  </r>
  <r>
    <n v="1283"/>
    <s v="Kelly"/>
    <s v="Gray"/>
    <s v="Slip-Ons"/>
    <n v="0"/>
    <n v="2679.9719"/>
    <n v="0.08"/>
    <n v="0"/>
    <d v="2025-01-19T00:00:00"/>
    <x v="5"/>
    <x v="2"/>
    <n v="379.24"/>
    <s v="NEGATIVE SALES"/>
    <n v="0"/>
  </r>
  <r>
    <n v="1284"/>
    <s v="Carlos"/>
    <s v="Walsh"/>
    <s v="Puffer Coat"/>
    <n v="0"/>
    <n v="1500.19"/>
    <n v="0.64848525469168905"/>
    <n v="0"/>
    <d v="2024-05-18T00:00:00"/>
    <x v="5"/>
    <x v="1"/>
    <n v="-348.48"/>
    <s v="NEGATIVE SALES"/>
    <n v="0"/>
  </r>
  <r>
    <n v="1285"/>
    <s v="Deborah"/>
    <s v="Mckee"/>
    <s v="Belts"/>
    <n v="5"/>
    <n v="2679.9719"/>
    <n v="0.64848525469168905"/>
    <n v="0"/>
    <d v="2024-05-18T00:00:00"/>
    <x v="0"/>
    <x v="1"/>
    <n v="2024.84"/>
    <s v="NEGATIVE SALES"/>
    <n v="13399.8595"/>
  </r>
  <r>
    <n v="1286"/>
    <s v="Andrew"/>
    <s v="Harmon"/>
    <s v="Graphic Tee"/>
    <n v="0"/>
    <n v="2972.45"/>
    <n v="0.64848525469168905"/>
    <n v="0"/>
    <d v="2024-12-25T00:00:00"/>
    <x v="2"/>
    <x v="0"/>
    <n v="2562.54"/>
    <s v="NEGATIVE SALES"/>
    <n v="0"/>
  </r>
  <r>
    <n v="1287"/>
    <s v="Todd"/>
    <s v="Hall"/>
    <s v="Slim Fit Jeans"/>
    <n v="0"/>
    <n v="2680.9942000000001"/>
    <n v="0.64848525469168905"/>
    <n v="0"/>
    <d v="2025-02-06T00:00:00"/>
    <x v="3"/>
    <x v="2"/>
    <n v="802.66"/>
    <s v="NEGATIVE SALES"/>
    <n v="0"/>
  </r>
  <r>
    <n v="1288"/>
    <s v="Danny"/>
    <s v="Gilbert"/>
    <s v="Slip-Ons"/>
    <n v="4"/>
    <n v="2680.7413999999999"/>
    <n v="0.64848525469168905"/>
    <n v="0"/>
    <d v="2025-02-06T00:00:00"/>
    <x v="0"/>
    <x v="2"/>
    <n v="-492.73"/>
    <s v="NEGATIVE SALES"/>
    <n v="10722.9656"/>
  </r>
  <r>
    <n v="1289"/>
    <s v="Lauren"/>
    <s v="Johnson"/>
    <s v="Denim Jacket"/>
    <n v="0"/>
    <n v="3590.85"/>
    <n v="0.64848525469168905"/>
    <n v="0"/>
    <d v="2025-02-06T00:00:00"/>
    <x v="2"/>
    <x v="0"/>
    <n v="2052.5700000000002"/>
    <s v="NEGATIVE SALES"/>
    <n v="0"/>
  </r>
  <r>
    <n v="1290"/>
    <s v="Katherine"/>
    <s v="Parsons"/>
    <s v="Slim Fit Jeans"/>
    <n v="0"/>
    <n v="1412.12"/>
    <n v="1.2"/>
    <n v="0"/>
    <d v="2025-02-06T00:00:00"/>
    <x v="0"/>
    <x v="2"/>
    <n v="430.92"/>
    <s v="NEGATIVE SALES"/>
    <n v="0"/>
  </r>
  <r>
    <n v="1291"/>
    <s v="Jason"/>
    <s v="Calhoun"/>
    <s v="Puffer Coat"/>
    <n v="0"/>
    <n v="2679.9513999999999"/>
    <n v="0.64774496644295299"/>
    <n v="0"/>
    <d v="2025-02-06T00:00:00"/>
    <x v="5"/>
    <x v="1"/>
    <n v="1073.44"/>
    <s v="NEGATIVE SALES"/>
    <n v="0"/>
  </r>
  <r>
    <n v="1292"/>
    <s v="Amy"/>
    <s v="Howard"/>
    <s v="Maxi Dress"/>
    <n v="3"/>
    <n v="2681.0529000000001"/>
    <n v="0.46"/>
    <n v="0"/>
    <d v="2025-02-06T00:00:00"/>
    <x v="2"/>
    <x v="1"/>
    <n v="1165.8599999999999"/>
    <s v="NEGATIVE SALES"/>
    <n v="8043.1587"/>
  </r>
  <r>
    <n v="1293"/>
    <s v="Cindy"/>
    <s v="Hall"/>
    <s v="Denim Jacket"/>
    <n v="0"/>
    <n v="2681.0529000000001"/>
    <n v="0.64799731182795695"/>
    <n v="0"/>
    <d v="2025-02-06T00:00:00"/>
    <x v="5"/>
    <x v="2"/>
    <n v="2073.16"/>
    <s v="NEGATIVE SALES"/>
    <n v="0"/>
  </r>
  <r>
    <n v="1294"/>
    <s v="Jeff"/>
    <s v="Hernandez"/>
    <s v="Watches"/>
    <n v="0"/>
    <n v="2681.0529000000001"/>
    <n v="0.56000000000000005"/>
    <n v="0"/>
    <d v="2025-02-06T00:00:00"/>
    <x v="0"/>
    <x v="2"/>
    <n v="898.24"/>
    <s v="NEGATIVE SALES"/>
    <n v="0"/>
  </r>
  <r>
    <n v="1295"/>
    <s v="Tiffany"/>
    <s v="Maxwell"/>
    <s v="Leather Jacket"/>
    <n v="-1"/>
    <n v="2681.0529000000001"/>
    <n v="0.64811574697173602"/>
    <n v="0"/>
    <d v="2024-07-26T00:00:00"/>
    <x v="3"/>
    <x v="0"/>
    <n v="2967.72"/>
    <s v="NEGATIVE SALES"/>
    <n v="-2681.0529000000001"/>
  </r>
  <r>
    <n v="1296"/>
    <s v="Lori"/>
    <s v="Orozco"/>
    <s v="Slim Fit Jeans"/>
    <n v="-2"/>
    <n v="2795.79"/>
    <n v="0.64811574697173602"/>
    <n v="0"/>
    <d v="2025-03-26T00:00:00"/>
    <x v="3"/>
    <x v="2"/>
    <n v="1438.47"/>
    <s v="NEGATIVE SALES"/>
    <n v="-5591.58"/>
  </r>
  <r>
    <n v="1297"/>
    <s v="Sharon"/>
    <s v="Combs"/>
    <s v="Puffer Coat"/>
    <n v="0"/>
    <n v="4524.2"/>
    <n v="0.64811574697173602"/>
    <n v="0"/>
    <d v="2024-08-02T00:00:00"/>
    <x v="0"/>
    <x v="0"/>
    <n v="1637.33"/>
    <s v="NEGATIVE SALES"/>
    <n v="0"/>
  </r>
  <r>
    <n v="1298"/>
    <s v="Dylan"/>
    <s v="Newton"/>
    <s v="Graphic Tee"/>
    <n v="0"/>
    <n v="2680.9531000000002"/>
    <n v="0.64811574697173602"/>
    <n v="0"/>
    <d v="2024-12-31T00:00:00"/>
    <x v="1"/>
    <x v="0"/>
    <n v="2490.23"/>
    <s v="NEGATIVE SALES"/>
    <n v="0"/>
  </r>
  <r>
    <n v="1299"/>
    <s v="John"/>
    <s v="Levine"/>
    <s v="Denim Jacket"/>
    <n v="1"/>
    <n v="1026.58"/>
    <n v="0.64811574697173602"/>
    <n v="0"/>
    <d v="2024-10-26T00:00:00"/>
    <x v="5"/>
    <x v="0"/>
    <n v="1178.3699999999999"/>
    <s v="NEGATIVE SALES"/>
    <n v="1026.58"/>
  </r>
  <r>
    <n v="1300"/>
    <s v="Latoya"/>
    <s v="Johnson"/>
    <s v="Slim Fit Jeans"/>
    <n v="0"/>
    <n v="4611.8999999999996"/>
    <n v="0.64811574697173602"/>
    <n v="0"/>
    <d v="2025-04-25T00:00:00"/>
    <x v="0"/>
    <x v="2"/>
    <n v="703.48"/>
    <s v="NEGATIVE SALES"/>
    <n v="0"/>
  </r>
  <r>
    <n v="1302"/>
    <s v="Adam"/>
    <s v="Bryan"/>
    <s v="Ripped Denim"/>
    <n v="5"/>
    <n v="2679.105"/>
    <n v="0.09"/>
    <n v="0"/>
    <d v="2025-02-14T00:00:00"/>
    <x v="1"/>
    <x v="0"/>
    <n v="339.17"/>
    <s v="NEGATIVE SALES"/>
    <n v="13395.525"/>
  </r>
  <r>
    <n v="1303"/>
    <s v="Laura"/>
    <s v="Smith"/>
    <s v="Straight Cut"/>
    <n v="3"/>
    <n v="1192.1600000000001"/>
    <n v="0.64819163292847504"/>
    <n v="0"/>
    <d v="2025-02-14T00:00:00"/>
    <x v="4"/>
    <x v="2"/>
    <n v="505.33"/>
    <s v="NEGATIVE SALES"/>
    <n v="3576.48"/>
  </r>
  <r>
    <n v="1305"/>
    <s v="Kelsey"/>
    <s v="Stein"/>
    <s v="Bomber Jacket"/>
    <n v="3"/>
    <n v="2680.4025000000001"/>
    <n v="0.64819163292847504"/>
    <n v="0"/>
    <d v="2023-08-19T00:00:00"/>
    <x v="0"/>
    <x v="1"/>
    <n v="2861.3"/>
    <s v="NEGATIVE SALES"/>
    <n v="8041.2075000000004"/>
  </r>
  <r>
    <n v="1306"/>
    <s v="Aaron"/>
    <s v="Johnson"/>
    <s v="Belts"/>
    <n v="4"/>
    <n v="2679.9326000000001"/>
    <n v="0.64819163292847504"/>
    <n v="0"/>
    <d v="2023-08-19T00:00:00"/>
    <x v="1"/>
    <x v="1"/>
    <n v="99.1"/>
    <s v="NEGATIVE SALES"/>
    <n v="10719.7304"/>
  </r>
  <r>
    <n v="1307"/>
    <s v="Amber"/>
    <s v="Lee"/>
    <s v="Maxi Dress"/>
    <n v="2"/>
    <n v="2648.43"/>
    <n v="0.64819163292847504"/>
    <n v="0"/>
    <d v="2024-08-08T00:00:00"/>
    <x v="1"/>
    <x v="2"/>
    <n v="642"/>
    <s v="NEGATIVE SALES"/>
    <n v="5296.86"/>
  </r>
  <r>
    <n v="1308"/>
    <s v="Michael"/>
    <s v="Joseph"/>
    <s v="Bodycon"/>
    <n v="2"/>
    <n v="4203.62"/>
    <n v="0.64819163292847504"/>
    <n v="0"/>
    <d v="2025-04-08T00:00:00"/>
    <x v="2"/>
    <x v="2"/>
    <n v="464.65"/>
    <s v="NEGATIVE SALES"/>
    <n v="8407.24"/>
  </r>
  <r>
    <n v="1309"/>
    <s v="Tina"/>
    <s v="Brown"/>
    <s v="Caps"/>
    <n v="0"/>
    <n v="2679.9602"/>
    <n v="0.64819163292847504"/>
    <n v="0"/>
    <d v="2025-03-03T00:00:00"/>
    <x v="4"/>
    <x v="2"/>
    <n v="481.45"/>
    <s v="NEGATIVE SALES"/>
    <n v="0"/>
  </r>
  <r>
    <n v="1310"/>
    <s v="Thomas"/>
    <s v="Smith"/>
    <s v="Maxi Dress"/>
    <n v="0"/>
    <n v="2678.6271000000002"/>
    <n v="0.64819163292847504"/>
    <n v="0"/>
    <d v="2025-03-04T00:00:00"/>
    <x v="4"/>
    <x v="2"/>
    <n v="1516.35"/>
    <s v="NEGATIVE SALES"/>
    <n v="0"/>
  </r>
  <r>
    <n v="1311"/>
    <s v="Jennifer"/>
    <s v="Watson"/>
    <s v="Bomber Jacket"/>
    <n v="3"/>
    <n v="2678.6271000000002"/>
    <n v="0.13"/>
    <n v="0"/>
    <d v="2023-12-12T00:00:00"/>
    <x v="2"/>
    <x v="2"/>
    <n v="-109.19"/>
    <s v="NEGATIVE SALES"/>
    <n v="8035.8813"/>
  </r>
  <r>
    <n v="1312"/>
    <s v="Wendy"/>
    <s v="Garcia"/>
    <s v="Sunglasses"/>
    <n v="0"/>
    <n v="2678.6271000000002"/>
    <n v="0.648891891891892"/>
    <n v="0"/>
    <d v="2025-05-29T00:00:00"/>
    <x v="4"/>
    <x v="2"/>
    <n v="-646.16"/>
    <s v="NEGATIVE SALES"/>
    <n v="0"/>
  </r>
  <r>
    <n v="1313"/>
    <s v="Sean"/>
    <s v="Pope"/>
    <s v="Watches"/>
    <n v="0"/>
    <n v="4763.45"/>
    <n v="0.96"/>
    <n v="0"/>
    <d v="2023-12-24T00:00:00"/>
    <x v="4"/>
    <x v="0"/>
    <n v="-581.35"/>
    <s v="NEGATIVE SALES"/>
    <n v="0"/>
  </r>
  <r>
    <n v="1314"/>
    <s v="Brad"/>
    <s v="Mccarty"/>
    <s v="Slip-Ons"/>
    <n v="-1"/>
    <n v="2678.6271000000002"/>
    <n v="0.64847090663058204"/>
    <n v="0"/>
    <d v="2024-11-30T00:00:00"/>
    <x v="5"/>
    <x v="0"/>
    <n v="1148.06"/>
    <s v="NEGATIVE SALES"/>
    <n v="-2678.6271000000002"/>
  </r>
  <r>
    <n v="1315"/>
    <s v="Mark"/>
    <s v="Gonzales"/>
    <s v="Boyfriend Jeans"/>
    <n v="-2"/>
    <n v="515.04"/>
    <n v="0.64847090663058204"/>
    <n v="0"/>
    <d v="2024-06-30T00:00:00"/>
    <x v="3"/>
    <x v="1"/>
    <n v="-279.01"/>
    <s v="NEGATIVE SALES"/>
    <n v="-1030.08"/>
  </r>
  <r>
    <n v="1316"/>
    <s v="Theresa"/>
    <s v="Wiggins"/>
    <s v="Crop Top"/>
    <n v="0"/>
    <n v="1345.98"/>
    <n v="0.64847090663058204"/>
    <n v="0"/>
    <d v="2025-04-22T00:00:00"/>
    <x v="4"/>
    <x v="1"/>
    <n v="-177.6"/>
    <s v="NEGATIVE SALES"/>
    <n v="0"/>
  </r>
  <r>
    <n v="1317"/>
    <s v="Mitchell"/>
    <s v="Gomez"/>
    <s v="Watches"/>
    <n v="0"/>
    <n v="2678.6961999999999"/>
    <n v="0.64847090663058204"/>
    <n v="0"/>
    <d v="2024-08-04T00:00:00"/>
    <x v="2"/>
    <x v="2"/>
    <n v="-476.45"/>
    <s v="NEGATIVE SALES"/>
    <n v="0"/>
  </r>
  <r>
    <n v="1318"/>
    <s v="Tony"/>
    <s v="Reynolds"/>
    <s v="Belts"/>
    <n v="3"/>
    <n v="2679.8652000000002"/>
    <n v="0.64847090663058204"/>
    <n v="0"/>
    <d v="2024-08-04T00:00:00"/>
    <x v="4"/>
    <x v="0"/>
    <n v="1830.14"/>
    <s v="NEGATIVE SALES"/>
    <n v="8039.5955999999996"/>
  </r>
  <r>
    <n v="1319"/>
    <s v="Kristine"/>
    <s v="Byrd"/>
    <s v="Bodycon"/>
    <n v="0"/>
    <n v="2679.8652000000002"/>
    <n v="0.64847090663058204"/>
    <n v="0"/>
    <d v="2024-03-07T00:00:00"/>
    <x v="1"/>
    <x v="1"/>
    <n v="-66.17"/>
    <s v="NEGATIVE SALES"/>
    <n v="0"/>
  </r>
  <r>
    <n v="1320"/>
    <s v="Mark"/>
    <s v="Murray"/>
    <s v="Belts"/>
    <n v="4"/>
    <n v="2679.8652000000002"/>
    <n v="0.64847090663058204"/>
    <n v="0"/>
    <d v="2024-03-07T00:00:00"/>
    <x v="0"/>
    <x v="2"/>
    <n v="2011.4"/>
    <s v="NEGATIVE SALES"/>
    <n v="10719.460800000001"/>
  </r>
  <r>
    <n v="1321"/>
    <s v="Michael"/>
    <s v="Velazquez"/>
    <s v="Leather Jacket"/>
    <n v="3"/>
    <n v="2679.8652000000002"/>
    <n v="1.02"/>
    <n v="0"/>
    <d v="2024-09-26T00:00:00"/>
    <x v="0"/>
    <x v="1"/>
    <n v="632.23"/>
    <s v="NEGATIVE SALES"/>
    <n v="8039.5955999999996"/>
  </r>
  <r>
    <n v="1322"/>
    <s v="Lori"/>
    <s v="Benson"/>
    <s v="Classic Tee"/>
    <n v="0"/>
    <n v="2387.61"/>
    <n v="0.64796747967479695"/>
    <n v="0"/>
    <d v="2024-12-02T00:00:00"/>
    <x v="0"/>
    <x v="0"/>
    <n v="822.46"/>
    <s v="NEGATIVE SALES"/>
    <n v="0"/>
  </r>
  <r>
    <n v="1323"/>
    <s v="Kimberly"/>
    <s v="Flores"/>
    <s v="Puffer Coat"/>
    <n v="0"/>
    <n v="2679.8652000000002"/>
    <n v="1.1200000000000001"/>
    <n v="0"/>
    <d v="2024-04-30T00:00:00"/>
    <x v="4"/>
    <x v="1"/>
    <n v="-96.6"/>
    <s v="NEGATIVE SALES"/>
    <n v="0"/>
  </r>
  <r>
    <n v="1324"/>
    <s v="Mike"/>
    <s v="Rhodes"/>
    <s v="Bomber Jacket"/>
    <n v="0"/>
    <n v="2680.1217999999999"/>
    <n v="0.64732700135685195"/>
    <n v="0"/>
    <d v="2024-12-12T00:00:00"/>
    <x v="2"/>
    <x v="0"/>
    <n v="-610.52"/>
    <s v="NEGATIVE SALES"/>
    <n v="0"/>
  </r>
  <r>
    <n v="1325"/>
    <s v="Teresa"/>
    <s v="Gilbert"/>
    <s v="Ripped Denim"/>
    <n v="0"/>
    <n v="1315.93"/>
    <n v="0.64732700135685195"/>
    <n v="0"/>
    <d v="2025-07-06T00:00:00"/>
    <x v="3"/>
    <x v="1"/>
    <n v="1435.03"/>
    <s v="NEGATIVE SALES"/>
    <n v="0"/>
  </r>
  <r>
    <n v="1326"/>
    <s v="Theodore"/>
    <s v="Sanchez"/>
    <s v="Casual Midi"/>
    <n v="0"/>
    <n v="4104.3599999999997"/>
    <n v="1.1100000000000001"/>
    <n v="0"/>
    <d v="2024-12-22T00:00:00"/>
    <x v="2"/>
    <x v="1"/>
    <n v="1404.45"/>
    <s v="NEGATIVE SALES"/>
    <n v="0"/>
  </r>
  <r>
    <n v="1327"/>
    <s v="Sarah"/>
    <s v="Sosa"/>
    <s v="Slip-Ons"/>
    <n v="0"/>
    <n v="2964.44"/>
    <n v="0.64669836956521698"/>
    <n v="0"/>
    <d v="2023-08-06T00:00:00"/>
    <x v="2"/>
    <x v="1"/>
    <n v="2021.54"/>
    <s v="NEGATIVE SALES"/>
    <n v="0"/>
  </r>
  <r>
    <n v="1328"/>
    <s v="Christine"/>
    <s v="Drake"/>
    <s v="Boots"/>
    <n v="4"/>
    <n v="3250.24"/>
    <n v="0.56000000000000005"/>
    <n v="5720.42"/>
    <d v="2025-05-27T00:00:00"/>
    <x v="4"/>
    <x v="2"/>
    <n v="2269.54"/>
    <s v="POSITIVE SALES"/>
    <n v="13000.96"/>
  </r>
  <r>
    <n v="1329"/>
    <s v="Eric"/>
    <s v="Medina"/>
    <s v="Graphic Tee"/>
    <n v="1"/>
    <n v="2587.7800000000002"/>
    <n v="0.64681632653061205"/>
    <n v="0"/>
    <d v="2023-12-25T00:00:00"/>
    <x v="5"/>
    <x v="0"/>
    <n v="1667.02"/>
    <s v="NEGATIVE SALES"/>
    <n v="2587.7800000000002"/>
  </r>
  <r>
    <n v="1330"/>
    <s v="Joseph"/>
    <s v="Sims"/>
    <s v="Maxi Dress"/>
    <n v="-2"/>
    <n v="2679.3161"/>
    <n v="0.64681632653061205"/>
    <n v="0"/>
    <d v="2024-12-30T00:00:00"/>
    <x v="1"/>
    <x v="0"/>
    <n v="-587.38"/>
    <s v="NEGATIVE SALES"/>
    <n v="-5358.6322"/>
  </r>
  <r>
    <n v="1331"/>
    <s v="Gwendolyn"/>
    <s v="Guerrero"/>
    <s v="Belts"/>
    <n v="6"/>
    <n v="2679.3968"/>
    <n v="0.64681632653061205"/>
    <n v="0"/>
    <d v="2025-01-25T00:00:00"/>
    <x v="3"/>
    <x v="1"/>
    <n v="1301.18"/>
    <s v="NEGATIVE SALES"/>
    <n v="16076.380800000001"/>
  </r>
  <r>
    <n v="1332"/>
    <s v="Chelsea"/>
    <s v="Brown"/>
    <s v="Graphic Tee"/>
    <n v="0"/>
    <n v="2679.3968"/>
    <n v="0"/>
    <n v="0"/>
    <d v="2025-05-11T00:00:00"/>
    <x v="2"/>
    <x v="0"/>
    <n v="2301.09"/>
    <s v="NEGATIVE SALES"/>
    <n v="0"/>
  </r>
  <r>
    <n v="1334"/>
    <s v="Russell"/>
    <s v="Douglas"/>
    <s v="Maxi Dress"/>
    <n v="6"/>
    <n v="1454.69"/>
    <n v="0.64769754768392396"/>
    <n v="0"/>
    <d v="2025-06-06T00:00:00"/>
    <x v="0"/>
    <x v="1"/>
    <n v="652.87"/>
    <s v="NEGATIVE SALES"/>
    <n v="8728.14"/>
  </r>
  <r>
    <n v="1335"/>
    <s v="Kristen"/>
    <s v="Drake"/>
    <s v="Slip-Ons"/>
    <n v="5"/>
    <n v="2679.3968"/>
    <n v="0.64769754768392396"/>
    <n v="0"/>
    <d v="2025-04-25T00:00:00"/>
    <x v="5"/>
    <x v="0"/>
    <n v="-815.88"/>
    <s v="NEGATIVE SALES"/>
    <n v="13396.984"/>
  </r>
  <r>
    <n v="1336"/>
    <s v="Katie"/>
    <s v="Brown"/>
    <s v="Denim Jacket"/>
    <n v="0"/>
    <n v="2680.4778000000001"/>
    <n v="0.64769754768392396"/>
    <n v="0"/>
    <d v="2025-04-25T00:00:00"/>
    <x v="0"/>
    <x v="2"/>
    <n v="2000.91"/>
    <s v="NEGATIVE SALES"/>
    <n v="0"/>
  </r>
  <r>
    <n v="1337"/>
    <s v="Michelle"/>
    <s v="Russell"/>
    <s v="Denim Jacket"/>
    <n v="6"/>
    <n v="2286.6799999999998"/>
    <n v="1.27"/>
    <n v="-3704.42"/>
    <d v="2024-10-30T00:00:00"/>
    <x v="5"/>
    <x v="0"/>
    <n v="716.16"/>
    <s v="NEGATIVE SALES"/>
    <n v="13720.08"/>
  </r>
  <r>
    <n v="1338"/>
    <s v="Charles"/>
    <s v="Aguilar"/>
    <s v="Graphic Tee"/>
    <n v="0"/>
    <n v="2680.4778000000001"/>
    <n v="0.64684856753069597"/>
    <n v="0"/>
    <d v="2024-11-21T00:00:00"/>
    <x v="1"/>
    <x v="2"/>
    <n v="415.06"/>
    <s v="NEGATIVE SALES"/>
    <n v="0"/>
  </r>
  <r>
    <n v="1339"/>
    <s v="Emily"/>
    <s v="Christensen"/>
    <s v="Maxi Dress"/>
    <n v="0"/>
    <n v="4507.5"/>
    <n v="0.64684856753069597"/>
    <n v="0"/>
    <d v="2025-07-01T00:00:00"/>
    <x v="3"/>
    <x v="1"/>
    <n v="2552.65"/>
    <s v="NEGATIVE SALES"/>
    <n v="0"/>
  </r>
  <r>
    <n v="1340"/>
    <s v="Annette"/>
    <s v="Robinson"/>
    <s v="Straight Cut"/>
    <n v="0"/>
    <n v="2680.8256000000001"/>
    <n v="0.06"/>
    <n v="0"/>
    <d v="2025-06-18T00:00:00"/>
    <x v="2"/>
    <x v="1"/>
    <n v="1282.27"/>
    <s v="NEGATIVE SALES"/>
    <n v="0"/>
  </r>
  <r>
    <n v="1341"/>
    <s v="William"/>
    <s v="White"/>
    <s v="Slip-Ons"/>
    <n v="-1"/>
    <n v="3074.06"/>
    <n v="1.24"/>
    <n v="737.77"/>
    <d v="2025-04-24T00:00:00"/>
    <x v="1"/>
    <x v="1"/>
    <n v="2634.42"/>
    <s v="POSITIVE SALES"/>
    <n v="-3074.06"/>
  </r>
  <r>
    <n v="1342"/>
    <s v="Chloe"/>
    <s v="Martinez"/>
    <s v="Wrap Dress"/>
    <n v="-1"/>
    <n v="4707.2"/>
    <n v="0.64683994528043798"/>
    <n v="0"/>
    <d v="2025-04-24T00:00:00"/>
    <x v="4"/>
    <x v="2"/>
    <n v="1395.82"/>
    <s v="NEGATIVE SALES"/>
    <n v="-4707.2"/>
  </r>
  <r>
    <n v="1343"/>
    <s v="Catherine"/>
    <s v="Barnett"/>
    <s v="Ripped Denim"/>
    <n v="0"/>
    <n v="4012.48"/>
    <n v="0.64683994528043798"/>
    <n v="0"/>
    <d v="2025-07-21T00:00:00"/>
    <x v="2"/>
    <x v="0"/>
    <n v="730.98"/>
    <s v="NEGATIVE SALES"/>
    <n v="0"/>
  </r>
  <r>
    <n v="1344"/>
    <s v="Jason"/>
    <s v="Dixon"/>
    <s v="Straight Cut"/>
    <n v="4"/>
    <n v="3386.91"/>
    <n v="0.64683994528043798"/>
    <n v="0"/>
    <d v="2025-07-21T00:00:00"/>
    <x v="2"/>
    <x v="0"/>
    <n v="2006.17"/>
    <s v="NEGATIVE SALES"/>
    <n v="13547.64"/>
  </r>
  <r>
    <n v="1346"/>
    <s v="Leah"/>
    <s v="Gonzalez"/>
    <s v="Slip-Ons"/>
    <n v="-2"/>
    <n v="1622.65"/>
    <n v="0.64747945205479496"/>
    <n v="0"/>
    <d v="2025-07-21T00:00:00"/>
    <x v="2"/>
    <x v="0"/>
    <n v="-891.76"/>
    <s v="NEGATIVE SALES"/>
    <n v="-3245.3"/>
  </r>
  <r>
    <n v="1348"/>
    <s v="Justin"/>
    <s v="Bowen"/>
    <s v="Classic Tee"/>
    <n v="2"/>
    <n v="1219.2"/>
    <n v="1.17"/>
    <n v="-414.53"/>
    <d v="2024-11-08T00:00:00"/>
    <x v="5"/>
    <x v="2"/>
    <n v="2694.39"/>
    <s v="NEGATIVE SALES"/>
    <n v="2438.4"/>
  </r>
  <r>
    <n v="1349"/>
    <s v="Lisa"/>
    <s v="Henry"/>
    <s v="Leather Jacket"/>
    <n v="-2"/>
    <n v="2676.5826000000002"/>
    <n v="0.82"/>
    <n v="0"/>
    <d v="2025-02-17T00:00:00"/>
    <x v="4"/>
    <x v="2"/>
    <n v="2085.75"/>
    <s v="NEGATIVE SALES"/>
    <n v="-5353.1652000000004"/>
  </r>
  <r>
    <n v="1351"/>
    <s v="Brian"/>
    <s v="Edwards"/>
    <s v="Slip-Ons"/>
    <n v="0"/>
    <n v="2677.8791999999999"/>
    <n v="0.64576341127922998"/>
    <n v="0"/>
    <d v="2024-09-11T00:00:00"/>
    <x v="5"/>
    <x v="0"/>
    <n v="2621.66"/>
    <s v="NEGATIVE SALES"/>
    <n v="0"/>
  </r>
  <r>
    <n v="1354"/>
    <s v="Mr."/>
    <s v="George"/>
    <s v="Straight Cut"/>
    <n v="1"/>
    <n v="2677.0275999999999"/>
    <n v="0.64549586776859502"/>
    <n v="0"/>
    <d v="2025-05-12T00:00:00"/>
    <x v="1"/>
    <x v="1"/>
    <n v="-678.38"/>
    <s v="NEGATIVE SALES"/>
    <n v="2677.0275999999999"/>
  </r>
  <r>
    <n v="1355"/>
    <s v="Ryan"/>
    <s v="James"/>
    <s v="Bodycon"/>
    <n v="1"/>
    <n v="1054.69"/>
    <n v="0.18"/>
    <n v="864.85"/>
    <d v="2024-10-20T00:00:00"/>
    <x v="2"/>
    <x v="2"/>
    <n v="698.05"/>
    <s v="POSITIVE SALES"/>
    <n v="1054.69"/>
  </r>
  <r>
    <n v="1356"/>
    <s v="Veronica"/>
    <s v="Cordova"/>
    <s v="Denim Jacket"/>
    <n v="0"/>
    <n v="2418.5500000000002"/>
    <n v="0.88"/>
    <n v="0"/>
    <d v="2025-04-11T00:00:00"/>
    <x v="1"/>
    <x v="0"/>
    <n v="428.96"/>
    <s v="NEGATIVE SALES"/>
    <n v="0"/>
  </r>
  <r>
    <n v="1357"/>
    <s v="Jacob"/>
    <s v="Brooks"/>
    <s v="Puffer Coat"/>
    <n v="0"/>
    <n v="1128.57"/>
    <n v="0.39"/>
    <n v="0"/>
    <d v="2025-01-21T00:00:00"/>
    <x v="5"/>
    <x v="1"/>
    <n v="684.88"/>
    <s v="NEGATIVE SALES"/>
    <n v="0"/>
  </r>
  <r>
    <n v="1358"/>
    <s v="Matthew"/>
    <s v="Brown"/>
    <s v="Sunglasses"/>
    <n v="0"/>
    <n v="2678.7069000000001"/>
    <n v="1.23"/>
    <n v="0"/>
    <d v="2025-02-16T00:00:00"/>
    <x v="3"/>
    <x v="0"/>
    <n v="1347.26"/>
    <s v="NEGATIVE SALES"/>
    <n v="0"/>
  </r>
  <r>
    <n v="1359"/>
    <s v="Robert"/>
    <s v="Harmon"/>
    <s v="Crop Top"/>
    <n v="0"/>
    <n v="4625.84"/>
    <n v="0.64536011080332401"/>
    <n v="0"/>
    <d v="2025-02-16T00:00:00"/>
    <x v="2"/>
    <x v="1"/>
    <n v="1663.88"/>
    <s v="NEGATIVE SALES"/>
    <n v="0"/>
  </r>
  <r>
    <n v="1360"/>
    <s v="Rebecca"/>
    <s v="Gonzalez"/>
    <s v="Boyfriend Jeans"/>
    <n v="0"/>
    <n v="2680.0922"/>
    <n v="1.1299999999999999"/>
    <n v="0"/>
    <d v="2025-02-04T00:00:00"/>
    <x v="0"/>
    <x v="1"/>
    <n v="1316.73"/>
    <s v="NEGATIVE SALES"/>
    <n v="0"/>
  </r>
  <r>
    <n v="1361"/>
    <s v="Hannah"/>
    <s v="Ball"/>
    <s v="Classic Tee"/>
    <n v="0"/>
    <n v="2678.3517999999999"/>
    <n v="0.644687933425797"/>
    <n v="0"/>
    <d v="2025-01-03T00:00:00"/>
    <x v="2"/>
    <x v="0"/>
    <n v="528.79999999999995"/>
    <s v="NEGATIVE SALES"/>
    <n v="0"/>
  </r>
  <r>
    <n v="1362"/>
    <s v="Krista"/>
    <s v="Wright"/>
    <s v="Classic Tee"/>
    <n v="-1"/>
    <n v="4953.0200000000004"/>
    <n v="0.644687933425797"/>
    <n v="0"/>
    <d v="2024-12-07T00:00:00"/>
    <x v="1"/>
    <x v="0"/>
    <n v="-499.33"/>
    <s v="NEGATIVE SALES"/>
    <n v="-4953.0200000000004"/>
  </r>
  <r>
    <n v="1363"/>
    <s v="Marcus"/>
    <s v="Powell"/>
    <s v="Bodycon"/>
    <n v="6"/>
    <n v="2678.3517999999999"/>
    <n v="0.644687933425797"/>
    <n v="0"/>
    <d v="2024-12-07T00:00:00"/>
    <x v="2"/>
    <x v="2"/>
    <n v="2143.4"/>
    <s v="NEGATIVE SALES"/>
    <n v="16070.1108"/>
  </r>
  <r>
    <n v="1364"/>
    <s v="Leah"/>
    <s v="Madden"/>
    <s v="Classic Tee"/>
    <n v="0"/>
    <n v="2676.3154"/>
    <n v="0.01"/>
    <n v="0"/>
    <d v="2024-12-07T00:00:00"/>
    <x v="1"/>
    <x v="0"/>
    <n v="1839.35"/>
    <s v="NEGATIVE SALES"/>
    <n v="0"/>
  </r>
  <r>
    <n v="1365"/>
    <s v="Shawn"/>
    <s v="Gardner"/>
    <s v="Maxi Dress"/>
    <n v="1"/>
    <n v="776.52"/>
    <n v="0.64556944444444397"/>
    <n v="0"/>
    <d v="2024-12-07T00:00:00"/>
    <x v="0"/>
    <x v="0"/>
    <n v="2757.77"/>
    <s v="NEGATIVE SALES"/>
    <n v="776.52"/>
  </r>
  <r>
    <n v="1366"/>
    <s v="Karen"/>
    <s v="Nunez"/>
    <s v="Bodycon"/>
    <n v="0"/>
    <n v="1927.12"/>
    <n v="0.44"/>
    <n v="0"/>
    <d v="2024-08-13T00:00:00"/>
    <x v="3"/>
    <x v="0"/>
    <n v="928.57"/>
    <s v="NEGATIVE SALES"/>
    <n v="0"/>
  </r>
  <r>
    <n v="1367"/>
    <s v="Laura"/>
    <s v="Johnson"/>
    <s v="Caps"/>
    <n v="0"/>
    <n v="573.79999999999995"/>
    <n v="0.64585535465924904"/>
    <n v="0"/>
    <d v="2025-01-23T00:00:00"/>
    <x v="1"/>
    <x v="2"/>
    <n v="2546.35"/>
    <s v="NEGATIVE SALES"/>
    <n v="0"/>
  </r>
  <r>
    <n v="1368"/>
    <s v="Lauren"/>
    <s v="Kaufman"/>
    <s v="Classic Tee"/>
    <n v="4"/>
    <n v="4032.95"/>
    <n v="0.64585535465924904"/>
    <n v="0"/>
    <d v="2025-01-23T00:00:00"/>
    <x v="1"/>
    <x v="0"/>
    <n v="-20.09"/>
    <s v="NEGATIVE SALES"/>
    <n v="16131.8"/>
  </r>
  <r>
    <n v="1369"/>
    <s v="Patricia"/>
    <s v="Pratt"/>
    <s v="Caps"/>
    <n v="0"/>
    <n v="2680.5805999999998"/>
    <n v="1.1000000000000001"/>
    <n v="0"/>
    <d v="2025-06-10T00:00:00"/>
    <x v="5"/>
    <x v="1"/>
    <n v="-844.78"/>
    <s v="NEGATIVE SALES"/>
    <n v="0"/>
  </r>
  <r>
    <n v="1370"/>
    <s v="Brandon"/>
    <s v="Williams"/>
    <s v="Bodycon"/>
    <n v="-2"/>
    <n v="2345.4899999999998"/>
    <n v="1.18"/>
    <n v="844.38"/>
    <d v="2024-11-24T00:00:00"/>
    <x v="5"/>
    <x v="2"/>
    <n v="212.66"/>
    <s v="POSITIVE SALES"/>
    <n v="-4690.9799999999996"/>
  </r>
  <r>
    <n v="1371"/>
    <s v="Christopher"/>
    <s v="Wilson"/>
    <s v="Ripped Denim"/>
    <n v="0"/>
    <n v="2679.3656000000001"/>
    <n v="0.64447698744769899"/>
    <n v="0"/>
    <d v="2024-11-24T00:00:00"/>
    <x v="2"/>
    <x v="2"/>
    <n v="72.959999999999994"/>
    <s v="NEGATIVE SALES"/>
    <n v="0"/>
  </r>
  <r>
    <n v="1372"/>
    <s v="Ryan"/>
    <s v="Gonzalez"/>
    <s v="Sunglasses"/>
    <n v="1"/>
    <n v="2679.6658000000002"/>
    <n v="0.19"/>
    <n v="0"/>
    <d v="2024-12-26T00:00:00"/>
    <x v="0"/>
    <x v="1"/>
    <n v="418.89"/>
    <s v="NEGATIVE SALES"/>
    <n v="2679.6658000000002"/>
  </r>
  <r>
    <n v="1373"/>
    <s v="Lisa"/>
    <s v="Morton"/>
    <s v="Leather Jacket"/>
    <n v="-2"/>
    <n v="3523.43"/>
    <n v="0.19"/>
    <n v="-5707.96"/>
    <d v="2024-12-26T00:00:00"/>
    <x v="0"/>
    <x v="1"/>
    <n v="-892.76"/>
    <s v="NEGATIVE SALES"/>
    <n v="-7046.86"/>
  </r>
  <r>
    <n v="1374"/>
    <s v="Nicholas"/>
    <s v="Lee"/>
    <s v="Classic Tee"/>
    <n v="1"/>
    <n v="2679.6658000000002"/>
    <n v="0.64574825174825201"/>
    <n v="0"/>
    <d v="2024-02-13T00:00:00"/>
    <x v="3"/>
    <x v="1"/>
    <n v="2519.16"/>
    <s v="NEGATIVE SALES"/>
    <n v="2679.6658000000002"/>
  </r>
  <r>
    <n v="1375"/>
    <s v="Kelly"/>
    <s v="Vang"/>
    <s v="Straight Cut"/>
    <n v="3"/>
    <n v="420.42"/>
    <n v="0.64574825174825201"/>
    <n v="0"/>
    <d v="2024-02-13T00:00:00"/>
    <x v="5"/>
    <x v="1"/>
    <n v="1318.19"/>
    <s v="NEGATIVE SALES"/>
    <n v="1261.26"/>
  </r>
  <r>
    <n v="1376"/>
    <s v="Megan"/>
    <s v="Smith"/>
    <s v="Caps"/>
    <n v="4"/>
    <n v="1447.28"/>
    <n v="0.64574825174825201"/>
    <n v="0"/>
    <d v="2024-07-27T00:00:00"/>
    <x v="5"/>
    <x v="2"/>
    <n v="175.33"/>
    <s v="NEGATIVE SALES"/>
    <n v="5789.12"/>
  </r>
  <r>
    <n v="1377"/>
    <s v="Mark"/>
    <s v="Matthews"/>
    <s v="Denim Jacket"/>
    <n v="0"/>
    <n v="2680.9409999999998"/>
    <n v="0.65"/>
    <n v="0"/>
    <d v="2024-07-27T00:00:00"/>
    <x v="3"/>
    <x v="2"/>
    <n v="2229.9499999999998"/>
    <s v="NEGATIVE SALES"/>
    <n v="0"/>
  </r>
  <r>
    <n v="1378"/>
    <s v="Melissa"/>
    <s v="Hale"/>
    <s v="Puffer Coat"/>
    <n v="5"/>
    <n v="4581.26"/>
    <n v="1.18"/>
    <n v="-4123.13"/>
    <d v="2025-01-22T00:00:00"/>
    <x v="3"/>
    <x v="1"/>
    <n v="-345.1"/>
    <s v="NEGATIVE SALES"/>
    <n v="22906.3"/>
  </r>
  <r>
    <n v="1380"/>
    <s v="Brittney"/>
    <s v="Branch"/>
    <s v="Bodycon"/>
    <n v="2"/>
    <n v="2680.3393000000001"/>
    <n v="0.64499298737727895"/>
    <n v="0"/>
    <d v="2024-10-09T00:00:00"/>
    <x v="0"/>
    <x v="2"/>
    <n v="-475.94"/>
    <s v="NEGATIVE SALES"/>
    <n v="5360.6786000000002"/>
  </r>
  <r>
    <n v="1381"/>
    <s v="Brian"/>
    <s v="Bridges"/>
    <s v="Ripped Denim"/>
    <n v="1"/>
    <n v="2680.3393000000001"/>
    <n v="1.07"/>
    <n v="0"/>
    <d v="2024-07-13T00:00:00"/>
    <x v="3"/>
    <x v="0"/>
    <n v="-136.30000000000001"/>
    <s v="NEGATIVE SALES"/>
    <n v="2680.3393000000001"/>
  </r>
  <r>
    <n v="1382"/>
    <s v="Jeffery"/>
    <s v="Green"/>
    <s v="Boyfriend Jeans"/>
    <n v="-2"/>
    <n v="2680.3393000000001"/>
    <n v="0.64439606741572997"/>
    <n v="0"/>
    <d v="2024-09-14T00:00:00"/>
    <x v="3"/>
    <x v="2"/>
    <n v="-165.59"/>
    <s v="NEGATIVE SALES"/>
    <n v="-5360.6786000000002"/>
  </r>
  <r>
    <n v="1383"/>
    <s v="Rachel"/>
    <s v="Bradford"/>
    <s v="Maxi Dress"/>
    <n v="5"/>
    <n v="2409.13"/>
    <n v="0.64439606741572997"/>
    <n v="0"/>
    <d v="2025-07-03T00:00:00"/>
    <x v="4"/>
    <x v="0"/>
    <n v="127.63"/>
    <s v="NEGATIVE SALES"/>
    <n v="12045.65"/>
  </r>
  <r>
    <n v="1385"/>
    <s v="Veronica"/>
    <s v="Taylor"/>
    <s v="Wrap Dress"/>
    <n v="1"/>
    <n v="2680.5843"/>
    <n v="0.64439606741572997"/>
    <n v="0"/>
    <d v="2024-12-31T00:00:00"/>
    <x v="3"/>
    <x v="0"/>
    <n v="2744.77"/>
    <s v="NEGATIVE SALES"/>
    <n v="2680.5843"/>
  </r>
  <r>
    <n v="1386"/>
    <s v="Crystal"/>
    <s v="Molina"/>
    <s v="Boots"/>
    <n v="5"/>
    <n v="4439.8100000000004"/>
    <n v="1.1000000000000001"/>
    <n v="-2219.91"/>
    <d v="2024-11-12T00:00:00"/>
    <x v="0"/>
    <x v="2"/>
    <n v="1669.09"/>
    <s v="NEGATIVE SALES"/>
    <n v="22199.05"/>
  </r>
  <r>
    <n v="1387"/>
    <s v="Michael"/>
    <s v="White"/>
    <s v="Puffer Coat"/>
    <n v="3"/>
    <n v="2680.5843"/>
    <n v="0.64375527426160395"/>
    <n v="0"/>
    <d v="2024-08-03T00:00:00"/>
    <x v="4"/>
    <x v="1"/>
    <n v="-505.47"/>
    <s v="NEGATIVE SALES"/>
    <n v="8041.7529000000004"/>
  </r>
  <r>
    <n v="1388"/>
    <s v="Michael"/>
    <s v="Beltran"/>
    <s v="Casual Midi"/>
    <n v="4"/>
    <n v="2678.9937"/>
    <n v="0.64375527426160395"/>
    <n v="0"/>
    <d v="2024-05-21T00:00:00"/>
    <x v="0"/>
    <x v="0"/>
    <n v="475.79"/>
    <s v="NEGATIVE SALES"/>
    <n v="10715.9748"/>
  </r>
  <r>
    <n v="1389"/>
    <s v="Barbara"/>
    <s v="Jones"/>
    <s v="Wrap Dress"/>
    <n v="2"/>
    <n v="2742.38"/>
    <n v="0.64375527426160395"/>
    <n v="0"/>
    <d v="2023-07-25T00:00:00"/>
    <x v="1"/>
    <x v="1"/>
    <n v="1987.46"/>
    <s v="NEGATIVE SALES"/>
    <n v="5484.76"/>
  </r>
  <r>
    <n v="1390"/>
    <s v="Randy"/>
    <s v="Baker"/>
    <s v="Slim Fit Jeans"/>
    <n v="4"/>
    <n v="2678.9937"/>
    <n v="0.64375527426160395"/>
    <n v="0"/>
    <d v="2023-07-25T00:00:00"/>
    <x v="4"/>
    <x v="1"/>
    <n v="1789.75"/>
    <s v="NEGATIVE SALES"/>
    <n v="10715.9748"/>
  </r>
  <r>
    <n v="1391"/>
    <s v="James"/>
    <s v="Collins"/>
    <s v="Slip-Ons"/>
    <n v="0"/>
    <n v="2213.79"/>
    <n v="0.01"/>
    <n v="0"/>
    <d v="2025-03-22T00:00:00"/>
    <x v="5"/>
    <x v="1"/>
    <n v="418.24"/>
    <s v="NEGATIVE SALES"/>
    <n v="0"/>
  </r>
  <r>
    <n v="1393"/>
    <s v="Christina"/>
    <s v="Hernandez"/>
    <s v="Bomber Jacket"/>
    <n v="6"/>
    <n v="2679.3577"/>
    <n v="0.64464788732394396"/>
    <n v="0"/>
    <d v="2025-02-05T00:00:00"/>
    <x v="5"/>
    <x v="0"/>
    <n v="2001.24"/>
    <s v="NEGATIVE SALES"/>
    <n v="16076.146199999999"/>
  </r>
  <r>
    <n v="1394"/>
    <s v="Jody"/>
    <s v="Larsen"/>
    <s v="Bomber Jacket"/>
    <n v="0"/>
    <n v="1218.6500000000001"/>
    <n v="0.64464788732394396"/>
    <n v="0"/>
    <d v="2025-05-29T00:00:00"/>
    <x v="5"/>
    <x v="0"/>
    <n v="2538.59"/>
    <s v="NEGATIVE SALES"/>
    <n v="0"/>
  </r>
  <r>
    <n v="1395"/>
    <s v="Andrew"/>
    <s v="Wood"/>
    <s v="Wrap Dress"/>
    <n v="0"/>
    <n v="2681.076"/>
    <n v="0.64464788732394396"/>
    <n v="0"/>
    <d v="2024-04-11T00:00:00"/>
    <x v="2"/>
    <x v="2"/>
    <n v="-357.08"/>
    <s v="NEGATIVE SALES"/>
    <n v="0"/>
  </r>
  <r>
    <n v="1396"/>
    <s v="James"/>
    <s v="Rocha"/>
    <s v="Straight Cut"/>
    <n v="2"/>
    <n v="3663.65"/>
    <n v="0.26"/>
    <n v="5422.2"/>
    <d v="2024-04-11T00:00:00"/>
    <x v="1"/>
    <x v="2"/>
    <n v="1553.44"/>
    <s v="POSITIVE SALES"/>
    <n v="7327.3"/>
  </r>
  <r>
    <n v="1397"/>
    <s v="Rebekah"/>
    <s v="Gonzalez"/>
    <s v="Leather Jacket"/>
    <n v="0"/>
    <n v="2682.4029999999998"/>
    <n v="0.64519040902679803"/>
    <n v="0"/>
    <d v="2025-03-07T00:00:00"/>
    <x v="3"/>
    <x v="0"/>
    <n v="1239.6199999999999"/>
    <s v="NEGATIVE SALES"/>
    <n v="0"/>
  </r>
  <r>
    <n v="1398"/>
    <s v="Aaron"/>
    <s v="Ruiz"/>
    <s v="Casual Midi"/>
    <n v="0"/>
    <n v="2681.5118000000002"/>
    <n v="0.64519040902679803"/>
    <n v="0"/>
    <d v="2025-03-28T00:00:00"/>
    <x v="5"/>
    <x v="1"/>
    <n v="-43.7"/>
    <s v="NEGATIVE SALES"/>
    <n v="0"/>
  </r>
  <r>
    <n v="1399"/>
    <s v="Olivia"/>
    <s v="Lee"/>
    <s v="Denim Jacket"/>
    <n v="4"/>
    <n v="2681.5118000000002"/>
    <n v="0.35"/>
    <n v="0"/>
    <d v="2024-10-31T00:00:00"/>
    <x v="0"/>
    <x v="0"/>
    <n v="-444.08"/>
    <s v="NEGATIVE SALES"/>
    <n v="10726.047200000001"/>
  </r>
  <r>
    <n v="1400"/>
    <s v="John"/>
    <s v="Carr"/>
    <s v="Classic Tee"/>
    <n v="0"/>
    <n v="2681.5118000000002"/>
    <n v="0.64560734463276803"/>
    <n v="0"/>
    <d v="2025-02-27T00:00:00"/>
    <x v="0"/>
    <x v="1"/>
    <n v="1385.55"/>
    <s v="NEGATIVE SALES"/>
    <n v="0"/>
  </r>
  <r>
    <n v="1401"/>
    <s v="Daniel"/>
    <s v="Wilson"/>
    <s v="Classic Tee"/>
    <n v="-2"/>
    <n v="2681.5118000000002"/>
    <n v="0.64560734463276803"/>
    <n v="0"/>
    <d v="2024-10-05T00:00:00"/>
    <x v="5"/>
    <x v="1"/>
    <n v="-751.05"/>
    <s v="NEGATIVE SALES"/>
    <n v="-5363.0236000000004"/>
  </r>
  <r>
    <n v="1402"/>
    <s v="Daniel"/>
    <s v="Hernandez"/>
    <s v="Watches"/>
    <n v="0"/>
    <n v="603.51"/>
    <n v="1.23"/>
    <n v="0"/>
    <d v="2025-01-16T00:00:00"/>
    <x v="5"/>
    <x v="0"/>
    <n v="982.01"/>
    <s v="NEGATIVE SALES"/>
    <n v="0"/>
  </r>
  <r>
    <n v="1403"/>
    <s v="John"/>
    <s v="Clark"/>
    <s v="Crop Top"/>
    <n v="0"/>
    <n v="2681.5118000000002"/>
    <n v="0.64478076379066496"/>
    <n v="0"/>
    <d v="2025-06-20T00:00:00"/>
    <x v="5"/>
    <x v="1"/>
    <n v="2210.0700000000002"/>
    <s v="NEGATIVE SALES"/>
    <n v="0"/>
  </r>
  <r>
    <n v="1404"/>
    <s v="Hannah"/>
    <s v="Martin"/>
    <s v="Watches"/>
    <n v="0"/>
    <n v="3074.59"/>
    <n v="0.64478076379066496"/>
    <n v="0"/>
    <d v="2025-06-20T00:00:00"/>
    <x v="3"/>
    <x v="0"/>
    <n v="1979.07"/>
    <s v="NEGATIVE SALES"/>
    <n v="0"/>
  </r>
  <r>
    <n v="1405"/>
    <s v="Alyssa"/>
    <s v="Ramirez"/>
    <s v="Maxi Dress"/>
    <n v="0"/>
    <n v="2683.4009000000001"/>
    <n v="0.56000000000000005"/>
    <n v="0"/>
    <d v="2024-05-05T00:00:00"/>
    <x v="2"/>
    <x v="0"/>
    <n v="2345.6799999999998"/>
    <s v="NEGATIVE SALES"/>
    <n v="0"/>
  </r>
  <r>
    <n v="1406"/>
    <s v="Alan"/>
    <s v="Johnson"/>
    <s v="Maxi Dress"/>
    <n v="0"/>
    <n v="2683.0448999999999"/>
    <n v="0.64490084985835705"/>
    <n v="0"/>
    <d v="2025-01-18T00:00:00"/>
    <x v="3"/>
    <x v="1"/>
    <n v="-863.17"/>
    <s v="NEGATIVE SALES"/>
    <n v="0"/>
  </r>
  <r>
    <n v="1407"/>
    <s v="Joseph"/>
    <s v="Freeman"/>
    <s v="Graphic Tee"/>
    <n v="0"/>
    <n v="4977.8100000000004"/>
    <n v="0.64490084985835705"/>
    <n v="0"/>
    <d v="2025-06-15T00:00:00"/>
    <x v="1"/>
    <x v="2"/>
    <n v="2041.12"/>
    <s v="NEGATIVE SALES"/>
    <n v="0"/>
  </r>
  <r>
    <n v="1408"/>
    <s v="William"/>
    <s v="Golden"/>
    <s v="Boots"/>
    <n v="0"/>
    <n v="2683.0448999999999"/>
    <n v="0.64490084985835705"/>
    <n v="0"/>
    <d v="2024-09-04T00:00:00"/>
    <x v="2"/>
    <x v="2"/>
    <n v="2305.3200000000002"/>
    <s v="NEGATIVE SALES"/>
    <n v="0"/>
  </r>
  <r>
    <n v="1409"/>
    <s v="Heather"/>
    <s v="Cross"/>
    <s v="Caps"/>
    <n v="6"/>
    <n v="2680.9549999999999"/>
    <n v="0.64490084985835705"/>
    <n v="0"/>
    <d v="2024-09-04T00:00:00"/>
    <x v="4"/>
    <x v="0"/>
    <n v="-941.44"/>
    <s v="NEGATIVE SALES"/>
    <n v="16085.73"/>
  </r>
  <r>
    <n v="1410"/>
    <s v="Dawn"/>
    <s v="Caldwell"/>
    <s v="Ripped Denim"/>
    <n v="6"/>
    <n v="4445.8100000000004"/>
    <n v="0.64490084985835705"/>
    <n v="0"/>
    <d v="2024-09-04T00:00:00"/>
    <x v="0"/>
    <x v="1"/>
    <n v="-654.59"/>
    <s v="NEGATIVE SALES"/>
    <n v="26674.86"/>
  </r>
  <r>
    <n v="1411"/>
    <s v="Michael"/>
    <s v="Bond"/>
    <s v="Wrap Dress"/>
    <n v="0"/>
    <n v="4946.7700000000004"/>
    <n v="0.64490084985835705"/>
    <n v="0"/>
    <d v="2024-09-04T00:00:00"/>
    <x v="2"/>
    <x v="1"/>
    <n v="1520.19"/>
    <s v="NEGATIVE SALES"/>
    <n v="0"/>
  </r>
  <r>
    <n v="1412"/>
    <s v="Luis"/>
    <s v="Mcdaniel"/>
    <s v="Slip-Ons"/>
    <n v="0"/>
    <n v="2679.3462"/>
    <n v="0.64490084985835705"/>
    <n v="0"/>
    <d v="2024-08-29T00:00:00"/>
    <x v="5"/>
    <x v="0"/>
    <n v="2314.9299999999998"/>
    <s v="NEGATIVE SALES"/>
    <n v="0"/>
  </r>
  <r>
    <n v="1413"/>
    <s v="Michael"/>
    <s v="Harris"/>
    <s v="Maxi Dress"/>
    <n v="1"/>
    <n v="2677.2773999999999"/>
    <n v="0.17"/>
    <n v="0"/>
    <d v="2025-06-04T00:00:00"/>
    <x v="1"/>
    <x v="0"/>
    <n v="1539.28"/>
    <s v="NEGATIVE SALES"/>
    <n v="2677.2773999999999"/>
  </r>
  <r>
    <n v="1414"/>
    <s v="Elizabeth"/>
    <s v="Buchanan"/>
    <s v="Oversized T-Shirt"/>
    <n v="0"/>
    <n v="2677.2773999999999"/>
    <n v="0.64557446808510599"/>
    <n v="0"/>
    <d v="2025-07-08T00:00:00"/>
    <x v="1"/>
    <x v="1"/>
    <n v="2843.55"/>
    <s v="NEGATIVE SALES"/>
    <n v="0"/>
  </r>
  <r>
    <n v="1415"/>
    <s v="Sydney"/>
    <s v="Travis"/>
    <s v="Puffer Coat"/>
    <n v="0"/>
    <n v="3149"/>
    <n v="0.64557446808510599"/>
    <n v="0"/>
    <d v="2025-07-08T00:00:00"/>
    <x v="3"/>
    <x v="1"/>
    <n v="2661.23"/>
    <s v="NEGATIVE SALES"/>
    <n v="0"/>
  </r>
  <r>
    <n v="1416"/>
    <s v="Joshua"/>
    <s v="Johnson"/>
    <s v="Watches"/>
    <n v="0"/>
    <n v="3527.15"/>
    <n v="0.64557446808510599"/>
    <n v="0"/>
    <d v="2023-11-23T00:00:00"/>
    <x v="5"/>
    <x v="1"/>
    <n v="2286.48"/>
    <s v="NEGATIVE SALES"/>
    <n v="0"/>
  </r>
  <r>
    <n v="1417"/>
    <s v="Nicholas"/>
    <s v="Harrell"/>
    <s v="Wrap Dress"/>
    <n v="0"/>
    <n v="2676.8465999999999"/>
    <n v="0.64557446808510599"/>
    <n v="0"/>
    <d v="2024-08-11T00:00:00"/>
    <x v="3"/>
    <x v="2"/>
    <n v="888.59"/>
    <s v="NEGATIVE SALES"/>
    <n v="0"/>
  </r>
  <r>
    <n v="1418"/>
    <s v="Christopher"/>
    <s v="Anderson"/>
    <s v="Bodycon"/>
    <n v="0"/>
    <n v="2676.0693000000001"/>
    <n v="0.13"/>
    <n v="0"/>
    <d v="2024-08-03T00:00:00"/>
    <x v="3"/>
    <x v="2"/>
    <n v="1403.76"/>
    <s v="NEGATIVE SALES"/>
    <n v="0"/>
  </r>
  <r>
    <n v="1419"/>
    <s v="Brittney"/>
    <s v="Rivera"/>
    <s v="Bomber Jacket"/>
    <n v="2"/>
    <n v="2676.0693000000001"/>
    <n v="0.64630681818181801"/>
    <n v="0"/>
    <d v="2024-10-15T00:00:00"/>
    <x v="5"/>
    <x v="2"/>
    <n v="-565.16999999999996"/>
    <s v="NEGATIVE SALES"/>
    <n v="5352.1386000000002"/>
  </r>
  <r>
    <n v="1420"/>
    <s v="James"/>
    <s v="Patterson"/>
    <s v="Loafers"/>
    <n v="0"/>
    <n v="2676.0693000000001"/>
    <n v="0.96"/>
    <n v="0"/>
    <d v="2025-06-06T00:00:00"/>
    <x v="1"/>
    <x v="2"/>
    <n v="2790.42"/>
    <s v="NEGATIVE SALES"/>
    <n v="0"/>
  </r>
  <r>
    <n v="1421"/>
    <s v="Kenneth"/>
    <s v="Jackson"/>
    <s v="Classic Tee"/>
    <n v="0"/>
    <n v="2676.0693000000001"/>
    <n v="0.64586059743954505"/>
    <n v="0"/>
    <d v="2025-07-15T00:00:00"/>
    <x v="1"/>
    <x v="1"/>
    <n v="575.19000000000005"/>
    <s v="NEGATIVE SALES"/>
    <n v="0"/>
  </r>
  <r>
    <n v="1422"/>
    <s v="Marvin"/>
    <s v="Cox"/>
    <s v="Boyfriend Jeans"/>
    <n v="0"/>
    <n v="4466.49"/>
    <n v="0.64586059743954505"/>
    <n v="0"/>
    <d v="2025-03-10T00:00:00"/>
    <x v="1"/>
    <x v="2"/>
    <n v="2168.7800000000002"/>
    <s v="NEGATIVE SALES"/>
    <n v="0"/>
  </r>
  <r>
    <n v="1423"/>
    <s v="Christopher"/>
    <s v="Reeves"/>
    <s v="Leather Jacket"/>
    <n v="0"/>
    <n v="2676.0693000000001"/>
    <n v="0.64586059743954505"/>
    <n v="0"/>
    <d v="2025-02-22T00:00:00"/>
    <x v="5"/>
    <x v="1"/>
    <n v="1302.05"/>
    <s v="NEGATIVE SALES"/>
    <n v="0"/>
  </r>
  <r>
    <n v="1424"/>
    <s v="Jennifer"/>
    <s v="Villarreal"/>
    <s v="Classic Tee"/>
    <n v="-1"/>
    <n v="538.6"/>
    <n v="1.18"/>
    <n v="96.95"/>
    <d v="2025-01-04T00:00:00"/>
    <x v="5"/>
    <x v="1"/>
    <n v="752.81"/>
    <s v="POSITIVE SALES"/>
    <n v="-538.6"/>
  </r>
  <r>
    <n v="1425"/>
    <s v="Stacey"/>
    <s v="Irwin"/>
    <s v="Caps"/>
    <n v="0"/>
    <n v="1133.73"/>
    <n v="0.64509971509971498"/>
    <n v="0"/>
    <d v="2024-12-30T00:00:00"/>
    <x v="4"/>
    <x v="2"/>
    <n v="2604.14"/>
    <s v="NEGATIVE SALES"/>
    <n v="0"/>
  </r>
  <r>
    <n v="1426"/>
    <s v="Bryan"/>
    <s v="Parks"/>
    <s v="Ripped Denim"/>
    <n v="-2"/>
    <n v="3175.17"/>
    <n v="0.86"/>
    <n v="-889.05"/>
    <d v="2024-12-30T00:00:00"/>
    <x v="5"/>
    <x v="2"/>
    <n v="2860.99"/>
    <s v="NEGATIVE SALES"/>
    <n v="-6350.34"/>
  </r>
  <r>
    <n v="1427"/>
    <s v="Angela"/>
    <s v="Hall"/>
    <s v="Boots"/>
    <n v="0"/>
    <n v="2677.8011000000001"/>
    <n v="0.64479315263908699"/>
    <n v="0"/>
    <d v="2025-06-18T00:00:00"/>
    <x v="2"/>
    <x v="0"/>
    <n v="2795.17"/>
    <s v="NEGATIVE SALES"/>
    <n v="0"/>
  </r>
  <r>
    <n v="1429"/>
    <s v="Travis"/>
    <s v="Vargas"/>
    <s v="Bodycon"/>
    <n v="0"/>
    <n v="3292.01"/>
    <n v="0.64479315263908699"/>
    <n v="0"/>
    <d v="2024-10-03T00:00:00"/>
    <x v="0"/>
    <x v="2"/>
    <n v="-358.22"/>
    <s v="NEGATIVE SALES"/>
    <n v="0"/>
  </r>
  <r>
    <n v="1430"/>
    <s v="Rose"/>
    <s v="Delgado"/>
    <s v="Straight Cut"/>
    <n v="-2"/>
    <n v="2677.3447999999999"/>
    <n v="0.67"/>
    <n v="0"/>
    <d v="2025-05-12T00:00:00"/>
    <x v="4"/>
    <x v="0"/>
    <n v="2045.56"/>
    <s v="NEGATIVE SALES"/>
    <n v="-5354.6895999999997"/>
  </r>
  <r>
    <n v="1431"/>
    <s v="Jennifer"/>
    <s v="Lyons"/>
    <s v="Watches"/>
    <n v="0"/>
    <n v="2676.7804000000001"/>
    <n v="0.64475714285714303"/>
    <n v="0"/>
    <d v="2025-04-29T00:00:00"/>
    <x v="0"/>
    <x v="2"/>
    <n v="2191.02"/>
    <s v="NEGATIVE SALES"/>
    <n v="0"/>
  </r>
  <r>
    <n v="1432"/>
    <s v="Steven"/>
    <s v="Taylor"/>
    <s v="Sneakers"/>
    <n v="0"/>
    <n v="2676.7804000000001"/>
    <n v="0.64475714285714303"/>
    <n v="0"/>
    <d v="2024-06-02T00:00:00"/>
    <x v="1"/>
    <x v="2"/>
    <n v="-849.15"/>
    <s v="NEGATIVE SALES"/>
    <n v="0"/>
  </r>
  <r>
    <n v="1433"/>
    <s v="Jesse"/>
    <s v="Cooke"/>
    <s v="Oversized T-Shirt"/>
    <n v="2"/>
    <n v="2676.7804000000001"/>
    <n v="0.7"/>
    <n v="0"/>
    <d v="2025-01-04T00:00:00"/>
    <x v="2"/>
    <x v="2"/>
    <n v="-878.85"/>
    <s v="NEGATIVE SALES"/>
    <n v="5353.5608000000002"/>
  </r>
  <r>
    <n v="1434"/>
    <s v="Marie"/>
    <s v="Sullivan"/>
    <s v="Boyfriend Jeans"/>
    <n v="0"/>
    <n v="476.2"/>
    <n v="1.03"/>
    <n v="0"/>
    <d v="2024-08-08T00:00:00"/>
    <x v="5"/>
    <x v="0"/>
    <n v="-310.8"/>
    <s v="NEGATIVE SALES"/>
    <n v="0"/>
  </r>
  <r>
    <n v="1435"/>
    <s v="Nicole"/>
    <s v="Mills"/>
    <s v="Classic Tee"/>
    <n v="3"/>
    <n v="2676.7804000000001"/>
    <n v="0.64412607449856696"/>
    <n v="0"/>
    <d v="2025-04-16T00:00:00"/>
    <x v="5"/>
    <x v="2"/>
    <n v="904.65"/>
    <s v="NEGATIVE SALES"/>
    <n v="8030.3411999999998"/>
  </r>
  <r>
    <n v="1436"/>
    <s v="Erin"/>
    <s v="Yu"/>
    <s v="Classic Tee"/>
    <n v="0"/>
    <n v="2678.8029999999999"/>
    <n v="1.26"/>
    <n v="0"/>
    <d v="2024-08-13T00:00:00"/>
    <x v="1"/>
    <x v="0"/>
    <n v="1445.93"/>
    <s v="NEGATIVE SALES"/>
    <n v="0"/>
  </r>
  <r>
    <n v="1437"/>
    <s v="Rachel"/>
    <s v="Savage"/>
    <s v="Boyfriend Jeans"/>
    <n v="0"/>
    <n v="3886.3"/>
    <n v="0.34"/>
    <n v="0"/>
    <d v="2025-02-15T00:00:00"/>
    <x v="0"/>
    <x v="0"/>
    <n v="131.47999999999999"/>
    <s v="NEGATIVE SALES"/>
    <n v="0"/>
  </r>
  <r>
    <n v="1438"/>
    <s v="Teresa"/>
    <s v="Nichols"/>
    <s v="Wrap Dress"/>
    <n v="0"/>
    <n v="2663.97"/>
    <n v="0.84"/>
    <n v="0"/>
    <d v="2023-09-17T00:00:00"/>
    <x v="4"/>
    <x v="1"/>
    <n v="1014.29"/>
    <s v="NEGATIVE SALES"/>
    <n v="0"/>
  </r>
  <r>
    <n v="1439"/>
    <s v="Elijah"/>
    <s v="Anderson"/>
    <s v="Graphic Tee"/>
    <n v="0"/>
    <n v="2677.6921000000002"/>
    <n v="0.64339568345323706"/>
    <n v="0"/>
    <d v="2023-09-17T00:00:00"/>
    <x v="1"/>
    <x v="2"/>
    <n v="726.42"/>
    <s v="NEGATIVE SALES"/>
    <n v="0"/>
  </r>
  <r>
    <n v="1440"/>
    <s v="Candace"/>
    <s v="Smith"/>
    <s v="Bodycon"/>
    <n v="0"/>
    <n v="635.12"/>
    <n v="0.32"/>
    <n v="0"/>
    <d v="2025-07-22T00:00:00"/>
    <x v="5"/>
    <x v="0"/>
    <n v="-476.72"/>
    <s v="NEGATIVE SALES"/>
    <n v="0"/>
  </r>
  <r>
    <n v="1441"/>
    <s v="Michelle"/>
    <s v="Lara"/>
    <s v="Slim Fit Jeans"/>
    <n v="0"/>
    <n v="2677.7048"/>
    <n v="0.64386167146974005"/>
    <n v="0"/>
    <d v="2025-07-22T00:00:00"/>
    <x v="3"/>
    <x v="1"/>
    <n v="-316.51"/>
    <s v="NEGATIVE SALES"/>
    <n v="0"/>
  </r>
  <r>
    <n v="1442"/>
    <s v="Emma"/>
    <s v="Ramirez"/>
    <s v="Slip-Ons"/>
    <n v="0"/>
    <n v="3001.28"/>
    <n v="0.64386167146974005"/>
    <n v="0"/>
    <d v="2024-07-06T00:00:00"/>
    <x v="0"/>
    <x v="0"/>
    <n v="1218.28"/>
    <s v="NEGATIVE SALES"/>
    <n v="0"/>
  </r>
  <r>
    <n v="1443"/>
    <s v="Danielle"/>
    <s v="Shelton"/>
    <s v="Crop Top"/>
    <n v="0"/>
    <n v="2679.5873000000001"/>
    <n v="0.64386167146974005"/>
    <n v="0"/>
    <d v="2024-07-11T00:00:00"/>
    <x v="3"/>
    <x v="1"/>
    <n v="2962.6"/>
    <s v="NEGATIVE SALES"/>
    <n v="0"/>
  </r>
  <r>
    <n v="1444"/>
    <s v="Paula"/>
    <s v="Leon"/>
    <s v="Watches"/>
    <n v="3"/>
    <n v="3452.16"/>
    <n v="0.64386167146974005"/>
    <n v="0"/>
    <d v="2024-07-11T00:00:00"/>
    <x v="2"/>
    <x v="1"/>
    <n v="810.8"/>
    <s v="NEGATIVE SALES"/>
    <n v="10356.48"/>
  </r>
  <r>
    <n v="1445"/>
    <s v="Dr."/>
    <s v="Dennis"/>
    <s v="Bomber Jacket"/>
    <n v="0"/>
    <n v="1370.36"/>
    <n v="0.54"/>
    <n v="0"/>
    <d v="2025-06-19T00:00:00"/>
    <x v="2"/>
    <x v="0"/>
    <n v="2846.13"/>
    <s v="NEGATIVE SALES"/>
    <n v="0"/>
  </r>
  <r>
    <n v="1446"/>
    <s v="Kelsey"/>
    <s v="Wright"/>
    <s v="Loafers"/>
    <n v="0"/>
    <n v="2827.68"/>
    <n v="0.86"/>
    <n v="0"/>
    <d v="2024-08-15T00:00:00"/>
    <x v="0"/>
    <x v="1"/>
    <n v="-602.57000000000005"/>
    <s v="NEGATIVE SALES"/>
    <n v="0"/>
  </r>
  <r>
    <n v="1448"/>
    <s v="Brandon"/>
    <s v="Andrews"/>
    <s v="Slim Fit Jeans"/>
    <n v="0"/>
    <n v="1657.95"/>
    <n v="0.64369942196531804"/>
    <n v="0"/>
    <d v="2023-12-09T00:00:00"/>
    <x v="4"/>
    <x v="2"/>
    <n v="1948.49"/>
    <s v="NEGATIVE SALES"/>
    <n v="0"/>
  </r>
  <r>
    <n v="1449"/>
    <s v="Michelle"/>
    <s v="Phillips"/>
    <s v="Straight Cut"/>
    <n v="0"/>
    <n v="2855.53"/>
    <n v="0.55000000000000004"/>
    <n v="0"/>
    <d v="2025-02-19T00:00:00"/>
    <x v="1"/>
    <x v="0"/>
    <n v="2598.7399999999998"/>
    <s v="NEGATIVE SALES"/>
    <n v="0"/>
  </r>
  <r>
    <n v="1451"/>
    <s v="Rebecca"/>
    <s v="Murphy"/>
    <s v="Slip-Ons"/>
    <n v="0"/>
    <n v="620.64"/>
    <n v="0.64383502170767004"/>
    <n v="0"/>
    <d v="2025-05-24T00:00:00"/>
    <x v="5"/>
    <x v="1"/>
    <n v="1553.39"/>
    <s v="NEGATIVE SALES"/>
    <n v="0"/>
  </r>
  <r>
    <n v="1452"/>
    <s v="Ricardo"/>
    <s v="Kent"/>
    <s v="Sunglasses"/>
    <n v="-2"/>
    <n v="2660.28"/>
    <n v="0.34"/>
    <n v="-3511.57"/>
    <d v="2025-05-24T00:00:00"/>
    <x v="0"/>
    <x v="0"/>
    <n v="918.54"/>
    <s v="NEGATIVE SALES"/>
    <n v="-5320.56"/>
  </r>
  <r>
    <n v="1453"/>
    <s v="Justin"/>
    <s v="Carpenter"/>
    <s v="Straight Cut"/>
    <n v="0"/>
    <n v="2681.3134"/>
    <n v="0.18"/>
    <n v="0"/>
    <d v="2024-12-07T00:00:00"/>
    <x v="3"/>
    <x v="2"/>
    <n v="1465.97"/>
    <s v="NEGATIVE SALES"/>
    <n v="0"/>
  </r>
  <r>
    <n v="1454"/>
    <s v="Justin"/>
    <s v="Clements"/>
    <s v="Sunglasses"/>
    <n v="0"/>
    <n v="4523.58"/>
    <n v="0.64494920174165404"/>
    <n v="0"/>
    <d v="2024-07-22T00:00:00"/>
    <x v="4"/>
    <x v="1"/>
    <n v="2424.44"/>
    <s v="NEGATIVE SALES"/>
    <n v="0"/>
  </r>
  <r>
    <n v="1455"/>
    <s v="Patty"/>
    <s v="Thomas"/>
    <s v="Classic Tee"/>
    <n v="0"/>
    <n v="2681.3330000000001"/>
    <n v="0.64494920174165404"/>
    <n v="0"/>
    <d v="2024-12-03T00:00:00"/>
    <x v="0"/>
    <x v="1"/>
    <n v="743.47"/>
    <s v="NEGATIVE SALES"/>
    <n v="0"/>
  </r>
  <r>
    <n v="1456"/>
    <s v="Madison"/>
    <s v="Berry"/>
    <s v="Graphic Tee"/>
    <n v="2"/>
    <n v="2679.6192999999998"/>
    <n v="0.64494920174165404"/>
    <n v="0"/>
    <d v="2025-02-14T00:00:00"/>
    <x v="3"/>
    <x v="0"/>
    <n v="1350.12"/>
    <s v="NEGATIVE SALES"/>
    <n v="5359.2385999999997"/>
  </r>
  <r>
    <n v="1457"/>
    <s v="Danielle"/>
    <s v="Washington"/>
    <s v="Watches"/>
    <n v="0"/>
    <n v="2342.25"/>
    <n v="0.64494920174165404"/>
    <n v="0"/>
    <d v="2025-02-14T00:00:00"/>
    <x v="3"/>
    <x v="2"/>
    <n v="750.64"/>
    <s v="NEGATIVE SALES"/>
    <n v="0"/>
  </r>
  <r>
    <n v="1458"/>
    <s v="Rachel"/>
    <s v="Marshall"/>
    <s v="Puffer Coat"/>
    <n v="6"/>
    <n v="2679.6192999999998"/>
    <n v="0.27"/>
    <n v="0"/>
    <d v="2025-02-14T00:00:00"/>
    <x v="2"/>
    <x v="1"/>
    <n v="1877.22"/>
    <s v="NEGATIVE SALES"/>
    <n v="16077.7158"/>
  </r>
  <r>
    <n v="1459"/>
    <s v="Anna"/>
    <s v="King"/>
    <s v="Sunglasses"/>
    <n v="0"/>
    <n v="2494.9899999999998"/>
    <n v="0.98"/>
    <n v="0"/>
    <d v="2024-01-17T00:00:00"/>
    <x v="4"/>
    <x v="1"/>
    <n v="2959.95"/>
    <s v="NEGATIVE SALES"/>
    <n v="0"/>
  </r>
  <r>
    <n v="1460"/>
    <s v="Leah"/>
    <s v="Chaney"/>
    <s v="Leather Jacket"/>
    <n v="0"/>
    <n v="4264.16"/>
    <n v="0.64500727802037805"/>
    <n v="0"/>
    <d v="2024-10-12T00:00:00"/>
    <x v="0"/>
    <x v="2"/>
    <n v="921.96"/>
    <s v="NEGATIVE SALES"/>
    <n v="0"/>
  </r>
  <r>
    <n v="1461"/>
    <s v="Rebecca"/>
    <s v="Leach"/>
    <s v="Casual Midi"/>
    <n v="0"/>
    <n v="2708.35"/>
    <n v="1.06"/>
    <n v="0"/>
    <d v="2024-10-12T00:00:00"/>
    <x v="5"/>
    <x v="0"/>
    <n v="941.87"/>
    <s v="NEGATIVE SALES"/>
    <n v="0"/>
  </r>
  <r>
    <n v="1462"/>
    <s v="Miranda"/>
    <s v="Higgins"/>
    <s v="Puffer Coat"/>
    <n v="-1"/>
    <n v="2678.6280999999999"/>
    <n v="0.64440233236151601"/>
    <n v="0"/>
    <d v="2025-03-09T00:00:00"/>
    <x v="0"/>
    <x v="0"/>
    <n v="372.63"/>
    <s v="NEGATIVE SALES"/>
    <n v="-2678.6280999999999"/>
  </r>
  <r>
    <n v="1463"/>
    <s v="Danielle"/>
    <s v="Gonzales"/>
    <s v="Wrap Dress"/>
    <n v="1"/>
    <n v="4606.09"/>
    <n v="1.1200000000000001"/>
    <n v="-552.73"/>
    <d v="2025-06-17T00:00:00"/>
    <x v="0"/>
    <x v="2"/>
    <n v="-877.13"/>
    <s v="NEGATIVE SALES"/>
    <n v="4606.09"/>
  </r>
  <r>
    <n v="1464"/>
    <s v="Jill"/>
    <s v="Johnson"/>
    <s v="Wrap Dress"/>
    <n v="0"/>
    <n v="2678.6003000000001"/>
    <n v="0.64370802919708003"/>
    <n v="0"/>
    <d v="2025-05-06T00:00:00"/>
    <x v="3"/>
    <x v="0"/>
    <n v="837.3"/>
    <s v="NEGATIVE SALES"/>
    <n v="0"/>
  </r>
  <r>
    <n v="1465"/>
    <s v="William"/>
    <s v="Peck"/>
    <s v="Belts"/>
    <n v="-2"/>
    <n v="2215.4"/>
    <n v="0.96"/>
    <n v="-177.23"/>
    <d v="2025-02-20T00:00:00"/>
    <x v="5"/>
    <x v="1"/>
    <n v="-85.73"/>
    <s v="NEGATIVE SALES"/>
    <n v="-4430.8"/>
  </r>
  <r>
    <n v="1468"/>
    <s v="Jeremy"/>
    <s v="Nash"/>
    <s v="Graphic Tee"/>
    <n v="0"/>
    <n v="3332.84"/>
    <n v="0.27"/>
    <n v="0"/>
    <d v="2023-08-15T00:00:00"/>
    <x v="1"/>
    <x v="1"/>
    <n v="733.66"/>
    <s v="NEGATIVE SALES"/>
    <n v="0"/>
  </r>
  <r>
    <n v="1469"/>
    <s v="Craig"/>
    <s v="Conner"/>
    <s v="Wrap Dress"/>
    <n v="0"/>
    <n v="2665.7"/>
    <n v="0.49"/>
    <n v="0"/>
    <d v="2025-01-25T00:00:00"/>
    <x v="3"/>
    <x v="2"/>
    <n v="1644.72"/>
    <s v="NEGATIVE SALES"/>
    <n v="0"/>
  </r>
  <r>
    <n v="1470"/>
    <s v="Victoria"/>
    <s v="Hayden"/>
    <s v="Oversized T-Shirt"/>
    <n v="-1"/>
    <n v="1376.54"/>
    <n v="0.64483113069016096"/>
    <n v="0"/>
    <d v="2025-01-25T00:00:00"/>
    <x v="5"/>
    <x v="1"/>
    <n v="0.59"/>
    <s v="NEGATIVE SALES"/>
    <n v="-1376.54"/>
  </r>
  <r>
    <n v="1471"/>
    <s v="Tammy"/>
    <s v="Johnson"/>
    <s v="Belts"/>
    <n v="-2"/>
    <n v="4882.03"/>
    <n v="0.23"/>
    <n v="-7518.33"/>
    <d v="2023-08-21T00:00:00"/>
    <x v="5"/>
    <x v="0"/>
    <n v="-605.66999999999996"/>
    <s v="NEGATIVE SALES"/>
    <n v="-9764.06"/>
  </r>
  <r>
    <n v="1472"/>
    <s v="William"/>
    <s v="Mullins"/>
    <s v="Belts"/>
    <n v="0"/>
    <n v="2676.7132000000001"/>
    <n v="1.01"/>
    <n v="0"/>
    <d v="2024-10-26T00:00:00"/>
    <x v="2"/>
    <x v="0"/>
    <n v="-69.28"/>
    <s v="NEGATIVE SALES"/>
    <n v="0"/>
  </r>
  <r>
    <n v="1473"/>
    <s v="Alicia"/>
    <s v="Reynolds"/>
    <s v="Graphic Tee"/>
    <n v="0"/>
    <n v="2674.6386000000002"/>
    <n v="0.08"/>
    <n v="0"/>
    <d v="2024-10-26T00:00:00"/>
    <x v="3"/>
    <x v="0"/>
    <n v="1769.11"/>
    <s v="NEGATIVE SALES"/>
    <n v="0"/>
  </r>
  <r>
    <n v="1474"/>
    <s v="Rachel"/>
    <s v="Shelton"/>
    <s v="Denim Jacket"/>
    <n v="4"/>
    <n v="2674.6386000000002"/>
    <n v="0.64573746312684399"/>
    <n v="0"/>
    <d v="2025-01-24T00:00:00"/>
    <x v="3"/>
    <x v="0"/>
    <n v="1791.38"/>
    <s v="NEGATIVE SALES"/>
    <n v="10698.554400000001"/>
  </r>
  <r>
    <n v="1475"/>
    <s v="Nancy"/>
    <s v="James"/>
    <s v="Oversized T-Shirt"/>
    <n v="-2"/>
    <n v="3692.25"/>
    <n v="0.64573746312684399"/>
    <n v="0"/>
    <d v="2024-11-11T00:00:00"/>
    <x v="2"/>
    <x v="0"/>
    <n v="433.87"/>
    <s v="NEGATIVE SALES"/>
    <n v="-7384.5"/>
  </r>
  <r>
    <n v="1476"/>
    <s v="Seth"/>
    <s v="Gonzalez"/>
    <s v="Ripped Denim"/>
    <n v="5"/>
    <n v="2674.6386000000002"/>
    <n v="0.56999999999999995"/>
    <n v="0"/>
    <d v="2025-07-21T00:00:00"/>
    <x v="3"/>
    <x v="0"/>
    <n v="1476.41"/>
    <s v="NEGATIVE SALES"/>
    <n v="13373.192999999999"/>
  </r>
  <r>
    <n v="1477"/>
    <s v="Rachel"/>
    <s v="Allen"/>
    <s v="Bodycon"/>
    <n v="0"/>
    <n v="2277.1999999999998"/>
    <n v="0.64584933530280597"/>
    <n v="0"/>
    <d v="2025-04-02T00:00:00"/>
    <x v="5"/>
    <x v="1"/>
    <n v="1295.82"/>
    <s v="NEGATIVE SALES"/>
    <n v="0"/>
  </r>
  <r>
    <n v="1478"/>
    <s v="Jaclyn"/>
    <s v="Lynch"/>
    <s v="Denim Jacket"/>
    <n v="0"/>
    <n v="2277.41"/>
    <n v="0.64584933530280597"/>
    <n v="0"/>
    <d v="2024-07-18T00:00:00"/>
    <x v="1"/>
    <x v="1"/>
    <n v="-584.69000000000005"/>
    <s v="NEGATIVE SALES"/>
    <n v="0"/>
  </r>
  <r>
    <n v="1479"/>
    <s v="Vicki"/>
    <s v="Peterson"/>
    <s v="Maxi Dress"/>
    <n v="1"/>
    <n v="2674.0540999999998"/>
    <n v="0.64584933530280597"/>
    <n v="0"/>
    <d v="2024-07-18T00:00:00"/>
    <x v="1"/>
    <x v="0"/>
    <n v="-575.87"/>
    <s v="NEGATIVE SALES"/>
    <n v="2674.0540999999998"/>
  </r>
  <r>
    <n v="1480"/>
    <s v="Troy"/>
    <s v="Love"/>
    <s v="Denim Jacket"/>
    <n v="0"/>
    <n v="755.42"/>
    <n v="0.64584933530280597"/>
    <n v="0"/>
    <d v="2024-05-08T00:00:00"/>
    <x v="4"/>
    <x v="1"/>
    <n v="2956.26"/>
    <s v="NEGATIVE SALES"/>
    <n v="0"/>
  </r>
  <r>
    <n v="1481"/>
    <s v="David"/>
    <s v="Baker"/>
    <s v="Watches"/>
    <n v="0"/>
    <n v="2674.4281999999998"/>
    <n v="0.97"/>
    <n v="0"/>
    <d v="2024-05-08T00:00:00"/>
    <x v="0"/>
    <x v="0"/>
    <n v="375"/>
    <s v="NEGATIVE SALES"/>
    <n v="0"/>
  </r>
  <r>
    <n v="1482"/>
    <s v="Kristen"/>
    <s v="Fuentes"/>
    <s v="Slip-Ons"/>
    <n v="0"/>
    <n v="1269.51"/>
    <n v="0.64536982248520702"/>
    <n v="0"/>
    <d v="2025-03-26T00:00:00"/>
    <x v="1"/>
    <x v="0"/>
    <n v="480.43"/>
    <s v="NEGATIVE SALES"/>
    <n v="0"/>
  </r>
  <r>
    <n v="1483"/>
    <s v="Kenneth"/>
    <s v="Barry"/>
    <s v="Oversized T-Shirt"/>
    <n v="0"/>
    <n v="2347.19"/>
    <n v="0.64536982248520702"/>
    <n v="0"/>
    <d v="2024-10-12T00:00:00"/>
    <x v="3"/>
    <x v="1"/>
    <n v="2870.3"/>
    <s v="NEGATIVE SALES"/>
    <n v="0"/>
  </r>
  <r>
    <n v="1484"/>
    <s v="Judith"/>
    <s v="Johnson"/>
    <s v="Bomber Jacket"/>
    <n v="2"/>
    <n v="818.68"/>
    <n v="0.64536982248520702"/>
    <n v="0"/>
    <d v="2023-12-29T00:00:00"/>
    <x v="2"/>
    <x v="1"/>
    <n v="2357.7399999999998"/>
    <s v="NEGATIVE SALES"/>
    <n v="1637.36"/>
  </r>
  <r>
    <n v="1485"/>
    <s v="Oscar"/>
    <s v="Williams"/>
    <s v="Sneakers"/>
    <n v="0"/>
    <n v="2677.8825000000002"/>
    <n v="0.64536982248520702"/>
    <n v="0"/>
    <d v="2024-08-06T00:00:00"/>
    <x v="5"/>
    <x v="2"/>
    <n v="672.88"/>
    <s v="NEGATIVE SALES"/>
    <n v="0"/>
  </r>
  <r>
    <n v="1486"/>
    <s v="Gloria"/>
    <s v="Orr"/>
    <s v="Ripped Denim"/>
    <n v="6"/>
    <n v="2679.6430999999998"/>
    <n v="0.64536982248520702"/>
    <n v="0"/>
    <d v="2024-08-06T00:00:00"/>
    <x v="2"/>
    <x v="2"/>
    <n v="2745.83"/>
    <s v="NEGATIVE SALES"/>
    <n v="16077.8586"/>
  </r>
  <r>
    <n v="1487"/>
    <s v="Nancy"/>
    <s v="Taylor"/>
    <s v="Sunglasses"/>
    <n v="6"/>
    <n v="1234.08"/>
    <n v="0.71"/>
    <n v="2147.3000000000002"/>
    <d v="2024-03-15T00:00:00"/>
    <x v="0"/>
    <x v="0"/>
    <n v="-849.81"/>
    <s v="POSITIVE SALES"/>
    <n v="7404.48"/>
  </r>
  <r>
    <n v="1488"/>
    <s v="Jennifer"/>
    <s v="Morales"/>
    <s v="Caps"/>
    <n v="0"/>
    <n v="4925.93"/>
    <n v="0.645274074074074"/>
    <n v="0"/>
    <d v="2025-04-27T00:00:00"/>
    <x v="3"/>
    <x v="0"/>
    <n v="2121.1999999999998"/>
    <s v="NEGATIVE SALES"/>
    <n v="0"/>
  </r>
  <r>
    <n v="1489"/>
    <s v="Kimberly"/>
    <s v="Hammond"/>
    <s v="Sneakers"/>
    <n v="-2"/>
    <n v="2681.0133000000001"/>
    <n v="0.645274074074074"/>
    <n v="0"/>
    <d v="2025-05-08T00:00:00"/>
    <x v="4"/>
    <x v="2"/>
    <n v="2102.1999999999998"/>
    <s v="NEGATIVE SALES"/>
    <n v="-5362.0266000000001"/>
  </r>
  <r>
    <n v="1490"/>
    <s v="Wendy"/>
    <s v="Hernandez"/>
    <s v="Classic Tee"/>
    <n v="1"/>
    <n v="2678.8834000000002"/>
    <n v="0.645274074074074"/>
    <n v="0"/>
    <d v="2024-09-12T00:00:00"/>
    <x v="0"/>
    <x v="1"/>
    <n v="230.97"/>
    <s v="NEGATIVE SALES"/>
    <n v="2678.8834000000002"/>
  </r>
  <r>
    <n v="1491"/>
    <s v="Allen"/>
    <s v="Garner"/>
    <s v="Sneakers"/>
    <n v="1"/>
    <n v="2678.8834000000002"/>
    <n v="0.28999999999999998"/>
    <n v="0"/>
    <d v="2024-09-12T00:00:00"/>
    <x v="3"/>
    <x v="2"/>
    <n v="2039.1"/>
    <s v="NEGATIVE SALES"/>
    <n v="2678.8834000000002"/>
  </r>
  <r>
    <n v="1492"/>
    <s v="Richard"/>
    <s v="Stephenson"/>
    <s v="Classic Tee"/>
    <n v="0"/>
    <n v="2678.8834000000002"/>
    <n v="1.07"/>
    <n v="0"/>
    <d v="2024-09-12T00:00:00"/>
    <x v="5"/>
    <x v="2"/>
    <n v="-308.83"/>
    <s v="NEGATIVE SALES"/>
    <n v="0"/>
  </r>
  <r>
    <n v="1493"/>
    <s v="Mr."/>
    <s v="Gary"/>
    <s v="Wrap Dress"/>
    <n v="0"/>
    <n v="2678.8834000000002"/>
    <n v="0.03"/>
    <n v="0"/>
    <d v="2024-09-12T00:00:00"/>
    <x v="5"/>
    <x v="1"/>
    <n v="478.28"/>
    <s v="NEGATIVE SALES"/>
    <n v="0"/>
  </r>
  <r>
    <n v="1494"/>
    <s v="Elizabeth"/>
    <s v="Nelson"/>
    <s v="Straight Cut"/>
    <n v="0"/>
    <n v="4338.0600000000004"/>
    <n v="0.24"/>
    <n v="0"/>
    <d v="2025-03-18T00:00:00"/>
    <x v="2"/>
    <x v="1"/>
    <n v="386.01"/>
    <s v="NEGATIVE SALES"/>
    <n v="0"/>
  </r>
  <r>
    <n v="1495"/>
    <s v="James"/>
    <s v="Mcguire"/>
    <s v="Watches"/>
    <n v="0"/>
    <n v="2261.4899999999998"/>
    <n v="0.64669150521609498"/>
    <n v="0"/>
    <d v="2024-11-05T00:00:00"/>
    <x v="3"/>
    <x v="0"/>
    <n v="2044.15"/>
    <s v="NEGATIVE SALES"/>
    <n v="0"/>
  </r>
  <r>
    <n v="1496"/>
    <s v="Laura"/>
    <s v="Myers"/>
    <s v="Denim Jacket"/>
    <n v="-1"/>
    <n v="4874.76"/>
    <n v="0.64669150521609498"/>
    <n v="0"/>
    <d v="2024-12-29T00:00:00"/>
    <x v="1"/>
    <x v="2"/>
    <n v="2438.13"/>
    <s v="NEGATIVE SALES"/>
    <n v="-4874.76"/>
  </r>
  <r>
    <n v="1497"/>
    <s v="Joseph"/>
    <s v="Anderson"/>
    <s v="Belts"/>
    <n v="0"/>
    <n v="1461.5"/>
    <n v="0.64669150521609498"/>
    <n v="0"/>
    <d v="2024-08-22T00:00:00"/>
    <x v="4"/>
    <x v="0"/>
    <n v="1561.06"/>
    <s v="NEGATIVE SALES"/>
    <n v="0"/>
  </r>
  <r>
    <n v="1498"/>
    <s v="Tiffany"/>
    <s v="Calhoun"/>
    <s v="Straight Cut"/>
    <n v="6"/>
    <n v="3771.67"/>
    <n v="0.64669150521609498"/>
    <n v="0"/>
    <d v="2024-10-01T00:00:00"/>
    <x v="2"/>
    <x v="0"/>
    <n v="2442.42"/>
    <s v="NEGATIVE SALES"/>
    <n v="22630.02"/>
  </r>
  <r>
    <n v="1499"/>
    <s v="Lauren"/>
    <s v="Ellis"/>
    <s v="Crop Top"/>
    <n v="2"/>
    <n v="2676.7689"/>
    <n v="0.64669150521609498"/>
    <n v="0"/>
    <d v="2024-10-01T00:00:00"/>
    <x v="3"/>
    <x v="0"/>
    <n v="2116.52"/>
    <s v="NEGATIVE SALES"/>
    <n v="5353.5378000000001"/>
  </r>
  <r>
    <n v="1500"/>
    <s v="Jerry"/>
    <s v="Turner"/>
    <s v="Straight Cut"/>
    <n v="0"/>
    <n v="2128.7399999999998"/>
    <n v="0.64669150521609498"/>
    <n v="0"/>
    <d v="2024-10-23T00:00:00"/>
    <x v="1"/>
    <x v="2"/>
    <n v="-648.94000000000005"/>
    <s v="NEGATIVE SALES"/>
    <n v="0"/>
  </r>
  <r>
    <n v="1501"/>
    <s v="Brian"/>
    <s v="Maldonado"/>
    <s v="Crop Top"/>
    <n v="-2"/>
    <n v="2675.7251000000001"/>
    <n v="0.65"/>
    <n v="0"/>
    <d v="2024-10-23T00:00:00"/>
    <x v="3"/>
    <x v="1"/>
    <n v="-957.83"/>
    <s v="NEGATIVE SALES"/>
    <n v="-5351.4502000000002"/>
  </r>
  <r>
    <n v="1502"/>
    <s v="Randy"/>
    <s v="Robertson"/>
    <s v="Bodycon"/>
    <n v="0"/>
    <n v="4260.95"/>
    <n v="0.64668656716417905"/>
    <n v="0"/>
    <d v="2024-09-16T00:00:00"/>
    <x v="0"/>
    <x v="1"/>
    <n v="-86.64"/>
    <s v="NEGATIVE SALES"/>
    <n v="0"/>
  </r>
  <r>
    <n v="1503"/>
    <s v="Linda"/>
    <s v="Allen"/>
    <s v="Oversized T-Shirt"/>
    <n v="2"/>
    <n v="4621.79"/>
    <n v="0.32"/>
    <n v="6285.63"/>
    <d v="2025-05-18T00:00:00"/>
    <x v="0"/>
    <x v="0"/>
    <n v="1350.48"/>
    <s v="POSITIVE SALES"/>
    <n v="9243.58"/>
  </r>
  <r>
    <n v="1504"/>
    <s v="James"/>
    <s v="Matthews"/>
    <s v="Loafers"/>
    <n v="2"/>
    <n v="2558.4299999999998"/>
    <n v="0.64717488789237598"/>
    <n v="0"/>
    <d v="2024-11-08T00:00:00"/>
    <x v="3"/>
    <x v="2"/>
    <n v="-360.49"/>
    <s v="NEGATIVE SALES"/>
    <n v="5116.8599999999997"/>
  </r>
  <r>
    <n v="1506"/>
    <s v="Robert"/>
    <s v="Brooks"/>
    <s v="Crop Top"/>
    <n v="0"/>
    <n v="2672.9816000000001"/>
    <n v="0.64717488789237598"/>
    <n v="0"/>
    <d v="2025-06-13T00:00:00"/>
    <x v="3"/>
    <x v="0"/>
    <n v="1406.62"/>
    <s v="NEGATIVE SALES"/>
    <n v="0"/>
  </r>
  <r>
    <n v="1507"/>
    <s v="Michael"/>
    <s v="Smith"/>
    <s v="Puffer Coat"/>
    <n v="0"/>
    <n v="3597.73"/>
    <n v="0.64717488789237598"/>
    <n v="0"/>
    <d v="2024-09-25T00:00:00"/>
    <x v="0"/>
    <x v="1"/>
    <n v="-857.53"/>
    <s v="NEGATIVE SALES"/>
    <n v="0"/>
  </r>
  <r>
    <n v="1508"/>
    <s v="Justin"/>
    <s v="Dean"/>
    <s v="Bodycon"/>
    <n v="-1"/>
    <n v="2674.2806999999998"/>
    <n v="0.64717488789237598"/>
    <n v="0"/>
    <d v="2024-08-26T00:00:00"/>
    <x v="1"/>
    <x v="1"/>
    <n v="1796.35"/>
    <s v="NEGATIVE SALES"/>
    <n v="-2674.2806999999998"/>
  </r>
  <r>
    <n v="1509"/>
    <s v="Rachel"/>
    <s v="Johnston"/>
    <s v="Bodycon"/>
    <n v="0"/>
    <n v="2673.3953999999999"/>
    <n v="0.28000000000000003"/>
    <n v="0"/>
    <d v="2024-10-19T00:00:00"/>
    <x v="3"/>
    <x v="1"/>
    <n v="1333.87"/>
    <s v="NEGATIVE SALES"/>
    <n v="0"/>
  </r>
  <r>
    <n v="1510"/>
    <s v="Susan"/>
    <s v="Bird"/>
    <s v="Graphic Tee"/>
    <n v="0"/>
    <n v="1897.11"/>
    <n v="0.64772455089820302"/>
    <n v="0"/>
    <d v="2025-05-04T00:00:00"/>
    <x v="0"/>
    <x v="0"/>
    <n v="-345.3"/>
    <s v="NEGATIVE SALES"/>
    <n v="0"/>
  </r>
  <r>
    <n v="1511"/>
    <s v="Michael"/>
    <s v="Ruiz"/>
    <s v="Puffer Coat"/>
    <n v="0"/>
    <n v="2673.3953999999999"/>
    <n v="0.93"/>
    <n v="0"/>
    <d v="2024-11-10T00:00:00"/>
    <x v="5"/>
    <x v="2"/>
    <n v="-521.84"/>
    <s v="NEGATIVE SALES"/>
    <n v="0"/>
  </r>
  <r>
    <n v="1512"/>
    <s v="Sarah"/>
    <s v="Stokes"/>
    <s v="Sunglasses"/>
    <n v="0"/>
    <n v="2674.1404000000002"/>
    <n v="0.64730134932533701"/>
    <n v="0"/>
    <d v="2024-06-15T00:00:00"/>
    <x v="0"/>
    <x v="0"/>
    <n v="352.91"/>
    <s v="NEGATIVE SALES"/>
    <n v="0"/>
  </r>
  <r>
    <n v="1513"/>
    <s v="Laura"/>
    <s v="Simmons"/>
    <s v="Leather Jacket"/>
    <n v="6"/>
    <n v="2674.1404000000002"/>
    <n v="0.64730134932533701"/>
    <n v="0"/>
    <d v="2024-04-20T00:00:00"/>
    <x v="0"/>
    <x v="0"/>
    <n v="156.52000000000001"/>
    <s v="NEGATIVE SALES"/>
    <n v="16044.8424"/>
  </r>
  <r>
    <n v="1514"/>
    <s v="Kenneth"/>
    <s v="Mcdaniel"/>
    <s v="Oversized T-Shirt"/>
    <n v="0"/>
    <n v="2343.7199999999998"/>
    <n v="0.64730134932533701"/>
    <n v="0"/>
    <d v="2025-06-02T00:00:00"/>
    <x v="2"/>
    <x v="1"/>
    <n v="-760.9"/>
    <s v="NEGATIVE SALES"/>
    <n v="0"/>
  </r>
  <r>
    <n v="1515"/>
    <s v="Lauren"/>
    <s v="Bailey"/>
    <s v="Sunglasses"/>
    <n v="3"/>
    <n v="4596.03"/>
    <n v="0.64730134932533701"/>
    <n v="0"/>
    <d v="2025-07-01T00:00:00"/>
    <x v="0"/>
    <x v="1"/>
    <n v="-866.29"/>
    <s v="NEGATIVE SALES"/>
    <n v="13788.09"/>
  </r>
  <r>
    <n v="1516"/>
    <s v="Brittany"/>
    <s v="Munoz"/>
    <s v="Casual Midi"/>
    <n v="-1"/>
    <n v="1039.31"/>
    <n v="0.94"/>
    <n v="-62.36"/>
    <d v="2025-07-01T00:00:00"/>
    <x v="1"/>
    <x v="2"/>
    <n v="-104.79"/>
    <s v="NEGATIVE SALES"/>
    <n v="-1039.31"/>
  </r>
  <r>
    <n v="1517"/>
    <s v="Benjamin"/>
    <s v="Lutz"/>
    <s v="Slim Fit Jeans"/>
    <n v="0"/>
    <n v="4944.25"/>
    <n v="0.64686186186186201"/>
    <n v="0"/>
    <d v="2024-10-05T00:00:00"/>
    <x v="1"/>
    <x v="2"/>
    <n v="-157.21"/>
    <s v="NEGATIVE SALES"/>
    <n v="0"/>
  </r>
  <r>
    <n v="1518"/>
    <s v="Andrew"/>
    <s v="Williams"/>
    <s v="Slim Fit Jeans"/>
    <n v="0"/>
    <n v="706.71"/>
    <n v="0.64686186186186201"/>
    <n v="0"/>
    <d v="2025-06-23T00:00:00"/>
    <x v="0"/>
    <x v="1"/>
    <n v="-285.44"/>
    <s v="NEGATIVE SALES"/>
    <n v="0"/>
  </r>
  <r>
    <n v="1519"/>
    <s v="Jennifer"/>
    <s v="Alvarado"/>
    <s v="Belts"/>
    <n v="1"/>
    <n v="3762.86"/>
    <n v="0.64686186186186201"/>
    <n v="0"/>
    <d v="2024-10-17T00:00:00"/>
    <x v="2"/>
    <x v="2"/>
    <n v="2567.73"/>
    <s v="NEGATIVE SALES"/>
    <n v="3762.86"/>
  </r>
  <r>
    <n v="1520"/>
    <s v="James"/>
    <s v="Taylor"/>
    <s v="Crop Top"/>
    <n v="4"/>
    <n v="2673.8903"/>
    <n v="0.71"/>
    <n v="0"/>
    <d v="2025-04-30T00:00:00"/>
    <x v="2"/>
    <x v="1"/>
    <n v="-822.18"/>
    <s v="NEGATIVE SALES"/>
    <n v="10695.5612"/>
  </r>
  <r>
    <n v="1521"/>
    <s v="Krista"/>
    <s v="Nichols"/>
    <s v="Straight Cut"/>
    <n v="0"/>
    <n v="2362.0300000000002"/>
    <n v="1.27"/>
    <n v="0"/>
    <d v="2025-05-11T00:00:00"/>
    <x v="5"/>
    <x v="1"/>
    <n v="-943.46"/>
    <s v="NEGATIVE SALES"/>
    <n v="0"/>
  </r>
  <r>
    <n v="1522"/>
    <s v="Juan"/>
    <s v="Rogers"/>
    <s v="Sunglasses"/>
    <n v="6"/>
    <n v="2672.8391999999999"/>
    <n v="0.44"/>
    <n v="0"/>
    <d v="2024-07-30T00:00:00"/>
    <x v="3"/>
    <x v="2"/>
    <n v="547.09"/>
    <s v="NEGATIVE SALES"/>
    <n v="16037.0352"/>
  </r>
  <r>
    <n v="1523"/>
    <s v="Bradley"/>
    <s v="Rogers"/>
    <s v="Oversized T-Shirt"/>
    <n v="-2"/>
    <n v="2673.1395000000002"/>
    <n v="0.13"/>
    <n v="0"/>
    <d v="2023-12-16T00:00:00"/>
    <x v="1"/>
    <x v="2"/>
    <n v="1475.12"/>
    <s v="NEGATIVE SALES"/>
    <n v="-5346.2790000000005"/>
  </r>
  <r>
    <n v="1524"/>
    <s v="Cameron"/>
    <s v="Bowen"/>
    <s v="Wrap Dress"/>
    <n v="0"/>
    <n v="2673.1395000000002"/>
    <n v="0.47"/>
    <n v="0"/>
    <d v="2025-07-15T00:00:00"/>
    <x v="5"/>
    <x v="0"/>
    <n v="2668.06"/>
    <s v="NEGATIVE SALES"/>
    <n v="0"/>
  </r>
  <r>
    <n v="1525"/>
    <s v="David"/>
    <s v="Morales"/>
    <s v="Watches"/>
    <n v="5"/>
    <n v="4591.26"/>
    <n v="0.64718608169440195"/>
    <n v="0"/>
    <d v="2025-01-03T00:00:00"/>
    <x v="5"/>
    <x v="2"/>
    <n v="-602.79999999999995"/>
    <s v="NEGATIVE SALES"/>
    <n v="22956.3"/>
  </r>
  <r>
    <n v="1526"/>
    <s v="Rachel"/>
    <s v="Rios"/>
    <s v="Sneakers"/>
    <n v="2"/>
    <n v="1884.25"/>
    <n v="0.64718608169440195"/>
    <n v="0"/>
    <d v="2024-10-11T00:00:00"/>
    <x v="3"/>
    <x v="1"/>
    <n v="1177.57"/>
    <s v="NEGATIVE SALES"/>
    <n v="3768.5"/>
  </r>
  <r>
    <n v="1527"/>
    <s v="Mary"/>
    <s v="Campos"/>
    <s v="Slim Fit Jeans"/>
    <n v="0"/>
    <n v="3431.26"/>
    <n v="0.64718608169440195"/>
    <n v="0"/>
    <d v="2023-08-15T00:00:00"/>
    <x v="3"/>
    <x v="0"/>
    <n v="1931.28"/>
    <s v="NEGATIVE SALES"/>
    <n v="0"/>
  </r>
  <r>
    <n v="1529"/>
    <s v="John"/>
    <s v="Robinson"/>
    <s v="Classic Tee"/>
    <n v="0"/>
    <n v="3381.7"/>
    <n v="0.64718608169440195"/>
    <n v="0"/>
    <d v="2025-03-18T00:00:00"/>
    <x v="0"/>
    <x v="1"/>
    <n v="2953.76"/>
    <s v="NEGATIVE SALES"/>
    <n v="0"/>
  </r>
  <r>
    <n v="1530"/>
    <s v="Michael"/>
    <s v="Erickson"/>
    <s v="Denim Jacket"/>
    <n v="6"/>
    <n v="2671.3105999999998"/>
    <n v="0.64718608169440195"/>
    <n v="0"/>
    <d v="2024-09-30T00:00:00"/>
    <x v="5"/>
    <x v="0"/>
    <n v="1451.55"/>
    <s v="NEGATIVE SALES"/>
    <n v="16027.863600000001"/>
  </r>
  <r>
    <n v="1531"/>
    <s v="Yesenia"/>
    <s v="Thompson"/>
    <s v="Ripped Denim"/>
    <n v="0"/>
    <n v="2670.6215999999999"/>
    <n v="0.37"/>
    <n v="0"/>
    <d v="2025-06-11T00:00:00"/>
    <x v="1"/>
    <x v="2"/>
    <n v="-173.83"/>
    <s v="NEGATIVE SALES"/>
    <n v="0"/>
  </r>
  <r>
    <n v="1532"/>
    <s v="Teresa"/>
    <s v="Davis"/>
    <s v="Oversized T-Shirt"/>
    <n v="0"/>
    <n v="2670.6215999999999"/>
    <n v="0.33"/>
    <n v="0"/>
    <d v="2023-08-29T00:00:00"/>
    <x v="2"/>
    <x v="2"/>
    <n v="2512.66"/>
    <s v="NEGATIVE SALES"/>
    <n v="0"/>
  </r>
  <r>
    <n v="1533"/>
    <s v="Mark"/>
    <s v="Reed"/>
    <s v="Bodycon"/>
    <n v="0"/>
    <n v="3965.94"/>
    <n v="0.64808801213960499"/>
    <n v="0"/>
    <d v="2024-12-11T00:00:00"/>
    <x v="2"/>
    <x v="1"/>
    <n v="-759.07"/>
    <s v="NEGATIVE SALES"/>
    <n v="0"/>
  </r>
  <r>
    <n v="1534"/>
    <s v="Colin"/>
    <s v="Lewis"/>
    <s v="Graphic Tee"/>
    <n v="0"/>
    <n v="2670.6215999999999"/>
    <n v="0.64808801213960499"/>
    <n v="0"/>
    <d v="2025-04-25T00:00:00"/>
    <x v="0"/>
    <x v="2"/>
    <n v="-836.06"/>
    <s v="NEGATIVE SALES"/>
    <n v="0"/>
  </r>
  <r>
    <n v="1535"/>
    <s v="Austin"/>
    <s v="Barrett"/>
    <s v="Caps"/>
    <n v="0"/>
    <n v="720.35"/>
    <n v="0.64808801213960499"/>
    <n v="0"/>
    <d v="2023-12-22T00:00:00"/>
    <x v="3"/>
    <x v="1"/>
    <n v="1359.17"/>
    <s v="NEGATIVE SALES"/>
    <n v="0"/>
  </r>
  <r>
    <n v="1536"/>
    <s v="Mark"/>
    <s v="Compton"/>
    <s v="Bodycon"/>
    <n v="1"/>
    <n v="2669.364"/>
    <n v="0.64808801213960499"/>
    <n v="0"/>
    <d v="2025-05-13T00:00:00"/>
    <x v="0"/>
    <x v="2"/>
    <n v="1966.62"/>
    <s v="NEGATIVE SALES"/>
    <n v="2669.364"/>
  </r>
  <r>
    <n v="1537"/>
    <s v="Jonathan"/>
    <s v="Holmes"/>
    <s v="Ripped Denim"/>
    <n v="-1"/>
    <n v="2671.2581"/>
    <n v="0.9"/>
    <n v="0"/>
    <d v="2025-05-13T00:00:00"/>
    <x v="3"/>
    <x v="1"/>
    <n v="68.260000000000005"/>
    <s v="NEGATIVE SALES"/>
    <n v="-2671.2581"/>
  </r>
  <r>
    <n v="1538"/>
    <s v="Sabrina"/>
    <s v="Barnett"/>
    <s v="Bodycon"/>
    <n v="0"/>
    <n v="4767.6099999999997"/>
    <n v="0.01"/>
    <n v="0"/>
    <d v="2025-05-13T00:00:00"/>
    <x v="1"/>
    <x v="2"/>
    <n v="-956.8"/>
    <s v="NEGATIVE SALES"/>
    <n v="0"/>
  </r>
  <r>
    <n v="1539"/>
    <s v="Sheryl"/>
    <s v="Davis"/>
    <s v="Straight Cut"/>
    <n v="0"/>
    <n v="2891.64"/>
    <n v="0.64867579908675799"/>
    <n v="0"/>
    <d v="2025-05-13T00:00:00"/>
    <x v="2"/>
    <x v="1"/>
    <n v="2309.23"/>
    <s v="NEGATIVE SALES"/>
    <n v="0"/>
  </r>
  <r>
    <n v="1540"/>
    <s v="Kurt"/>
    <s v="Murillo"/>
    <s v="Puffer Coat"/>
    <n v="0"/>
    <n v="2669.2188999999998"/>
    <n v="0.64867579908675799"/>
    <n v="0"/>
    <d v="2025-01-06T00:00:00"/>
    <x v="1"/>
    <x v="1"/>
    <n v="815.28"/>
    <s v="NEGATIVE SALES"/>
    <n v="0"/>
  </r>
  <r>
    <n v="1541"/>
    <s v="Michael"/>
    <s v="Hodge"/>
    <s v="Caps"/>
    <n v="0"/>
    <n v="2989.4"/>
    <n v="0.64867579908675799"/>
    <n v="0"/>
    <d v="2025-03-29T00:00:00"/>
    <x v="2"/>
    <x v="0"/>
    <n v="-530.72"/>
    <s v="NEGATIVE SALES"/>
    <n v="0"/>
  </r>
  <r>
    <n v="1542"/>
    <s v="Sarah"/>
    <s v="Welch"/>
    <s v="Bomber Jacket"/>
    <n v="1"/>
    <n v="2044.17"/>
    <n v="0.64867579908675799"/>
    <n v="0"/>
    <d v="2025-03-29T00:00:00"/>
    <x v="4"/>
    <x v="1"/>
    <n v="-798.37"/>
    <s v="NEGATIVE SALES"/>
    <n v="2044.17"/>
  </r>
  <r>
    <n v="1543"/>
    <s v="Angela"/>
    <s v="Young"/>
    <s v="Bodycon"/>
    <n v="1"/>
    <n v="4440.24"/>
    <n v="0.32"/>
    <n v="3019.36"/>
    <d v="2025-03-29T00:00:00"/>
    <x v="1"/>
    <x v="2"/>
    <n v="1884.06"/>
    <s v="POSITIVE SALES"/>
    <n v="4440.24"/>
  </r>
  <r>
    <n v="1544"/>
    <s v="Karen"/>
    <s v="Contreras"/>
    <s v="Maxi Dress"/>
    <n v="6"/>
    <n v="2669.2993000000001"/>
    <n v="0.64917682926829201"/>
    <n v="0"/>
    <d v="2025-03-29T00:00:00"/>
    <x v="3"/>
    <x v="1"/>
    <n v="87.47"/>
    <s v="NEGATIVE SALES"/>
    <n v="16015.7958"/>
  </r>
  <r>
    <n v="1545"/>
    <s v="Anthony"/>
    <s v="Stephens"/>
    <s v="Casual Midi"/>
    <n v="1"/>
    <n v="2667.5699"/>
    <n v="0.64917682926829201"/>
    <n v="0"/>
    <d v="2025-06-19T00:00:00"/>
    <x v="5"/>
    <x v="2"/>
    <n v="2526.29"/>
    <s v="NEGATIVE SALES"/>
    <n v="2667.5699"/>
  </r>
  <r>
    <n v="1546"/>
    <s v="Daniel"/>
    <s v="Brady"/>
    <s v="Oversized T-Shirt"/>
    <n v="0"/>
    <n v="2667.5699"/>
    <n v="0.64917682926829201"/>
    <n v="0"/>
    <d v="2024-09-03T00:00:00"/>
    <x v="1"/>
    <x v="1"/>
    <n v="1978.16"/>
    <s v="NEGATIVE SALES"/>
    <n v="0"/>
  </r>
  <r>
    <n v="1547"/>
    <s v="Carlos"/>
    <s v="Rogers"/>
    <s v="Maxi Dress"/>
    <n v="6"/>
    <n v="2667.5699"/>
    <n v="0.95"/>
    <n v="0"/>
    <d v="2025-05-15T00:00:00"/>
    <x v="4"/>
    <x v="2"/>
    <n v="1018.03"/>
    <s v="NEGATIVE SALES"/>
    <n v="16005.419400000001"/>
  </r>
  <r>
    <n v="1548"/>
    <s v="David"/>
    <s v="Garcia"/>
    <s v="Bomber Jacket"/>
    <n v="0"/>
    <n v="2273.15"/>
    <n v="0.64871755725190805"/>
    <n v="0"/>
    <d v="2025-05-15T00:00:00"/>
    <x v="1"/>
    <x v="0"/>
    <n v="-701.47"/>
    <s v="NEGATIVE SALES"/>
    <n v="0"/>
  </r>
  <r>
    <n v="1549"/>
    <s v="Jenna"/>
    <s v="Wong"/>
    <s v="Sunglasses"/>
    <n v="0"/>
    <n v="2465.23"/>
    <n v="0.42"/>
    <n v="0"/>
    <d v="2025-05-15T00:00:00"/>
    <x v="3"/>
    <x v="1"/>
    <n v="256.3"/>
    <s v="NEGATIVE SALES"/>
    <n v="0"/>
  </r>
  <r>
    <n v="1550"/>
    <s v="Bradley"/>
    <s v="Oneal"/>
    <s v="Leather Jacket"/>
    <n v="1"/>
    <n v="2667.9553999999998"/>
    <n v="0.1"/>
    <n v="0"/>
    <d v="2024-10-01T00:00:00"/>
    <x v="4"/>
    <x v="0"/>
    <n v="2195.27"/>
    <s v="NEGATIVE SALES"/>
    <n v="2667.9553999999998"/>
  </r>
  <r>
    <n v="1551"/>
    <s v="Stanley"/>
    <s v="Velez"/>
    <s v="Leather Jacket"/>
    <n v="0"/>
    <n v="2656.77"/>
    <n v="1.05"/>
    <n v="0"/>
    <d v="2024-10-01T00:00:00"/>
    <x v="2"/>
    <x v="0"/>
    <n v="2293.08"/>
    <s v="NEGATIVE SALES"/>
    <n v="0"/>
  </r>
  <r>
    <n v="1552"/>
    <s v="Daniel"/>
    <s v="Villegas"/>
    <s v="Slip-Ons"/>
    <n v="0"/>
    <n v="883.76"/>
    <n v="0.64929447852760702"/>
    <n v="0"/>
    <d v="2024-10-01T00:00:00"/>
    <x v="1"/>
    <x v="1"/>
    <n v="-572.62"/>
    <s v="NEGATIVE SALES"/>
    <n v="0"/>
  </r>
  <r>
    <n v="1553"/>
    <s v="Denise"/>
    <s v="Snyder"/>
    <s v="Belts"/>
    <n v="1"/>
    <n v="2668.1649000000002"/>
    <n v="0.64929447852760702"/>
    <n v="0"/>
    <d v="2024-10-01T00:00:00"/>
    <x v="5"/>
    <x v="0"/>
    <n v="2824.43"/>
    <s v="NEGATIVE SALES"/>
    <n v="2668.1649000000002"/>
  </r>
  <r>
    <n v="1554"/>
    <s v="Christian"/>
    <s v="Williamson"/>
    <s v="Loafers"/>
    <n v="0"/>
    <n v="2345.71"/>
    <n v="0.64929447852760702"/>
    <n v="0"/>
    <d v="2025-04-22T00:00:00"/>
    <x v="4"/>
    <x v="1"/>
    <n v="2041.71"/>
    <s v="NEGATIVE SALES"/>
    <n v="0"/>
  </r>
  <r>
    <n v="1555"/>
    <s v="Linda"/>
    <s v="Estrada"/>
    <s v="Belts"/>
    <n v="0"/>
    <n v="2669.9142999999999"/>
    <n v="0.64929447852760702"/>
    <n v="0"/>
    <d v="2025-04-22T00:00:00"/>
    <x v="3"/>
    <x v="0"/>
    <n v="312.38"/>
    <s v="NEGATIVE SALES"/>
    <n v="0"/>
  </r>
  <r>
    <n v="1556"/>
    <s v="Courtney"/>
    <s v="Page"/>
    <s v="Boyfriend Jeans"/>
    <n v="0"/>
    <n v="453.92"/>
    <n v="0.64929447852760702"/>
    <n v="0"/>
    <d v="2024-12-02T00:00:00"/>
    <x v="3"/>
    <x v="2"/>
    <n v="2308.0100000000002"/>
    <s v="NEGATIVE SALES"/>
    <n v="0"/>
  </r>
  <r>
    <n v="1557"/>
    <s v="Timothy"/>
    <s v="Garcia"/>
    <s v="Puffer Coat"/>
    <n v="0"/>
    <n v="4402.3999999999996"/>
    <n v="0.64929447852760702"/>
    <n v="0"/>
    <d v="2025-01-12T00:00:00"/>
    <x v="5"/>
    <x v="0"/>
    <n v="-594.21"/>
    <s v="NEGATIVE SALES"/>
    <n v="0"/>
  </r>
  <r>
    <n v="1558"/>
    <s v="Jacob"/>
    <s v="Williams"/>
    <s v="Graphic Tee"/>
    <n v="-2"/>
    <n v="2672.4096"/>
    <n v="0.64929447852760702"/>
    <n v="0"/>
    <d v="2023-12-13T00:00:00"/>
    <x v="4"/>
    <x v="1"/>
    <n v="300.17"/>
    <s v="NEGATIVE SALES"/>
    <n v="-5344.8191999999999"/>
  </r>
  <r>
    <n v="1559"/>
    <s v="William"/>
    <s v="Phillips"/>
    <s v="Leather Jacket"/>
    <n v="0"/>
    <n v="2670.7085000000002"/>
    <n v="0.09"/>
    <n v="0"/>
    <d v="2023-12-13T00:00:00"/>
    <x v="2"/>
    <x v="0"/>
    <n v="-548.17999999999995"/>
    <s v="NEGATIVE SALES"/>
    <n v="0"/>
  </r>
  <r>
    <n v="1560"/>
    <s v="Angela"/>
    <s v="Graham"/>
    <s v="Caps"/>
    <n v="0"/>
    <n v="2670.7085000000002"/>
    <n v="0.71"/>
    <n v="0"/>
    <d v="2025-01-14T00:00:00"/>
    <x v="5"/>
    <x v="2"/>
    <n v="574.85"/>
    <s v="NEGATIVE SALES"/>
    <n v="0"/>
  </r>
  <r>
    <n v="1561"/>
    <s v="Melissa"/>
    <s v="Smith"/>
    <s v="Sneakers"/>
    <n v="4"/>
    <n v="2670.7085000000002"/>
    <n v="0.65006153846153802"/>
    <n v="0"/>
    <d v="2025-01-11T00:00:00"/>
    <x v="0"/>
    <x v="1"/>
    <n v="2513.2399999999998"/>
    <s v="NEGATIVE SALES"/>
    <n v="10682.834000000001"/>
  </r>
  <r>
    <n v="1562"/>
    <s v="Richard"/>
    <s v="Harris"/>
    <s v="Caps"/>
    <n v="0"/>
    <n v="2670.7085000000002"/>
    <n v="0.65006153846153802"/>
    <n v="0"/>
    <d v="2025-01-11T00:00:00"/>
    <x v="5"/>
    <x v="2"/>
    <n v="930.14"/>
    <s v="NEGATIVE SALES"/>
    <n v="0"/>
  </r>
  <r>
    <n v="1563"/>
    <s v="Cassie"/>
    <s v="Johnson"/>
    <s v="Maxi Dress"/>
    <n v="5"/>
    <n v="1571.12"/>
    <n v="0.65"/>
    <n v="2749.46"/>
    <d v="2025-01-11T00:00:00"/>
    <x v="1"/>
    <x v="1"/>
    <n v="103.28"/>
    <s v="POSITIVE SALES"/>
    <n v="7855.6"/>
  </r>
  <r>
    <n v="1564"/>
    <s v="Jerome"/>
    <s v="Martinez"/>
    <s v="Boyfriend Jeans"/>
    <n v="2"/>
    <n v="2670.7085000000002"/>
    <n v="0.67"/>
    <n v="0"/>
    <d v="2025-01-11T00:00:00"/>
    <x v="4"/>
    <x v="0"/>
    <n v="-953.17"/>
    <s v="NEGATIVE SALES"/>
    <n v="5341.4170000000004"/>
  </r>
  <r>
    <n v="1565"/>
    <s v="Angel"/>
    <s v="Gonzalez"/>
    <s v="Caps"/>
    <n v="0"/>
    <n v="1867.24"/>
    <n v="0.19"/>
    <n v="0"/>
    <d v="2025-05-04T00:00:00"/>
    <x v="4"/>
    <x v="2"/>
    <n v="784.96"/>
    <s v="NEGATIVE SALES"/>
    <n v="0"/>
  </r>
  <r>
    <n v="1566"/>
    <s v="Brooke"/>
    <s v="Garcia"/>
    <s v="Puffer Coat"/>
    <n v="0"/>
    <n v="1696.72"/>
    <n v="0.65074188562596602"/>
    <n v="0"/>
    <d v="2024-08-12T00:00:00"/>
    <x v="1"/>
    <x v="2"/>
    <n v="953.07"/>
    <s v="NEGATIVE SALES"/>
    <n v="0"/>
  </r>
  <r>
    <n v="1567"/>
    <s v="Andre"/>
    <s v="Stone"/>
    <s v="Belts"/>
    <n v="0"/>
    <n v="2672.5835000000002"/>
    <n v="0.65074188562596602"/>
    <n v="0"/>
    <d v="2024-08-12T00:00:00"/>
    <x v="5"/>
    <x v="1"/>
    <n v="2545.25"/>
    <s v="NEGATIVE SALES"/>
    <n v="0"/>
  </r>
  <r>
    <n v="1568"/>
    <s v="Toni"/>
    <s v="Marquez"/>
    <s v="Ripped Denim"/>
    <n v="6"/>
    <n v="2673.5459000000001"/>
    <n v="0.65074188562596602"/>
    <n v="0"/>
    <d v="2024-08-12T00:00:00"/>
    <x v="0"/>
    <x v="0"/>
    <n v="2403.0100000000002"/>
    <s v="NEGATIVE SALES"/>
    <n v="16041.2754"/>
  </r>
  <r>
    <n v="1569"/>
    <s v="David"/>
    <s v="Weaver"/>
    <s v="Maxi Dress"/>
    <n v="1"/>
    <n v="2673.5459000000001"/>
    <n v="0.02"/>
    <n v="0"/>
    <d v="2025-04-26T00:00:00"/>
    <x v="1"/>
    <x v="1"/>
    <n v="576.66"/>
    <s v="NEGATIVE SALES"/>
    <n v="2673.5459000000001"/>
  </r>
  <r>
    <n v="1570"/>
    <s v="William"/>
    <s v="Aguilar"/>
    <s v="Leather Jacket"/>
    <n v="1"/>
    <n v="4774.7700000000004"/>
    <n v="0.96"/>
    <n v="190.99"/>
    <d v="2025-04-08T00:00:00"/>
    <x v="2"/>
    <x v="0"/>
    <n v="-146.16999999999999"/>
    <s v="POSITIVE SALES"/>
    <n v="4774.7700000000004"/>
  </r>
  <r>
    <n v="1571"/>
    <s v="William"/>
    <s v="James"/>
    <s v="Denim Jacket"/>
    <n v="3"/>
    <n v="1308.06"/>
    <n v="0.65124031007751904"/>
    <n v="0"/>
    <d v="2025-04-08T00:00:00"/>
    <x v="4"/>
    <x v="0"/>
    <n v="-246.91"/>
    <s v="NEGATIVE SALES"/>
    <n v="3924.18"/>
  </r>
  <r>
    <n v="1572"/>
    <s v="Ross"/>
    <s v="Taylor"/>
    <s v="Leather Jacket"/>
    <n v="4"/>
    <n v="2671.4715999999999"/>
    <n v="0.82"/>
    <n v="0"/>
    <d v="2025-02-19T00:00:00"/>
    <x v="0"/>
    <x v="1"/>
    <n v="534.6"/>
    <s v="NEGATIVE SALES"/>
    <n v="10685.886399999999"/>
  </r>
  <r>
    <n v="1573"/>
    <s v="Jeff"/>
    <s v="Weaver"/>
    <s v="Ripped Denim"/>
    <n v="0"/>
    <n v="3972.78"/>
    <n v="0.65097826086956501"/>
    <n v="0"/>
    <d v="2024-12-01T00:00:00"/>
    <x v="5"/>
    <x v="1"/>
    <n v="-902.58"/>
    <s v="NEGATIVE SALES"/>
    <n v="0"/>
  </r>
  <r>
    <n v="1574"/>
    <s v="Megan"/>
    <s v="Rodriguez"/>
    <s v="Belts"/>
    <n v="-1"/>
    <n v="2672.8189000000002"/>
    <n v="0.65097826086956501"/>
    <n v="0"/>
    <d v="2025-03-13T00:00:00"/>
    <x v="1"/>
    <x v="2"/>
    <n v="-803.35"/>
    <s v="NEGATIVE SALES"/>
    <n v="-2672.8189000000002"/>
  </r>
  <r>
    <n v="1575"/>
    <s v="Aaron"/>
    <s v="Patel"/>
    <s v="Graphic Tee"/>
    <n v="0"/>
    <n v="615.07000000000005"/>
    <n v="0.65097826086956501"/>
    <n v="0"/>
    <d v="2024-10-01T00:00:00"/>
    <x v="1"/>
    <x v="1"/>
    <n v="638.16"/>
    <s v="NEGATIVE SALES"/>
    <n v="0"/>
  </r>
  <r>
    <n v="1576"/>
    <s v="Rick"/>
    <s v="Moran"/>
    <s v="Denim Jacket"/>
    <n v="1"/>
    <n v="1882.14"/>
    <n v="0.6"/>
    <n v="752.86"/>
    <d v="2025-01-05T00:00:00"/>
    <x v="1"/>
    <x v="2"/>
    <n v="2554.79"/>
    <s v="POSITIVE SALES"/>
    <n v="1882.14"/>
  </r>
  <r>
    <n v="1578"/>
    <s v="Lauren"/>
    <s v="Pearson"/>
    <s v="Maxi Dress"/>
    <n v="0"/>
    <n v="2674.3535000000002"/>
    <n v="0.65196261682242995"/>
    <n v="0"/>
    <d v="2024-07-26T00:00:00"/>
    <x v="3"/>
    <x v="0"/>
    <n v="2604.12"/>
    <s v="NEGATIVE SALES"/>
    <n v="0"/>
  </r>
  <r>
    <n v="1579"/>
    <s v="Wesley"/>
    <s v="Harper"/>
    <s v="Boots"/>
    <n v="3"/>
    <n v="2673.8968"/>
    <n v="0.65196261682242995"/>
    <n v="0"/>
    <d v="2025-02-18T00:00:00"/>
    <x v="5"/>
    <x v="2"/>
    <n v="-155.77000000000001"/>
    <s v="NEGATIVE SALES"/>
    <n v="8021.6904000000004"/>
  </r>
  <r>
    <n v="1580"/>
    <s v="Faith"/>
    <s v="Ray"/>
    <s v="Wrap Dress"/>
    <n v="0"/>
    <n v="2673.8968"/>
    <n v="0.65196261682242995"/>
    <n v="0"/>
    <d v="2025-06-22T00:00:00"/>
    <x v="5"/>
    <x v="2"/>
    <n v="-364.57"/>
    <s v="NEGATIVE SALES"/>
    <n v="0"/>
  </r>
  <r>
    <n v="1581"/>
    <s v="Donald"/>
    <s v="Brown"/>
    <s v="Straight Cut"/>
    <n v="0"/>
    <n v="2673.8968"/>
    <n v="0.65196261682242995"/>
    <n v="0"/>
    <d v="2025-06-26T00:00:00"/>
    <x v="0"/>
    <x v="1"/>
    <n v="1109.06"/>
    <s v="NEGATIVE SALES"/>
    <n v="0"/>
  </r>
  <r>
    <n v="1582"/>
    <s v="David"/>
    <s v="Noble"/>
    <s v="Slim Fit Jeans"/>
    <n v="1"/>
    <n v="4809.8999999999996"/>
    <n v="0.92"/>
    <n v="384.79"/>
    <d v="2024-09-28T00:00:00"/>
    <x v="2"/>
    <x v="1"/>
    <n v="-356.01"/>
    <s v="POSITIVE SALES"/>
    <n v="4809.8999999999996"/>
  </r>
  <r>
    <n v="1583"/>
    <s v="Anthony"/>
    <s v="Calhoun"/>
    <s v="Casual Midi"/>
    <n v="0"/>
    <n v="2673.8968"/>
    <n v="0.65154446177847103"/>
    <n v="0"/>
    <d v="2024-03-29T00:00:00"/>
    <x v="4"/>
    <x v="2"/>
    <n v="829.03"/>
    <s v="NEGATIVE SALES"/>
    <n v="0"/>
  </r>
  <r>
    <n v="1584"/>
    <s v="Bryan"/>
    <s v="Hughes"/>
    <s v="Bodycon"/>
    <n v="5"/>
    <n v="2671.7757000000001"/>
    <n v="0.15"/>
    <n v="0"/>
    <d v="2024-08-27T00:00:00"/>
    <x v="1"/>
    <x v="2"/>
    <n v="2853.8"/>
    <s v="NEGATIVE SALES"/>
    <n v="13358.878500000001"/>
  </r>
  <r>
    <n v="1585"/>
    <s v="Tina"/>
    <s v="Keith"/>
    <s v="Sneakers"/>
    <n v="-2"/>
    <n v="2738.72"/>
    <n v="0.89"/>
    <n v="-602.52"/>
    <d v="2024-11-11T00:00:00"/>
    <x v="0"/>
    <x v="1"/>
    <n v="-709.13"/>
    <s v="NEGATIVE SALES"/>
    <n v="-5477.44"/>
  </r>
  <r>
    <n v="1586"/>
    <s v="Scott"/>
    <s v="Carroll"/>
    <s v="Loafers"/>
    <n v="0"/>
    <n v="2671.7757000000001"/>
    <n v="0.78"/>
    <n v="0"/>
    <d v="2024-08-04T00:00:00"/>
    <x v="4"/>
    <x v="2"/>
    <n v="1765.79"/>
    <s v="NEGATIVE SALES"/>
    <n v="0"/>
  </r>
  <r>
    <n v="1587"/>
    <s v="Leslie"/>
    <s v="Jones"/>
    <s v="Loafers"/>
    <n v="-1"/>
    <n v="2671.7091"/>
    <n v="0.65175548589341603"/>
    <n v="0"/>
    <d v="2024-08-04T00:00:00"/>
    <x v="2"/>
    <x v="0"/>
    <n v="1376.9"/>
    <s v="NEGATIVE SALES"/>
    <n v="-2671.7091"/>
  </r>
  <r>
    <n v="1588"/>
    <s v="Amanda"/>
    <s v="Wilkinson"/>
    <s v="Sunglasses"/>
    <n v="1"/>
    <n v="2671.7091"/>
    <n v="0.65175548589341603"/>
    <n v="0"/>
    <d v="2025-05-03T00:00:00"/>
    <x v="0"/>
    <x v="2"/>
    <n v="526.32000000000005"/>
    <s v="NEGATIVE SALES"/>
    <n v="2671.7091"/>
  </r>
  <r>
    <n v="1589"/>
    <s v="Scott"/>
    <s v="Davis"/>
    <s v="Loafers"/>
    <n v="0"/>
    <n v="527.07000000000005"/>
    <n v="0.45"/>
    <n v="0"/>
    <d v="2025-05-03T00:00:00"/>
    <x v="2"/>
    <x v="0"/>
    <n v="2617.9899999999998"/>
    <s v="NEGATIVE SALES"/>
    <n v="0"/>
  </r>
  <r>
    <n v="1590"/>
    <s v="Jesse"/>
    <s v="Kennedy"/>
    <s v="Maxi Dress"/>
    <n v="6"/>
    <n v="2671.7091"/>
    <n v="0.67"/>
    <n v="0"/>
    <d v="2025-05-03T00:00:00"/>
    <x v="3"/>
    <x v="2"/>
    <n v="-104.43"/>
    <s v="NEGATIVE SALES"/>
    <n v="16030.2546"/>
  </r>
  <r>
    <n v="1591"/>
    <s v="Bradley"/>
    <s v="Lewis"/>
    <s v="Graphic Tee"/>
    <n v="0"/>
    <n v="2673.8431"/>
    <n v="0.65204402515723203"/>
    <n v="0"/>
    <d v="2025-05-31T00:00:00"/>
    <x v="2"/>
    <x v="1"/>
    <n v="158.05000000000001"/>
    <s v="NEGATIVE SALES"/>
    <n v="0"/>
  </r>
  <r>
    <n v="1592"/>
    <s v="Casey"/>
    <s v="Sparks"/>
    <s v="Sneakers"/>
    <n v="5"/>
    <n v="2673.8431"/>
    <n v="0.52"/>
    <n v="0"/>
    <d v="2024-12-31T00:00:00"/>
    <x v="2"/>
    <x v="1"/>
    <n v="619.25"/>
    <s v="NEGATIVE SALES"/>
    <n v="13369.2155"/>
  </r>
  <r>
    <n v="1593"/>
    <s v="Kristen"/>
    <s v="Hernandez"/>
    <s v="Graphic Tee"/>
    <n v="0"/>
    <n v="2673.8431"/>
    <n v="0.65225196850393596"/>
    <n v="0"/>
    <d v="2025-03-05T00:00:00"/>
    <x v="2"/>
    <x v="1"/>
    <n v="2598.9299999999998"/>
    <s v="NEGATIVE SALES"/>
    <n v="0"/>
  </r>
  <r>
    <n v="1594"/>
    <s v="Patrick"/>
    <s v="Garza"/>
    <s v="Straight Cut"/>
    <n v="0"/>
    <n v="3784.99"/>
    <n v="0.65225196850393596"/>
    <n v="0"/>
    <d v="2025-03-05T00:00:00"/>
    <x v="3"/>
    <x v="1"/>
    <n v="346.37"/>
    <s v="NEGATIVE SALES"/>
    <n v="0"/>
  </r>
  <r>
    <n v="1595"/>
    <s v="Ronald"/>
    <s v="Mcdaniel"/>
    <s v="Bodycon"/>
    <n v="0"/>
    <n v="2673.8431"/>
    <n v="0.65225196850393596"/>
    <n v="0"/>
    <d v="2025-07-20T00:00:00"/>
    <x v="2"/>
    <x v="0"/>
    <n v="1483.7"/>
    <s v="NEGATIVE SALES"/>
    <n v="0"/>
  </r>
  <r>
    <n v="1596"/>
    <s v="Mark"/>
    <s v="Campbell"/>
    <s v="Puffer Coat"/>
    <n v="3"/>
    <n v="738.29"/>
    <n v="0.65225196850393596"/>
    <n v="0"/>
    <d v="2024-09-23T00:00:00"/>
    <x v="1"/>
    <x v="2"/>
    <n v="-871.38"/>
    <s v="NEGATIVE SALES"/>
    <n v="2214.87"/>
  </r>
  <r>
    <n v="1597"/>
    <s v="Linda"/>
    <s v="Ross"/>
    <s v="Crop Top"/>
    <n v="1"/>
    <n v="657.51"/>
    <n v="0.77"/>
    <n v="151.22999999999999"/>
    <d v="2024-08-04T00:00:00"/>
    <x v="0"/>
    <x v="0"/>
    <n v="2744.32"/>
    <s v="POSITIVE SALES"/>
    <n v="657.51"/>
  </r>
  <r>
    <n v="1598"/>
    <s v="Amanda"/>
    <s v="Wilson"/>
    <s v="Denim Jacket"/>
    <n v="0"/>
    <n v="3311.31"/>
    <n v="0.65206624605678198"/>
    <n v="0"/>
    <d v="2024-08-04T00:00:00"/>
    <x v="4"/>
    <x v="2"/>
    <n v="2944.25"/>
    <s v="NEGATIVE SALES"/>
    <n v="0"/>
  </r>
  <r>
    <n v="1599"/>
    <s v="Jeffery"/>
    <s v="Elliott"/>
    <s v="Bomber Jacket"/>
    <n v="0"/>
    <n v="2676.6781999999998"/>
    <n v="0.65206624605678198"/>
    <n v="0"/>
    <d v="2025-04-03T00:00:00"/>
    <x v="2"/>
    <x v="1"/>
    <n v="790.51"/>
    <s v="NEGATIVE SALES"/>
    <n v="0"/>
  </r>
  <r>
    <n v="1600"/>
    <s v="Sonya"/>
    <s v="Burke"/>
    <s v="Watches"/>
    <n v="0"/>
    <n v="2676.0441999999998"/>
    <n v="0.65206624605678198"/>
    <n v="0"/>
    <d v="2023-08-18T00:00:00"/>
    <x v="1"/>
    <x v="2"/>
    <n v="-605.05999999999995"/>
    <s v="NEGATIVE SALES"/>
    <n v="0"/>
  </r>
  <r>
    <n v="1601"/>
    <s v="Samuel"/>
    <s v="Cortez"/>
    <s v="Belts"/>
    <n v="0"/>
    <n v="2676.0441999999998"/>
    <n v="0.65206624605678198"/>
    <n v="0"/>
    <d v="2024-08-07T00:00:00"/>
    <x v="2"/>
    <x v="2"/>
    <n v="1282.26"/>
    <s v="NEGATIVE SALES"/>
    <n v="0"/>
  </r>
  <r>
    <n v="1602"/>
    <s v="Scott"/>
    <s v="Lewis"/>
    <s v="Wrap Dress"/>
    <n v="0"/>
    <n v="4256.43"/>
    <n v="0.65206624605678198"/>
    <n v="0"/>
    <d v="2025-05-27T00:00:00"/>
    <x v="3"/>
    <x v="1"/>
    <n v="2472.73"/>
    <s v="NEGATIVE SALES"/>
    <n v="0"/>
  </r>
  <r>
    <n v="1603"/>
    <s v="Lisa"/>
    <s v="Carter"/>
    <s v="Bomber Jacket"/>
    <n v="0"/>
    <n v="2676.0441999999998"/>
    <n v="1.05"/>
    <n v="0"/>
    <d v="2025-05-27T00:00:00"/>
    <x v="1"/>
    <x v="1"/>
    <n v="2700.72"/>
    <s v="NEGATIVE SALES"/>
    <n v="0"/>
  </r>
  <r>
    <n v="1604"/>
    <s v="Gloria"/>
    <s v="Phillips"/>
    <s v="Graphic Tee"/>
    <n v="0"/>
    <n v="2674.4638"/>
    <n v="0.65143759873617602"/>
    <n v="0"/>
    <d v="2024-09-17T00:00:00"/>
    <x v="3"/>
    <x v="2"/>
    <n v="2976.74"/>
    <s v="NEGATIVE SALES"/>
    <n v="0"/>
  </r>
  <r>
    <n v="1605"/>
    <s v="Michele"/>
    <s v="Ortiz"/>
    <s v="Watches"/>
    <n v="0"/>
    <n v="2674.4638"/>
    <n v="0.47"/>
    <n v="0"/>
    <d v="2025-01-04T00:00:00"/>
    <x v="5"/>
    <x v="0"/>
    <n v="-339.59"/>
    <s v="NEGATIVE SALES"/>
    <n v="0"/>
  </r>
  <r>
    <n v="1606"/>
    <s v="Jeremy"/>
    <s v="Dickson"/>
    <s v="Graphic Tee"/>
    <n v="6"/>
    <n v="2674.4638"/>
    <n v="0.65172468354430402"/>
    <n v="0"/>
    <d v="2025-02-06T00:00:00"/>
    <x v="0"/>
    <x v="1"/>
    <n v="-527.17999999999995"/>
    <s v="NEGATIVE SALES"/>
    <n v="16046.782800000001"/>
  </r>
  <r>
    <n v="1607"/>
    <s v="Matthew"/>
    <s v="Marshall"/>
    <s v="Loafers"/>
    <n v="0"/>
    <n v="4941.2700000000004"/>
    <n v="0.65172468354430402"/>
    <n v="0"/>
    <d v="2023-10-08T00:00:00"/>
    <x v="0"/>
    <x v="0"/>
    <n v="515.05999999999995"/>
    <s v="NEGATIVE SALES"/>
    <n v="0"/>
  </r>
  <r>
    <n v="1608"/>
    <s v="Lindsay"/>
    <s v="Sanchez"/>
    <s v="Slip-Ons"/>
    <n v="3"/>
    <n v="3536.61"/>
    <n v="0.79"/>
    <n v="2228.06"/>
    <d v="2025-02-20T00:00:00"/>
    <x v="2"/>
    <x v="0"/>
    <n v="-55.01"/>
    <s v="POSITIVE SALES"/>
    <n v="10609.83"/>
  </r>
  <r>
    <n v="1609"/>
    <s v="Brian"/>
    <s v="Flores"/>
    <s v="Loafers"/>
    <n v="4"/>
    <n v="2672.1947"/>
    <n v="0.65150554675118799"/>
    <n v="0"/>
    <d v="2025-07-17T00:00:00"/>
    <x v="5"/>
    <x v="0"/>
    <n v="-939.39"/>
    <s v="NEGATIVE SALES"/>
    <n v="10688.7788"/>
  </r>
  <r>
    <n v="1610"/>
    <s v="Chase"/>
    <s v="Torres"/>
    <s v="Straight Cut"/>
    <n v="5"/>
    <n v="2671.3285999999998"/>
    <n v="0.65150554675118799"/>
    <n v="0"/>
    <d v="2025-05-29T00:00:00"/>
    <x v="5"/>
    <x v="2"/>
    <n v="-361.65"/>
    <s v="NEGATIVE SALES"/>
    <n v="13356.643"/>
  </r>
  <r>
    <n v="1611"/>
    <s v="Victor"/>
    <s v="Acosta"/>
    <s v="Graphic Tee"/>
    <n v="0"/>
    <n v="2671.3285999999998"/>
    <n v="1.07"/>
    <n v="0"/>
    <d v="2024-11-08T00:00:00"/>
    <x v="0"/>
    <x v="1"/>
    <n v="-351.41"/>
    <s v="NEGATIVE SALES"/>
    <n v="0"/>
  </r>
  <r>
    <n v="1612"/>
    <s v="Stephanie"/>
    <s v="Ferguson"/>
    <s v="Puffer Coat"/>
    <n v="5"/>
    <n v="1010.24"/>
    <n v="0.65084126984127"/>
    <n v="0"/>
    <d v="2025-02-26T00:00:00"/>
    <x v="4"/>
    <x v="1"/>
    <n v="2174.98"/>
    <s v="NEGATIVE SALES"/>
    <n v="5051.2"/>
  </r>
  <r>
    <n v="1613"/>
    <s v="Anna"/>
    <s v="Valdez"/>
    <s v="Watches"/>
    <n v="1"/>
    <n v="1575.26"/>
    <n v="0.65084126984127"/>
    <n v="0"/>
    <d v="2025-01-08T00:00:00"/>
    <x v="0"/>
    <x v="0"/>
    <n v="-641.72"/>
    <s v="NEGATIVE SALES"/>
    <n v="1575.26"/>
  </r>
  <r>
    <n v="1614"/>
    <s v="Robert"/>
    <s v="Ingram"/>
    <s v="Sunglasses"/>
    <n v="-1"/>
    <n v="2672.9946"/>
    <n v="0.65084126984127"/>
    <n v="0"/>
    <d v="2025-04-17T00:00:00"/>
    <x v="2"/>
    <x v="1"/>
    <n v="319.85000000000002"/>
    <s v="NEGATIVE SALES"/>
    <n v="-2672.9946"/>
  </r>
  <r>
    <n v="1615"/>
    <s v="Joel"/>
    <s v="Fitzpatrick"/>
    <s v="Casual Midi"/>
    <n v="6"/>
    <n v="4962.7"/>
    <n v="0.02"/>
    <n v="29180.68"/>
    <d v="2023-08-04T00:00:00"/>
    <x v="5"/>
    <x v="0"/>
    <n v="61.6"/>
    <s v="POSITIVE SALES"/>
    <n v="29776.2"/>
  </r>
  <r>
    <n v="1616"/>
    <s v="Louis"/>
    <s v="Owens"/>
    <s v="Loafers"/>
    <n v="0"/>
    <n v="4443.82"/>
    <n v="0.65184419713831399"/>
    <n v="0"/>
    <d v="2023-10-13T00:00:00"/>
    <x v="3"/>
    <x v="0"/>
    <n v="1611.45"/>
    <s v="NEGATIVE SALES"/>
    <n v="0"/>
  </r>
  <r>
    <n v="1617"/>
    <s v="Shelby"/>
    <s v="Alvarez"/>
    <s v="Boyfriend Jeans"/>
    <n v="0"/>
    <n v="1144.47"/>
    <n v="0.65184419713831399"/>
    <n v="0"/>
    <d v="2024-03-10T00:00:00"/>
    <x v="4"/>
    <x v="0"/>
    <n v="-863.76"/>
    <s v="NEGATIVE SALES"/>
    <n v="0"/>
  </r>
  <r>
    <n v="1618"/>
    <s v="Leslie"/>
    <s v="Morton"/>
    <s v="Wrap Dress"/>
    <n v="0"/>
    <n v="2670.0140000000001"/>
    <n v="0.85"/>
    <n v="0"/>
    <d v="2023-08-24T00:00:00"/>
    <x v="2"/>
    <x v="2"/>
    <n v="2113.08"/>
    <s v="NEGATIVE SALES"/>
    <n v="0"/>
  </r>
  <r>
    <n v="1619"/>
    <s v="Anne"/>
    <s v="Johnson"/>
    <s v="Straight Cut"/>
    <n v="0"/>
    <n v="1470.99"/>
    <n v="0.7"/>
    <n v="0"/>
    <d v="2024-12-14T00:00:00"/>
    <x v="3"/>
    <x v="2"/>
    <n v="-668.13"/>
    <s v="NEGATIVE SALES"/>
    <n v="0"/>
  </r>
  <r>
    <n v="1620"/>
    <s v="John"/>
    <s v="Garcia"/>
    <s v="Maxi Dress"/>
    <n v="6"/>
    <n v="2671.5502999999999"/>
    <n v="1.17"/>
    <n v="0"/>
    <d v="2024-09-16T00:00:00"/>
    <x v="0"/>
    <x v="1"/>
    <n v="1796.21"/>
    <s v="NEGATIVE SALES"/>
    <n v="16029.301799999999"/>
  </r>
  <r>
    <n v="1621"/>
    <s v="Scott"/>
    <s v="Webb"/>
    <s v="Classic Tee"/>
    <n v="6"/>
    <n v="639.66999999999996"/>
    <n v="0.65062300319488797"/>
    <n v="0"/>
    <d v="2024-09-28T00:00:00"/>
    <x v="5"/>
    <x v="2"/>
    <n v="1599.1"/>
    <s v="NEGATIVE SALES"/>
    <n v="3838.02"/>
  </r>
  <r>
    <n v="1622"/>
    <s v="Sarah"/>
    <s v="Griffin"/>
    <s v="Slip-Ons"/>
    <n v="1"/>
    <n v="2672.7604999999999"/>
    <n v="0.65062300319488797"/>
    <n v="0"/>
    <d v="2024-09-28T00:00:00"/>
    <x v="3"/>
    <x v="0"/>
    <n v="-880.92"/>
    <s v="NEGATIVE SALES"/>
    <n v="2672.7604999999999"/>
  </r>
  <r>
    <n v="1624"/>
    <s v="Mark"/>
    <s v="Mendoza"/>
    <s v="Slim Fit Jeans"/>
    <n v="5"/>
    <n v="977.2"/>
    <n v="0.65062300319488797"/>
    <n v="0"/>
    <d v="2025-01-07T00:00:00"/>
    <x v="4"/>
    <x v="2"/>
    <n v="1003.06"/>
    <s v="NEGATIVE SALES"/>
    <n v="4886"/>
  </r>
  <r>
    <n v="1625"/>
    <s v="Edwin"/>
    <s v="Brennan"/>
    <s v="Watches"/>
    <n v="0"/>
    <n v="735.97"/>
    <n v="0.26"/>
    <n v="0"/>
    <d v="2024-12-25T00:00:00"/>
    <x v="0"/>
    <x v="1"/>
    <n v="1690.22"/>
    <s v="NEGATIVE SALES"/>
    <n v="0"/>
  </r>
  <r>
    <n v="1626"/>
    <s v="Jennifer"/>
    <s v="Olsen"/>
    <s v="Maxi Dress"/>
    <n v="0"/>
    <n v="4695.1499999999996"/>
    <n v="0.65124800000000005"/>
    <n v="0"/>
    <d v="2024-12-25T00:00:00"/>
    <x v="4"/>
    <x v="0"/>
    <n v="1584.44"/>
    <s v="NEGATIVE SALES"/>
    <n v="0"/>
  </r>
  <r>
    <n v="1628"/>
    <s v="Gary"/>
    <s v="Simon"/>
    <s v="Bodycon"/>
    <n v="1"/>
    <n v="3345.58"/>
    <n v="0.26"/>
    <n v="2475.73"/>
    <d v="2024-04-15T00:00:00"/>
    <x v="5"/>
    <x v="1"/>
    <n v="2274.54"/>
    <s v="POSITIVE SALES"/>
    <n v="3345.58"/>
  </r>
  <r>
    <n v="1629"/>
    <s v="Dr."/>
    <s v="Daniel"/>
    <s v="Boots"/>
    <n v="0"/>
    <n v="829.14"/>
    <n v="0.65187499999999998"/>
    <n v="0"/>
    <d v="2024-04-15T00:00:00"/>
    <x v="1"/>
    <x v="0"/>
    <n v="2172.06"/>
    <s v="NEGATIVE SALES"/>
    <n v="0"/>
  </r>
  <r>
    <n v="1630"/>
    <s v="Taylor"/>
    <s v="Duran"/>
    <s v="Ripped Denim"/>
    <n v="0"/>
    <n v="2393.14"/>
    <n v="1"/>
    <n v="0"/>
    <d v="2023-09-09T00:00:00"/>
    <x v="3"/>
    <x v="1"/>
    <n v="715.08"/>
    <s v="NEGATIVE SALES"/>
    <n v="0"/>
  </r>
  <r>
    <n v="1631"/>
    <s v="Michelle"/>
    <s v="French"/>
    <s v="Casual Midi"/>
    <n v="0"/>
    <n v="2678.6572999999999"/>
    <n v="0.65131621187800903"/>
    <n v="0"/>
    <d v="2025-06-13T00:00:00"/>
    <x v="5"/>
    <x v="0"/>
    <n v="186.7"/>
    <s v="NEGATIVE SALES"/>
    <n v="0"/>
  </r>
  <r>
    <n v="1632"/>
    <s v="Wesley"/>
    <s v="Brown"/>
    <s v="Bomber Jacket"/>
    <n v="0"/>
    <n v="2618.69"/>
    <n v="0.11"/>
    <n v="0"/>
    <d v="2024-11-25T00:00:00"/>
    <x v="4"/>
    <x v="0"/>
    <n v="130.88999999999999"/>
    <s v="NEGATIVE SALES"/>
    <n v="0"/>
  </r>
  <r>
    <n v="1633"/>
    <s v="Ryan"/>
    <s v="Taylor"/>
    <s v="Bomber Jacket"/>
    <n v="0"/>
    <n v="4599.41"/>
    <n v="0.65218649517684901"/>
    <n v="0"/>
    <d v="2024-12-25T00:00:00"/>
    <x v="0"/>
    <x v="2"/>
    <n v="182.46"/>
    <s v="NEGATIVE SALES"/>
    <n v="0"/>
  </r>
  <r>
    <n v="1634"/>
    <s v="Catherine"/>
    <s v="Brock"/>
    <s v="Puffer Coat"/>
    <n v="0"/>
    <n v="2679.0091000000002"/>
    <n v="0.65218649517684901"/>
    <n v="0"/>
    <d v="2025-04-01T00:00:00"/>
    <x v="1"/>
    <x v="2"/>
    <n v="108.15"/>
    <s v="NEGATIVE SALES"/>
    <n v="0"/>
  </r>
  <r>
    <n v="1635"/>
    <s v="David"/>
    <s v="Stuart"/>
    <s v="Caps"/>
    <n v="0"/>
    <n v="2677.0515"/>
    <n v="0.65218649517684901"/>
    <n v="0"/>
    <d v="2024-08-16T00:00:00"/>
    <x v="0"/>
    <x v="0"/>
    <n v="857.97"/>
    <s v="NEGATIVE SALES"/>
    <n v="0"/>
  </r>
  <r>
    <n v="1636"/>
    <s v="Ryan"/>
    <s v="Griffin"/>
    <s v="Denim Jacket"/>
    <n v="-2"/>
    <n v="2677.0515"/>
    <n v="0.65218649517684901"/>
    <n v="0"/>
    <d v="2025-06-09T00:00:00"/>
    <x v="4"/>
    <x v="0"/>
    <n v="2569.59"/>
    <s v="NEGATIVE SALES"/>
    <n v="-5354.1030000000001"/>
  </r>
  <r>
    <n v="1637"/>
    <s v="Mr."/>
    <s v="Nicholas"/>
    <s v="Slip-Ons"/>
    <n v="0"/>
    <n v="2644.73"/>
    <n v="0.65218649517684901"/>
    <n v="0"/>
    <d v="2025-06-09T00:00:00"/>
    <x v="0"/>
    <x v="2"/>
    <n v="1402.25"/>
    <s v="NEGATIVE SALES"/>
    <n v="0"/>
  </r>
  <r>
    <n v="1638"/>
    <s v="Michael"/>
    <s v="Smith"/>
    <s v="Boyfriend Jeans"/>
    <n v="0"/>
    <n v="2677.0515"/>
    <n v="0.54"/>
    <n v="0"/>
    <d v="2025-04-11T00:00:00"/>
    <x v="2"/>
    <x v="1"/>
    <n v="2346.2199999999998"/>
    <s v="NEGATIVE SALES"/>
    <n v="0"/>
  </r>
  <r>
    <n v="1639"/>
    <s v="Jimmy"/>
    <s v="Evans"/>
    <s v="Boyfriend Jeans"/>
    <n v="0"/>
    <n v="4183.22"/>
    <n v="0.652367149758454"/>
    <n v="0"/>
    <d v="2025-07-02T00:00:00"/>
    <x v="3"/>
    <x v="1"/>
    <n v="532.80999999999995"/>
    <s v="NEGATIVE SALES"/>
    <n v="0"/>
  </r>
  <r>
    <n v="1640"/>
    <s v="Matthew"/>
    <s v="Moses"/>
    <s v="Belts"/>
    <n v="0"/>
    <n v="2677.0844999999999"/>
    <n v="0.652367149758454"/>
    <n v="0"/>
    <d v="2024-12-03T00:00:00"/>
    <x v="4"/>
    <x v="0"/>
    <n v="1823.75"/>
    <s v="NEGATIVE SALES"/>
    <n v="0"/>
  </r>
  <r>
    <n v="1641"/>
    <s v="Heather"/>
    <s v="Mitchell"/>
    <s v="Caps"/>
    <n v="0"/>
    <n v="1278.98"/>
    <n v="0.54"/>
    <n v="0"/>
    <d v="2025-06-22T00:00:00"/>
    <x v="1"/>
    <x v="0"/>
    <n v="34.99"/>
    <s v="NEGATIVE SALES"/>
    <n v="0"/>
  </r>
  <r>
    <n v="1642"/>
    <s v="Martha"/>
    <s v="Lynch"/>
    <s v="Denim Jacket"/>
    <n v="3"/>
    <n v="2675.5461"/>
    <n v="0.65254838709677399"/>
    <n v="0"/>
    <d v="2024-09-10T00:00:00"/>
    <x v="5"/>
    <x v="0"/>
    <n v="2906.72"/>
    <s v="NEGATIVE SALES"/>
    <n v="8026.6382999999996"/>
  </r>
  <r>
    <n v="1643"/>
    <s v="Alyssa"/>
    <s v="Zhang"/>
    <s v="Boots"/>
    <n v="-1"/>
    <n v="2676.9740999999999"/>
    <n v="0.35"/>
    <n v="0"/>
    <d v="2024-09-24T00:00:00"/>
    <x v="3"/>
    <x v="2"/>
    <n v="2589.4299999999998"/>
    <s v="NEGATIVE SALES"/>
    <n v="-2676.9740999999999"/>
  </r>
  <r>
    <n v="1644"/>
    <s v="Thomas"/>
    <s v="Tanner"/>
    <s v="Wrap Dress"/>
    <n v="0"/>
    <n v="2676.9740999999999"/>
    <n v="0.65303715670436202"/>
    <n v="0"/>
    <d v="2024-09-24T00:00:00"/>
    <x v="5"/>
    <x v="0"/>
    <n v="1343.06"/>
    <s v="NEGATIVE SALES"/>
    <n v="0"/>
  </r>
  <r>
    <n v="1645"/>
    <s v="Brian"/>
    <s v="Floyd"/>
    <s v="Classic Tee"/>
    <n v="-2"/>
    <n v="2660.45"/>
    <n v="0.22"/>
    <n v="-4150.3"/>
    <d v="2023-10-08T00:00:00"/>
    <x v="3"/>
    <x v="2"/>
    <n v="-825.82"/>
    <s v="NEGATIVE SALES"/>
    <n v="-5320.9"/>
  </r>
  <r>
    <n v="1646"/>
    <s v="Cody"/>
    <s v="Mahoney"/>
    <s v="Ripped Denim"/>
    <n v="0"/>
    <n v="3393.47"/>
    <n v="0.38"/>
    <n v="0"/>
    <d v="2025-02-07T00:00:00"/>
    <x v="1"/>
    <x v="1"/>
    <n v="925.07"/>
    <s v="NEGATIVE SALES"/>
    <n v="0"/>
  </r>
  <r>
    <n v="1647"/>
    <s v="Katherine"/>
    <s v="Moore"/>
    <s v="Boots"/>
    <n v="0"/>
    <n v="498.95"/>
    <n v="1.19"/>
    <n v="0"/>
    <d v="2025-06-29T00:00:00"/>
    <x v="2"/>
    <x v="0"/>
    <n v="-433.87"/>
    <s v="NEGATIVE SALES"/>
    <n v="0"/>
  </r>
  <r>
    <n v="1648"/>
    <s v="Tracy"/>
    <s v="Frey"/>
    <s v="Bomber Jacket"/>
    <n v="0"/>
    <n v="2676.2568999999999"/>
    <n v="0.65331168831168795"/>
    <n v="0"/>
    <d v="2025-03-30T00:00:00"/>
    <x v="2"/>
    <x v="2"/>
    <n v="-952.5"/>
    <s v="NEGATIVE SALES"/>
    <n v="0"/>
  </r>
  <r>
    <n v="1649"/>
    <s v="Amy"/>
    <s v="Wood"/>
    <s v="Boots"/>
    <n v="0"/>
    <n v="2678.49"/>
    <n v="0.06"/>
    <n v="0"/>
    <d v="2025-01-09T00:00:00"/>
    <x v="5"/>
    <x v="2"/>
    <n v="-640.58000000000004"/>
    <s v="NEGATIVE SALES"/>
    <n v="0"/>
  </r>
  <r>
    <n v="1650"/>
    <s v="Anne"/>
    <s v="Hall"/>
    <s v="Wrap Dress"/>
    <n v="2"/>
    <n v="2678.49"/>
    <n v="0.96"/>
    <n v="0"/>
    <d v="2024-11-21T00:00:00"/>
    <x v="2"/>
    <x v="1"/>
    <n v="1943.2"/>
    <s v="NEGATIVE SALES"/>
    <n v="5356.98"/>
  </r>
  <r>
    <n v="1651"/>
    <s v="Jennifer"/>
    <s v="White"/>
    <s v="Sneakers"/>
    <n v="3"/>
    <n v="2678.49"/>
    <n v="0.05"/>
    <n v="0"/>
    <d v="2024-11-21T00:00:00"/>
    <x v="2"/>
    <x v="1"/>
    <n v="-551.78"/>
    <s v="NEGATIVE SALES"/>
    <n v="8035.47"/>
  </r>
  <r>
    <n v="1652"/>
    <s v="Richard"/>
    <s v="Hayes"/>
    <s v="Maxi Dress"/>
    <n v="0"/>
    <n v="2375.56"/>
    <n v="0.59"/>
    <n v="0"/>
    <d v="2024-11-21T00:00:00"/>
    <x v="5"/>
    <x v="1"/>
    <n v="2699.88"/>
    <s v="NEGATIVE SALES"/>
    <n v="0"/>
  </r>
  <r>
    <n v="1653"/>
    <s v="Benjamin"/>
    <s v="Johnson"/>
    <s v="Denim Jacket"/>
    <n v="0"/>
    <n v="2563.6"/>
    <n v="0.88"/>
    <n v="0"/>
    <d v="2025-06-14T00:00:00"/>
    <x v="2"/>
    <x v="2"/>
    <n v="516.95000000000005"/>
    <s v="NEGATIVE SALES"/>
    <n v="0"/>
  </r>
  <r>
    <n v="1654"/>
    <s v="Andrew"/>
    <s v="Clark"/>
    <s v="Caps"/>
    <n v="1"/>
    <n v="2678.8009999999999"/>
    <n v="0.65450081833060503"/>
    <n v="0"/>
    <d v="2024-08-19T00:00:00"/>
    <x v="1"/>
    <x v="2"/>
    <n v="1433.43"/>
    <s v="NEGATIVE SALES"/>
    <n v="2678.8009999999999"/>
  </r>
  <r>
    <n v="1655"/>
    <s v="Anthony"/>
    <s v="Kent"/>
    <s v="Boyfriend Jeans"/>
    <n v="5"/>
    <n v="1385.86"/>
    <n v="0.71"/>
    <n v="2009.5"/>
    <d v="2025-06-01T00:00:00"/>
    <x v="2"/>
    <x v="0"/>
    <n v="1839.94"/>
    <s v="POSITIVE SALES"/>
    <n v="6929.3"/>
  </r>
  <r>
    <n v="1656"/>
    <s v="John"/>
    <s v="Lopez"/>
    <s v="Slip-Ons"/>
    <n v="0"/>
    <n v="2678.9194000000002"/>
    <n v="0.65440983606557301"/>
    <n v="0"/>
    <d v="2024-12-21T00:00:00"/>
    <x v="0"/>
    <x v="1"/>
    <n v="1872.27"/>
    <s v="NEGATIVE SALES"/>
    <n v="0"/>
  </r>
  <r>
    <n v="1657"/>
    <s v="Christopher"/>
    <s v="Vargas"/>
    <s v="Ripped Denim"/>
    <n v="0"/>
    <n v="2680.2496999999998"/>
    <n v="0.65440983606557301"/>
    <n v="0"/>
    <d v="2024-08-16T00:00:00"/>
    <x v="3"/>
    <x v="2"/>
    <n v="2507.9299999999998"/>
    <s v="NEGATIVE SALES"/>
    <n v="0"/>
  </r>
  <r>
    <n v="1658"/>
    <s v="Ryan"/>
    <s v="Weaver"/>
    <s v="Puffer Coat"/>
    <n v="0"/>
    <n v="2680.2496999999998"/>
    <n v="0.65440983606557301"/>
    <n v="0"/>
    <d v="2025-04-03T00:00:00"/>
    <x v="3"/>
    <x v="1"/>
    <n v="2996.16"/>
    <s v="NEGATIVE SALES"/>
    <n v="0"/>
  </r>
  <r>
    <n v="1659"/>
    <s v="Robert"/>
    <s v="Richards"/>
    <s v="Sneakers"/>
    <n v="0"/>
    <n v="1014.86"/>
    <n v="0.31"/>
    <n v="0"/>
    <d v="2025-04-03T00:00:00"/>
    <x v="4"/>
    <x v="0"/>
    <n v="-379.55"/>
    <s v="NEGATIVE SALES"/>
    <n v="0"/>
  </r>
  <r>
    <n v="1660"/>
    <s v="Harold"/>
    <s v="Smith"/>
    <s v="Slim Fit Jeans"/>
    <n v="0"/>
    <n v="2680.2496999999998"/>
    <n v="1.1000000000000001"/>
    <n v="0"/>
    <d v="2025-03-21T00:00:00"/>
    <x v="2"/>
    <x v="2"/>
    <n v="2345.37"/>
    <s v="NEGATIVE SALES"/>
    <n v="0"/>
  </r>
  <r>
    <n v="1661"/>
    <s v="Jamie"/>
    <s v="Tucker"/>
    <s v="Boots"/>
    <n v="-2"/>
    <n v="2681.9648999999999"/>
    <n v="0.654243421052631"/>
    <n v="0"/>
    <d v="2024-12-07T00:00:00"/>
    <x v="3"/>
    <x v="1"/>
    <n v="49.2"/>
    <s v="NEGATIVE SALES"/>
    <n v="-5363.9297999999999"/>
  </r>
  <r>
    <n v="1662"/>
    <s v="Christine"/>
    <s v="Burton"/>
    <s v="Belts"/>
    <n v="6"/>
    <n v="2681.9648999999999"/>
    <n v="0.96"/>
    <n v="0"/>
    <d v="2024-12-07T00:00:00"/>
    <x v="1"/>
    <x v="0"/>
    <n v="665.51"/>
    <s v="NEGATIVE SALES"/>
    <n v="16091.7894"/>
  </r>
  <r>
    <n v="1663"/>
    <s v="Miguel"/>
    <s v="Odonnell"/>
    <s v="Loafers"/>
    <n v="3"/>
    <n v="2681.9648999999999"/>
    <n v="0.65373970345963694"/>
    <n v="0"/>
    <d v="2024-08-10T00:00:00"/>
    <x v="3"/>
    <x v="1"/>
    <n v="2091.5300000000002"/>
    <s v="NEGATIVE SALES"/>
    <n v="8045.8946999999998"/>
  </r>
  <r>
    <n v="1664"/>
    <s v="Keith"/>
    <s v="Martinez"/>
    <s v="Boots"/>
    <n v="-1"/>
    <n v="2681.9648999999999"/>
    <n v="0.65373970345963694"/>
    <n v="0"/>
    <d v="2025-05-20T00:00:00"/>
    <x v="5"/>
    <x v="1"/>
    <n v="844.94"/>
    <s v="NEGATIVE SALES"/>
    <n v="-2681.9648999999999"/>
  </r>
  <r>
    <n v="1665"/>
    <s v="Christopher"/>
    <s v="Merritt"/>
    <s v="Crop Top"/>
    <n v="0"/>
    <n v="4504.03"/>
    <n v="0.65373970345963694"/>
    <n v="0"/>
    <d v="2025-03-23T00:00:00"/>
    <x v="0"/>
    <x v="0"/>
    <n v="1488.95"/>
    <s v="NEGATIVE SALES"/>
    <n v="0"/>
  </r>
  <r>
    <n v="1666"/>
    <s v="Hannah"/>
    <s v="Santos"/>
    <s v="Straight Cut"/>
    <n v="0"/>
    <n v="973.63"/>
    <n v="0.65373970345963694"/>
    <n v="0"/>
    <d v="2024-11-13T00:00:00"/>
    <x v="0"/>
    <x v="0"/>
    <n v="-148.66999999999999"/>
    <s v="NEGATIVE SALES"/>
    <n v="0"/>
  </r>
  <r>
    <n v="1667"/>
    <s v="Taylor"/>
    <s v="Pugh"/>
    <s v="Sneakers"/>
    <n v="0"/>
    <n v="4021"/>
    <n v="0.65373970345963694"/>
    <n v="0"/>
    <d v="2024-11-02T00:00:00"/>
    <x v="2"/>
    <x v="2"/>
    <n v="2323.66"/>
    <s v="NEGATIVE SALES"/>
    <n v="0"/>
  </r>
  <r>
    <n v="1668"/>
    <s v="Miranda"/>
    <s v="Holland"/>
    <s v="Boyfriend Jeans"/>
    <n v="0"/>
    <n v="2534.08"/>
    <n v="0.65373970345963694"/>
    <n v="0"/>
    <d v="2024-10-22T00:00:00"/>
    <x v="5"/>
    <x v="1"/>
    <n v="941.2"/>
    <s v="NEGATIVE SALES"/>
    <n v="0"/>
  </r>
  <r>
    <n v="1669"/>
    <s v="Brooke"/>
    <s v="Dillon"/>
    <s v="Boots"/>
    <n v="0"/>
    <n v="1838.63"/>
    <n v="0.65373970345963694"/>
    <n v="0"/>
    <d v="2024-10-22T00:00:00"/>
    <x v="4"/>
    <x v="0"/>
    <n v="-524.25"/>
    <s v="NEGATIVE SALES"/>
    <n v="0"/>
  </r>
  <r>
    <n v="1670"/>
    <s v="Jennifer"/>
    <s v="Scott"/>
    <s v="Classic Tee"/>
    <n v="0"/>
    <n v="2680.6154999999999"/>
    <n v="0.69"/>
    <n v="0"/>
    <d v="2024-08-14T00:00:00"/>
    <x v="5"/>
    <x v="2"/>
    <n v="462.22"/>
    <s v="NEGATIVE SALES"/>
    <n v="0"/>
  </r>
  <r>
    <n v="1671"/>
    <s v="Elizabeth"/>
    <s v="Ross"/>
    <s v="Slim Fit Jeans"/>
    <n v="0"/>
    <n v="4417.34"/>
    <n v="0.653679867986798"/>
    <n v="0"/>
    <d v="2024-11-30T00:00:00"/>
    <x v="1"/>
    <x v="2"/>
    <n v="-72.28"/>
    <s v="NEGATIVE SALES"/>
    <n v="0"/>
  </r>
  <r>
    <n v="1672"/>
    <s v="Paul"/>
    <s v="Krueger"/>
    <s v="Belts"/>
    <n v="5"/>
    <n v="2681.4870999999998"/>
    <n v="0.653679867986798"/>
    <n v="0"/>
    <d v="2024-11-30T00:00:00"/>
    <x v="0"/>
    <x v="2"/>
    <n v="-587.27"/>
    <s v="NEGATIVE SALES"/>
    <n v="13407.4355"/>
  </r>
  <r>
    <n v="1673"/>
    <s v="Sierra"/>
    <s v="Evans"/>
    <s v="Watches"/>
    <n v="0"/>
    <n v="3992.21"/>
    <n v="0.67"/>
    <n v="0"/>
    <d v="2024-11-30T00:00:00"/>
    <x v="2"/>
    <x v="1"/>
    <n v="617.12"/>
    <s v="NEGATIVE SALES"/>
    <n v="0"/>
  </r>
  <r>
    <n v="1674"/>
    <s v="Jonathan"/>
    <s v="Wagner"/>
    <s v="Straight Cut"/>
    <n v="0"/>
    <n v="2679.6882999999998"/>
    <n v="0.19"/>
    <n v="0"/>
    <d v="2025-05-04T00:00:00"/>
    <x v="3"/>
    <x v="1"/>
    <n v="-680.26"/>
    <s v="NEGATIVE SALES"/>
    <n v="0"/>
  </r>
  <r>
    <n v="1675"/>
    <s v="Samuel"/>
    <s v="Wiley"/>
    <s v="Casual Midi"/>
    <n v="0"/>
    <n v="2678.3267000000001"/>
    <n v="0.65442052980132404"/>
    <n v="0"/>
    <d v="2025-05-01T00:00:00"/>
    <x v="2"/>
    <x v="0"/>
    <n v="340.43"/>
    <s v="NEGATIVE SALES"/>
    <n v="0"/>
  </r>
  <r>
    <n v="1676"/>
    <s v="Kristine"/>
    <s v="Khan"/>
    <s v="Maxi Dress"/>
    <n v="0"/>
    <n v="4351.82"/>
    <n v="0.65442052980132404"/>
    <n v="0"/>
    <d v="2025-05-01T00:00:00"/>
    <x v="3"/>
    <x v="1"/>
    <n v="1818.14"/>
    <s v="NEGATIVE SALES"/>
    <n v="0"/>
  </r>
  <r>
    <n v="1677"/>
    <s v="Amy"/>
    <s v="Stewart"/>
    <s v="Bomber Jacket"/>
    <n v="0"/>
    <n v="4639.8599999999997"/>
    <n v="0.69"/>
    <n v="0"/>
    <d v="2023-10-10T00:00:00"/>
    <x v="5"/>
    <x v="1"/>
    <n v="1323.79"/>
    <s v="NEGATIVE SALES"/>
    <n v="0"/>
  </r>
  <r>
    <n v="1679"/>
    <s v="Justin"/>
    <s v="Rose"/>
    <s v="Classic Tee"/>
    <n v="1"/>
    <n v="4198.5"/>
    <n v="0.65436152570480899"/>
    <n v="0"/>
    <d v="2024-07-21T00:00:00"/>
    <x v="4"/>
    <x v="1"/>
    <n v="2518.86"/>
    <s v="NEGATIVE SALES"/>
    <n v="4198.5"/>
  </r>
  <r>
    <n v="1680"/>
    <s v="Ryan"/>
    <s v="Becker"/>
    <s v="Straight Cut"/>
    <n v="0"/>
    <n v="2675.8431999999998"/>
    <n v="0.65436152570480899"/>
    <n v="0"/>
    <d v="2024-09-26T00:00:00"/>
    <x v="1"/>
    <x v="2"/>
    <n v="2873.92"/>
    <s v="NEGATIVE SALES"/>
    <n v="0"/>
  </r>
  <r>
    <n v="1681"/>
    <s v="Jessica"/>
    <s v="Lara"/>
    <s v="Maxi Dress"/>
    <n v="0"/>
    <n v="2674.2570999999998"/>
    <n v="0.26"/>
    <n v="0"/>
    <d v="2024-02-15T00:00:00"/>
    <x v="1"/>
    <x v="2"/>
    <n v="-579.16"/>
    <s v="NEGATIVE SALES"/>
    <n v="0"/>
  </r>
  <r>
    <n v="1682"/>
    <s v="Sophia"/>
    <s v="Fischer"/>
    <s v="Sunglasses"/>
    <n v="5"/>
    <n v="4307.08"/>
    <n v="1.26"/>
    <n v="-5599.2"/>
    <d v="2024-12-28T00:00:00"/>
    <x v="0"/>
    <x v="0"/>
    <n v="961.46"/>
    <s v="NEGATIVE SALES"/>
    <n v="21535.4"/>
  </r>
  <r>
    <n v="1683"/>
    <s v="Tracy"/>
    <s v="Taylor"/>
    <s v="Ripped Denim"/>
    <n v="0"/>
    <n v="1743.64"/>
    <n v="0.65400998336106397"/>
    <n v="0"/>
    <d v="2024-12-28T00:00:00"/>
    <x v="4"/>
    <x v="0"/>
    <n v="32.33"/>
    <s v="NEGATIVE SALES"/>
    <n v="0"/>
  </r>
  <r>
    <n v="1684"/>
    <s v="Mark"/>
    <s v="Silva"/>
    <s v="Maxi Dress"/>
    <n v="-2"/>
    <n v="3537.97"/>
    <n v="0.26"/>
    <n v="-5236.2"/>
    <d v="2024-08-05T00:00:00"/>
    <x v="3"/>
    <x v="1"/>
    <n v="1385.75"/>
    <s v="NEGATIVE SALES"/>
    <n v="-7075.94"/>
  </r>
  <r>
    <n v="1685"/>
    <s v="Johnny"/>
    <s v="Berg"/>
    <s v="Bodycon"/>
    <n v="4"/>
    <n v="2673.5241999999998"/>
    <n v="0.65466666666666595"/>
    <n v="0"/>
    <d v="2024-08-05T00:00:00"/>
    <x v="5"/>
    <x v="2"/>
    <n v="1108.04"/>
    <s v="NEGATIVE SALES"/>
    <n v="10694.096799999999"/>
  </r>
  <r>
    <n v="1686"/>
    <s v="Christine"/>
    <s v="Cox"/>
    <s v="Boyfriend Jeans"/>
    <n v="1"/>
    <n v="2672.6208999999999"/>
    <n v="0.06"/>
    <n v="0"/>
    <d v="2024-08-05T00:00:00"/>
    <x v="4"/>
    <x v="1"/>
    <n v="718.58"/>
    <s v="NEGATIVE SALES"/>
    <n v="2672.6208999999999"/>
  </r>
  <r>
    <n v="1687"/>
    <s v="Andrew"/>
    <s v="Harris"/>
    <s v="Denim Jacket"/>
    <n v="0"/>
    <n v="2672.6208999999999"/>
    <n v="0.65565943238731195"/>
    <n v="0"/>
    <d v="2025-07-12T00:00:00"/>
    <x v="5"/>
    <x v="1"/>
    <n v="1132.23"/>
    <s v="NEGATIVE SALES"/>
    <n v="0"/>
  </r>
  <r>
    <n v="1688"/>
    <s v="Donna"/>
    <s v="Winters"/>
    <s v="Watches"/>
    <n v="0"/>
    <n v="4177.8599999999997"/>
    <n v="0.65565943238731195"/>
    <n v="0"/>
    <d v="2025-07-12T00:00:00"/>
    <x v="5"/>
    <x v="1"/>
    <n v="2610.69"/>
    <s v="NEGATIVE SALES"/>
    <n v="0"/>
  </r>
  <r>
    <n v="1689"/>
    <s v="Travis"/>
    <s v="Washington"/>
    <s v="Oversized T-Shirt"/>
    <n v="0"/>
    <n v="1193.48"/>
    <n v="0.65565943238731195"/>
    <n v="0"/>
    <d v="2025-07-12T00:00:00"/>
    <x v="4"/>
    <x v="1"/>
    <n v="2629.51"/>
    <s v="NEGATIVE SALES"/>
    <n v="0"/>
  </r>
  <r>
    <n v="1690"/>
    <s v="Mary"/>
    <s v="Tran"/>
    <s v="Puffer Coat"/>
    <n v="5"/>
    <n v="1941.39"/>
    <n v="0.54"/>
    <n v="4465.2"/>
    <d v="2025-03-04T00:00:00"/>
    <x v="0"/>
    <x v="0"/>
    <n v="206.95"/>
    <s v="POSITIVE SALES"/>
    <n v="9706.9500000000007"/>
  </r>
  <r>
    <n v="1691"/>
    <s v="Kathryn"/>
    <s v="Hardy"/>
    <s v="Boots"/>
    <n v="6"/>
    <n v="2878.51"/>
    <n v="0.65585284280936396"/>
    <n v="0"/>
    <d v="2025-04-18T00:00:00"/>
    <x v="2"/>
    <x v="1"/>
    <n v="2503.5100000000002"/>
    <s v="NEGATIVE SALES"/>
    <n v="17271.060000000001"/>
  </r>
  <r>
    <n v="1692"/>
    <s v="Robert"/>
    <s v="Willis"/>
    <s v="Oversized T-Shirt"/>
    <n v="0"/>
    <n v="2509.38"/>
    <n v="0.67"/>
    <n v="0"/>
    <d v="2024-10-02T00:00:00"/>
    <x v="1"/>
    <x v="0"/>
    <n v="39.25"/>
    <s v="NEGATIVE SALES"/>
    <n v="0"/>
  </r>
  <r>
    <n v="1693"/>
    <s v="Dylan"/>
    <s v="Townsend"/>
    <s v="Leather Jacket"/>
    <n v="1"/>
    <n v="2673.1446999999998"/>
    <n v="0.65582914572864304"/>
    <n v="0"/>
    <d v="2024-09-27T00:00:00"/>
    <x v="3"/>
    <x v="0"/>
    <n v="2028.4"/>
    <s v="NEGATIVE SALES"/>
    <n v="2673.1446999999998"/>
  </r>
  <r>
    <n v="1694"/>
    <s v="Kenneth"/>
    <s v="Garcia"/>
    <s v="Boyfriend Jeans"/>
    <n v="0"/>
    <n v="2673.3168000000001"/>
    <n v="0.65582914572864304"/>
    <n v="0"/>
    <d v="2025-02-05T00:00:00"/>
    <x v="5"/>
    <x v="2"/>
    <n v="264.60000000000002"/>
    <s v="NEGATIVE SALES"/>
    <n v="0"/>
  </r>
  <r>
    <n v="1695"/>
    <s v="Lance"/>
    <s v="Gonzales"/>
    <s v="Leather Jacket"/>
    <n v="0"/>
    <n v="3785.14"/>
    <n v="0.65582914572864304"/>
    <n v="0"/>
    <d v="2025-02-05T00:00:00"/>
    <x v="2"/>
    <x v="0"/>
    <n v="-982.7"/>
    <s v="NEGATIVE SALES"/>
    <n v="0"/>
  </r>
  <r>
    <n v="1696"/>
    <s v="Noah"/>
    <s v="Wade"/>
    <s v="Sneakers"/>
    <n v="0"/>
    <n v="532.47"/>
    <n v="0.65582914572864304"/>
    <n v="0"/>
    <d v="2025-02-05T00:00:00"/>
    <x v="2"/>
    <x v="2"/>
    <n v="666.49"/>
    <s v="NEGATIVE SALES"/>
    <n v="0"/>
  </r>
  <r>
    <n v="1697"/>
    <s v="Sandra"/>
    <s v="Peterson"/>
    <s v="Belts"/>
    <n v="2"/>
    <n v="1758.97"/>
    <n v="0.65582914572864304"/>
    <n v="0"/>
    <d v="2025-02-12T00:00:00"/>
    <x v="0"/>
    <x v="1"/>
    <n v="2026.97"/>
    <s v="NEGATIVE SALES"/>
    <n v="3517.94"/>
  </r>
  <r>
    <n v="1698"/>
    <s v="Megan"/>
    <s v="Mays"/>
    <s v="Loafers"/>
    <n v="0"/>
    <n v="2111.87"/>
    <n v="0.65582914572864304"/>
    <n v="0"/>
    <d v="2024-07-29T00:00:00"/>
    <x v="5"/>
    <x v="0"/>
    <n v="-621"/>
    <s v="NEGATIVE SALES"/>
    <n v="0"/>
  </r>
  <r>
    <n v="1699"/>
    <s v="Linda"/>
    <s v="Long"/>
    <s v="Sneakers"/>
    <n v="6"/>
    <n v="701.16"/>
    <n v="0.65582914572864304"/>
    <n v="0"/>
    <d v="2025-02-09T00:00:00"/>
    <x v="0"/>
    <x v="0"/>
    <n v="2632.17"/>
    <s v="NEGATIVE SALES"/>
    <n v="4206.96"/>
  </r>
  <r>
    <n v="1700"/>
    <s v="Ronald"/>
    <s v="Arias"/>
    <s v="Oversized T-Shirt"/>
    <n v="0"/>
    <n v="3332.06"/>
    <n v="0.47"/>
    <n v="0"/>
    <d v="2024-10-28T00:00:00"/>
    <x v="2"/>
    <x v="1"/>
    <n v="1969.67"/>
    <s v="NEGATIVE SALES"/>
    <n v="0"/>
  </r>
  <r>
    <n v="1701"/>
    <s v="Susan"/>
    <s v="Lambert"/>
    <s v="Wrap Dress"/>
    <n v="2"/>
    <n v="3402.47"/>
    <n v="1.05"/>
    <n v="-340.25"/>
    <d v="2024-10-28T00:00:00"/>
    <x v="1"/>
    <x v="1"/>
    <n v="1713.45"/>
    <s v="NEGATIVE SALES"/>
    <n v="6804.94"/>
  </r>
  <r>
    <n v="1702"/>
    <s v="Christopher"/>
    <s v="Patrick"/>
    <s v="Sneakers"/>
    <n v="0"/>
    <n v="792.36"/>
    <n v="0.65547899159663803"/>
    <n v="0"/>
    <d v="2025-03-29T00:00:00"/>
    <x v="1"/>
    <x v="1"/>
    <n v="990.35"/>
    <s v="NEGATIVE SALES"/>
    <n v="0"/>
  </r>
  <r>
    <n v="1703"/>
    <s v="Joy"/>
    <s v="Garcia"/>
    <s v="Slim Fit Jeans"/>
    <n v="0"/>
    <n v="2676.5855999999999"/>
    <n v="0.92"/>
    <n v="0"/>
    <d v="2025-01-30T00:00:00"/>
    <x v="4"/>
    <x v="2"/>
    <n v="-96.41"/>
    <s v="NEGATIVE SALES"/>
    <n v="0"/>
  </r>
  <r>
    <n v="1704"/>
    <s v="Ryan"/>
    <s v="Jordan"/>
    <s v="Classic Tee"/>
    <n v="0"/>
    <n v="2678.5816"/>
    <n v="0.47"/>
    <n v="0"/>
    <d v="2024-09-21T00:00:00"/>
    <x v="3"/>
    <x v="2"/>
    <n v="2611.36"/>
    <s v="NEGATIVE SALES"/>
    <n v="0"/>
  </r>
  <r>
    <n v="1705"/>
    <s v="Cynthia"/>
    <s v="Conway"/>
    <s v="Sneakers"/>
    <n v="-2"/>
    <n v="4170.76"/>
    <n v="0.65534569983136604"/>
    <n v="0"/>
    <d v="2025-05-12T00:00:00"/>
    <x v="3"/>
    <x v="1"/>
    <n v="826.76"/>
    <s v="NEGATIVE SALES"/>
    <n v="-8341.52"/>
  </r>
  <r>
    <n v="1706"/>
    <s v="Sarah"/>
    <s v="Thompson"/>
    <s v="Denim Jacket"/>
    <n v="5"/>
    <n v="4827.8900000000003"/>
    <n v="0.84"/>
    <n v="3862.31"/>
    <d v="2025-05-12T00:00:00"/>
    <x v="1"/>
    <x v="0"/>
    <n v="2824.1"/>
    <s v="POSITIVE SALES"/>
    <n v="24139.45"/>
  </r>
  <r>
    <n v="1707"/>
    <s v="Jack"/>
    <s v="Phelps"/>
    <s v="Puffer Coat"/>
    <n v="6"/>
    <n v="2676.9992000000002"/>
    <n v="0.65503378378378396"/>
    <n v="0"/>
    <d v="2025-05-12T00:00:00"/>
    <x v="2"/>
    <x v="2"/>
    <n v="1903.2"/>
    <s v="NEGATIVE SALES"/>
    <n v="16061.995199999999"/>
  </r>
  <r>
    <n v="1708"/>
    <s v="Willie"/>
    <s v="Hodge"/>
    <s v="Sunglasses"/>
    <n v="0"/>
    <n v="2674.7159000000001"/>
    <n v="0.55000000000000004"/>
    <n v="0"/>
    <d v="2025-06-05T00:00:00"/>
    <x v="0"/>
    <x v="1"/>
    <n v="1400.39"/>
    <s v="NEGATIVE SALES"/>
    <n v="0"/>
  </r>
  <r>
    <n v="1709"/>
    <s v="Jerry"/>
    <s v="Carroll"/>
    <s v="Denim Jacket"/>
    <n v="5"/>
    <n v="1717.79"/>
    <n v="0.65521150592216604"/>
    <n v="0"/>
    <d v="2024-09-28T00:00:00"/>
    <x v="1"/>
    <x v="2"/>
    <n v="2264.16"/>
    <s v="NEGATIVE SALES"/>
    <n v="8588.9500000000007"/>
  </r>
  <r>
    <n v="1710"/>
    <s v="Michael"/>
    <s v="Allen"/>
    <s v="Watches"/>
    <n v="-1"/>
    <n v="2674.7159000000001"/>
    <n v="0.45"/>
    <n v="0"/>
    <d v="2024-10-11T00:00:00"/>
    <x v="1"/>
    <x v="0"/>
    <n v="-333.46"/>
    <s v="NEGATIVE SALES"/>
    <n v="-2674.7159000000001"/>
  </r>
  <r>
    <n v="1711"/>
    <s v="Zachary"/>
    <s v="Phillips"/>
    <s v="Watches"/>
    <n v="0"/>
    <n v="2685.92"/>
    <n v="0.655559322033898"/>
    <n v="0"/>
    <d v="2024-10-20T00:00:00"/>
    <x v="4"/>
    <x v="2"/>
    <n v="2804.29"/>
    <s v="NEGATIVE SALES"/>
    <n v="0"/>
  </r>
  <r>
    <n v="1712"/>
    <s v="Ricardo"/>
    <s v="Moran"/>
    <s v="Belts"/>
    <n v="-1"/>
    <n v="2386.58"/>
    <n v="0.655559322033898"/>
    <n v="0"/>
    <d v="2024-08-14T00:00:00"/>
    <x v="4"/>
    <x v="2"/>
    <n v="1879.59"/>
    <s v="NEGATIVE SALES"/>
    <n v="-2386.58"/>
  </r>
  <r>
    <n v="1713"/>
    <s v="Ms."/>
    <s v="Sheila"/>
    <s v="Graphic Tee"/>
    <n v="0"/>
    <n v="2675.7220000000002"/>
    <n v="0.655559322033898"/>
    <n v="0"/>
    <d v="2024-11-01T00:00:00"/>
    <x v="4"/>
    <x v="0"/>
    <n v="832.34"/>
    <s v="NEGATIVE SALES"/>
    <n v="0"/>
  </r>
  <r>
    <n v="1714"/>
    <s v="Stephen"/>
    <s v="Allen"/>
    <s v="Graphic Tee"/>
    <n v="0"/>
    <n v="2676.0299"/>
    <n v="0.655559322033898"/>
    <n v="0"/>
    <d v="2024-11-01T00:00:00"/>
    <x v="5"/>
    <x v="0"/>
    <n v="-746.03"/>
    <s v="NEGATIVE SALES"/>
    <n v="0"/>
  </r>
  <r>
    <n v="1715"/>
    <s v="Austin"/>
    <s v="Reilly"/>
    <s v="Watches"/>
    <n v="0"/>
    <n v="3863.51"/>
    <n v="0.655559322033898"/>
    <n v="0"/>
    <d v="2025-05-19T00:00:00"/>
    <x v="2"/>
    <x v="0"/>
    <n v="-830.55"/>
    <s v="NEGATIVE SALES"/>
    <n v="0"/>
  </r>
  <r>
    <n v="1716"/>
    <s v="Michael"/>
    <s v="Crawford"/>
    <s v="Casual Midi"/>
    <n v="0"/>
    <n v="980.17"/>
    <n v="0.655559322033898"/>
    <n v="0"/>
    <d v="2024-07-23T00:00:00"/>
    <x v="2"/>
    <x v="2"/>
    <n v="275.05"/>
    <s v="NEGATIVE SALES"/>
    <n v="0"/>
  </r>
  <r>
    <n v="1717"/>
    <s v="Marie"/>
    <s v="Nelson"/>
    <s v="Crop Top"/>
    <n v="4"/>
    <n v="1279.2"/>
    <n v="0.27"/>
    <n v="3735.26"/>
    <d v="2024-11-15T00:00:00"/>
    <x v="0"/>
    <x v="0"/>
    <n v="453.7"/>
    <s v="POSITIVE SALES"/>
    <n v="5116.8"/>
  </r>
  <r>
    <n v="1718"/>
    <s v="Christina"/>
    <s v="Meyers"/>
    <s v="Denim Jacket"/>
    <n v="5"/>
    <n v="3988.99"/>
    <n v="0.65621392190152805"/>
    <n v="0"/>
    <d v="2025-05-25T00:00:00"/>
    <x v="5"/>
    <x v="0"/>
    <n v="1430.08"/>
    <s v="NEGATIVE SALES"/>
    <n v="19944.95"/>
  </r>
  <r>
    <n v="1719"/>
    <s v="Lisa"/>
    <s v="Vang"/>
    <s v="Boyfriend Jeans"/>
    <n v="3"/>
    <n v="4407.79"/>
    <n v="0.64"/>
    <n v="4760.41"/>
    <d v="2025-03-15T00:00:00"/>
    <x v="0"/>
    <x v="2"/>
    <n v="1150.06"/>
    <s v="POSITIVE SALES"/>
    <n v="13223.37"/>
  </r>
  <r>
    <n v="1720"/>
    <s v="Dylan"/>
    <s v="Armstrong"/>
    <s v="Leather Jacket"/>
    <n v="3"/>
    <n v="3667.54"/>
    <n v="0.56999999999999995"/>
    <n v="4731.13"/>
    <d v="2023-07-31T00:00:00"/>
    <x v="1"/>
    <x v="2"/>
    <n v="459.43"/>
    <s v="POSITIVE SALES"/>
    <n v="11002.62"/>
  </r>
  <r>
    <n v="1721"/>
    <s v="Stephen"/>
    <s v="Berry"/>
    <s v="Wrap Dress"/>
    <n v="0"/>
    <n v="2674.8099000000002"/>
    <n v="0.65638841567291295"/>
    <n v="0"/>
    <d v="2024-10-10T00:00:00"/>
    <x v="0"/>
    <x v="0"/>
    <n v="788.55"/>
    <s v="NEGATIVE SALES"/>
    <n v="0"/>
  </r>
  <r>
    <n v="1722"/>
    <s v="David"/>
    <s v="Vincent"/>
    <s v="Bomber Jacket"/>
    <n v="0"/>
    <n v="2673.7458999999999"/>
    <n v="0.85"/>
    <n v="0"/>
    <d v="2024-10-10T00:00:00"/>
    <x v="2"/>
    <x v="0"/>
    <n v="1010.08"/>
    <s v="NEGATIVE SALES"/>
    <n v="0"/>
  </r>
  <r>
    <n v="1723"/>
    <s v="Mary"/>
    <s v="Singh"/>
    <s v="Bodycon"/>
    <n v="4"/>
    <n v="2673.7458999999999"/>
    <n v="0.2"/>
    <n v="0"/>
    <d v="2025-06-19T00:00:00"/>
    <x v="1"/>
    <x v="2"/>
    <n v="351.59"/>
    <s v="NEGATIVE SALES"/>
    <n v="10694.9836"/>
  </r>
  <r>
    <n v="1724"/>
    <s v="Robin"/>
    <s v="Hughes"/>
    <s v="Ripped Denim"/>
    <n v="0"/>
    <n v="2047.6"/>
    <n v="0.92"/>
    <n v="0"/>
    <d v="2024-09-21T00:00:00"/>
    <x v="3"/>
    <x v="2"/>
    <n v="123.78"/>
    <s v="NEGATIVE SALES"/>
    <n v="0"/>
  </r>
  <r>
    <n v="1725"/>
    <s v="Jonathan"/>
    <s v="Schmidt"/>
    <s v="Maxi Dress"/>
    <n v="3"/>
    <n v="671.5"/>
    <n v="0.65638698630137005"/>
    <n v="0"/>
    <d v="2024-08-13T00:00:00"/>
    <x v="5"/>
    <x v="2"/>
    <n v="1938.72"/>
    <s v="NEGATIVE SALES"/>
    <n v="2014.5"/>
  </r>
  <r>
    <n v="1726"/>
    <s v="Grace"/>
    <s v="Montoya"/>
    <s v="Bodycon"/>
    <n v="5"/>
    <n v="1363.51"/>
    <n v="1.26"/>
    <n v="-1772.56"/>
    <d v="2025-02-03T00:00:00"/>
    <x v="3"/>
    <x v="0"/>
    <n v="2854.74"/>
    <s v="NEGATIVE SALES"/>
    <n v="6817.55"/>
  </r>
  <r>
    <n v="1727"/>
    <s v="Ashley"/>
    <s v="Nguyen"/>
    <s v="Watches"/>
    <n v="5"/>
    <n v="2676.5691000000002"/>
    <n v="0.76"/>
    <n v="0"/>
    <d v="2025-02-03T00:00:00"/>
    <x v="2"/>
    <x v="1"/>
    <n v="1252.83"/>
    <s v="NEGATIVE SALES"/>
    <n v="13382.845499999999"/>
  </r>
  <r>
    <n v="1728"/>
    <s v="Paige"/>
    <s v="Lee"/>
    <s v="Loafers"/>
    <n v="1"/>
    <n v="733.15"/>
    <n v="0.27"/>
    <n v="535.20000000000005"/>
    <d v="2025-01-25T00:00:00"/>
    <x v="1"/>
    <x v="2"/>
    <n v="273.12"/>
    <s v="POSITIVE SALES"/>
    <n v="733.15"/>
  </r>
  <r>
    <n v="1729"/>
    <s v="Beth"/>
    <s v="Wolfe"/>
    <s v="Boyfriend Jeans"/>
    <n v="0"/>
    <n v="416.58"/>
    <n v="0.655834767641996"/>
    <n v="0"/>
    <d v="2025-01-25T00:00:00"/>
    <x v="3"/>
    <x v="2"/>
    <n v="-765.44"/>
    <s v="NEGATIVE SALES"/>
    <n v="0"/>
  </r>
  <r>
    <n v="1730"/>
    <s v="Jessica"/>
    <s v="Carr"/>
    <s v="Wrap Dress"/>
    <n v="0"/>
    <n v="3933.55"/>
    <n v="0.655834767641996"/>
    <n v="0"/>
    <d v="2025-01-09T00:00:00"/>
    <x v="3"/>
    <x v="0"/>
    <n v="2728.66"/>
    <s v="NEGATIVE SALES"/>
    <n v="0"/>
  </r>
  <r>
    <n v="1731"/>
    <s v="Becky"/>
    <s v="Gordon"/>
    <s v="Leather Jacket"/>
    <n v="0"/>
    <n v="2682.5135"/>
    <n v="1"/>
    <n v="0"/>
    <d v="2024-08-28T00:00:00"/>
    <x v="2"/>
    <x v="1"/>
    <n v="2108.61"/>
    <s v="NEGATIVE SALES"/>
    <n v="0"/>
  </r>
  <r>
    <n v="1732"/>
    <s v="Mary"/>
    <s v="Kline"/>
    <s v="Wrap Dress"/>
    <n v="5"/>
    <n v="4982.68"/>
    <n v="0.65524137931034498"/>
    <n v="0"/>
    <d v="2023-11-06T00:00:00"/>
    <x v="2"/>
    <x v="2"/>
    <n v="2239.42"/>
    <s v="NEGATIVE SALES"/>
    <n v="24913.4"/>
  </r>
  <r>
    <n v="1733"/>
    <s v="Selena"/>
    <s v="Baker"/>
    <s v="Bomber Jacket"/>
    <n v="-2"/>
    <n v="721.25"/>
    <n v="0.65524137931034498"/>
    <n v="0"/>
    <d v="2025-01-29T00:00:00"/>
    <x v="0"/>
    <x v="1"/>
    <n v="-936.38"/>
    <s v="NEGATIVE SALES"/>
    <n v="-1442.5"/>
  </r>
  <r>
    <n v="1734"/>
    <s v="Mr."/>
    <s v="Lawrence"/>
    <s v="Leather Jacket"/>
    <n v="0"/>
    <n v="2678.6786000000002"/>
    <n v="0.65524137931034498"/>
    <n v="0"/>
    <d v="2025-01-30T00:00:00"/>
    <x v="5"/>
    <x v="1"/>
    <n v="-461.7"/>
    <s v="NEGATIVE SALES"/>
    <n v="0"/>
  </r>
  <r>
    <n v="1735"/>
    <s v="Martha"/>
    <s v="Fitzgerald"/>
    <s v="Puffer Coat"/>
    <n v="4"/>
    <n v="2680.7946999999999"/>
    <n v="1.06"/>
    <n v="0"/>
    <d v="2024-12-28T00:00:00"/>
    <x v="2"/>
    <x v="1"/>
    <n v="2607.4299999999998"/>
    <s v="NEGATIVE SALES"/>
    <n v="10723.1788"/>
  </r>
  <r>
    <n v="1736"/>
    <s v="Alexandria"/>
    <s v="Smith"/>
    <s v="Puffer Coat"/>
    <n v="0"/>
    <n v="1144.47"/>
    <n v="0.09"/>
    <n v="0"/>
    <d v="2024-08-07T00:00:00"/>
    <x v="3"/>
    <x v="2"/>
    <n v="1236.6199999999999"/>
    <s v="NEGATIVE SALES"/>
    <n v="0"/>
  </r>
  <r>
    <n v="1737"/>
    <s v="Nicholas"/>
    <s v="Fisher"/>
    <s v="Casual Midi"/>
    <n v="5"/>
    <n v="2220.4699999999998"/>
    <n v="0.65551903114186805"/>
    <n v="0"/>
    <d v="2024-08-07T00:00:00"/>
    <x v="4"/>
    <x v="0"/>
    <n v="-156.87"/>
    <s v="NEGATIVE SALES"/>
    <n v="11102.35"/>
  </r>
  <r>
    <n v="1738"/>
    <s v="Barbara"/>
    <s v="Patel"/>
    <s v="Classic Tee"/>
    <n v="0"/>
    <n v="1171.19"/>
    <n v="0.65551903114186805"/>
    <n v="0"/>
    <d v="2025-02-10T00:00:00"/>
    <x v="1"/>
    <x v="0"/>
    <n v="2205.44"/>
    <s v="NEGATIVE SALES"/>
    <n v="0"/>
  </r>
  <r>
    <n v="1739"/>
    <s v="Brent"/>
    <s v="Rios"/>
    <s v="Denim Jacket"/>
    <n v="3"/>
    <n v="963.18"/>
    <n v="0.65551903114186805"/>
    <n v="0"/>
    <d v="2025-01-01T00:00:00"/>
    <x v="2"/>
    <x v="2"/>
    <n v="-114.6"/>
    <s v="NEGATIVE SALES"/>
    <n v="2889.54"/>
  </r>
  <r>
    <n v="1740"/>
    <s v="Jesus"/>
    <s v="Ramirez"/>
    <s v="Slim Fit Jeans"/>
    <n v="2"/>
    <n v="2684.5976000000001"/>
    <n v="0.65551903114186805"/>
    <n v="0"/>
    <d v="2025-06-24T00:00:00"/>
    <x v="1"/>
    <x v="2"/>
    <n v="796.49"/>
    <s v="NEGATIVE SALES"/>
    <n v="5369.1952000000001"/>
  </r>
  <r>
    <n v="1741"/>
    <s v="Jennifer"/>
    <s v="Dominguez"/>
    <s v="Graphic Tee"/>
    <n v="1"/>
    <n v="1762.56"/>
    <n v="0.98"/>
    <n v="35.25"/>
    <d v="2024-01-13T00:00:00"/>
    <x v="1"/>
    <x v="2"/>
    <n v="1217.93"/>
    <s v="POSITIVE SALES"/>
    <n v="1762.56"/>
  </r>
  <r>
    <n v="1742"/>
    <s v="Evan"/>
    <s v="Huynh"/>
    <s v="Ripped Denim"/>
    <n v="0"/>
    <n v="2686.4666000000002"/>
    <n v="0.03"/>
    <n v="0"/>
    <d v="2024-01-13T00:00:00"/>
    <x v="3"/>
    <x v="0"/>
    <n v="-222.56"/>
    <s v="NEGATIVE SALES"/>
    <n v="0"/>
  </r>
  <r>
    <n v="1743"/>
    <s v="Valerie"/>
    <s v="Perry"/>
    <s v="Crop Top"/>
    <n v="0"/>
    <n v="2687.4708999999998"/>
    <n v="0.65604166666666597"/>
    <n v="0"/>
    <d v="2025-05-05T00:00:00"/>
    <x v="4"/>
    <x v="0"/>
    <n v="1490.6"/>
    <s v="NEGATIVE SALES"/>
    <n v="0"/>
  </r>
  <r>
    <n v="1744"/>
    <s v="Michelle"/>
    <s v="Johnson"/>
    <s v="Boots"/>
    <n v="0"/>
    <n v="2687.4708999999998"/>
    <n v="0.65604166666666597"/>
    <n v="0"/>
    <d v="2024-04-07T00:00:00"/>
    <x v="2"/>
    <x v="0"/>
    <n v="1939.6"/>
    <s v="NEGATIVE SALES"/>
    <n v="0"/>
  </r>
  <r>
    <n v="1745"/>
    <s v="Kimberly"/>
    <s v="Harrington"/>
    <s v="Graphic Tee"/>
    <n v="4"/>
    <n v="2687.4708999999998"/>
    <n v="0.43"/>
    <n v="0"/>
    <d v="2024-07-17T00:00:00"/>
    <x v="3"/>
    <x v="1"/>
    <n v="723.22"/>
    <s v="NEGATIVE SALES"/>
    <n v="10749.883599999999"/>
  </r>
  <r>
    <n v="1746"/>
    <s v="Stephanie"/>
    <s v="Harrington"/>
    <s v="Slim Fit Jeans"/>
    <n v="0"/>
    <n v="2687.4708999999998"/>
    <n v="0.37"/>
    <n v="0"/>
    <d v="2023-09-07T00:00:00"/>
    <x v="3"/>
    <x v="1"/>
    <n v="2037.45"/>
    <s v="NEGATIVE SALES"/>
    <n v="0"/>
  </r>
  <r>
    <n v="1747"/>
    <s v="Rachel"/>
    <s v="Bryan"/>
    <s v="Oversized T-Shirt"/>
    <n v="0"/>
    <n v="405.37"/>
    <n v="0.65693379790940798"/>
    <n v="0"/>
    <d v="2023-09-07T00:00:00"/>
    <x v="4"/>
    <x v="0"/>
    <n v="375.4"/>
    <s v="NEGATIVE SALES"/>
    <n v="0"/>
  </r>
  <r>
    <n v="1748"/>
    <s v="Matthew"/>
    <s v="Stein"/>
    <s v="Wrap Dress"/>
    <n v="0"/>
    <n v="2687.4708999999998"/>
    <n v="0.65693379790940798"/>
    <n v="0"/>
    <d v="2024-09-12T00:00:00"/>
    <x v="1"/>
    <x v="2"/>
    <n v="1687.82"/>
    <s v="NEGATIVE SALES"/>
    <n v="0"/>
  </r>
  <r>
    <n v="1749"/>
    <s v="Michelle"/>
    <s v="Moore"/>
    <s v="Loafers"/>
    <n v="0"/>
    <n v="4499.3900000000003"/>
    <n v="0.65693379790940798"/>
    <n v="0"/>
    <d v="2025-03-27T00:00:00"/>
    <x v="0"/>
    <x v="0"/>
    <n v="17.489999999999998"/>
    <s v="NEGATIVE SALES"/>
    <n v="0"/>
  </r>
  <r>
    <n v="1750"/>
    <s v="Andrea"/>
    <s v="Hull"/>
    <s v="Maxi Dress"/>
    <n v="0"/>
    <n v="2653.9"/>
    <n v="0.56000000000000005"/>
    <n v="0"/>
    <d v="2025-07-15T00:00:00"/>
    <x v="3"/>
    <x v="2"/>
    <n v="2394.02"/>
    <s v="NEGATIVE SALES"/>
    <n v="0"/>
  </r>
  <r>
    <n v="1751"/>
    <s v="Kelly"/>
    <s v="Garcia"/>
    <s v="Puffer Coat"/>
    <n v="0"/>
    <n v="2687.9830999999999"/>
    <n v="0.65710296684118696"/>
    <n v="0"/>
    <d v="2025-07-15T00:00:00"/>
    <x v="4"/>
    <x v="1"/>
    <n v="59.73"/>
    <s v="NEGATIVE SALES"/>
    <n v="0"/>
  </r>
  <r>
    <n v="1752"/>
    <s v="Kelsey"/>
    <s v="King"/>
    <s v="Slim Fit Jeans"/>
    <n v="5"/>
    <n v="2177.1999999999998"/>
    <n v="0.65710296684118696"/>
    <n v="0"/>
    <d v="2025-07-15T00:00:00"/>
    <x v="4"/>
    <x v="2"/>
    <n v="-341.7"/>
    <s v="NEGATIVE SALES"/>
    <n v="10886"/>
  </r>
  <r>
    <n v="1753"/>
    <s v="Haley"/>
    <s v="Herrera"/>
    <s v="Puffer Coat"/>
    <n v="-2"/>
    <n v="2688.0201999999999"/>
    <n v="0.65710296684118696"/>
    <n v="0"/>
    <d v="2023-07-30T00:00:00"/>
    <x v="1"/>
    <x v="1"/>
    <n v="1848.5"/>
    <s v="NEGATIVE SALES"/>
    <n v="-5376.0403999999999"/>
  </r>
  <r>
    <n v="1754"/>
    <s v="Angela"/>
    <s v="Hall"/>
    <s v="Caps"/>
    <n v="0"/>
    <n v="2688.5779000000002"/>
    <n v="0.56999999999999995"/>
    <n v="0"/>
    <d v="2025-03-11T00:00:00"/>
    <x v="0"/>
    <x v="1"/>
    <n v="1945.55"/>
    <s v="NEGATIVE SALES"/>
    <n v="0"/>
  </r>
  <r>
    <n v="1755"/>
    <s v="Monica"/>
    <s v="Flores"/>
    <s v="Sneakers"/>
    <n v="0"/>
    <n v="2688.5779000000002"/>
    <n v="0.76"/>
    <n v="0"/>
    <d v="2025-03-11T00:00:00"/>
    <x v="5"/>
    <x v="2"/>
    <n v="-255.22"/>
    <s v="NEGATIVE SALES"/>
    <n v="0"/>
  </r>
  <r>
    <n v="1756"/>
    <s v="Sheri"/>
    <s v="Steele"/>
    <s v="Loafers"/>
    <n v="5"/>
    <n v="2688.5779000000002"/>
    <n v="0.65707530647986001"/>
    <n v="0"/>
    <d v="2025-01-15T00:00:00"/>
    <x v="2"/>
    <x v="0"/>
    <n v="1627.12"/>
    <s v="NEGATIVE SALES"/>
    <n v="13442.889499999999"/>
  </r>
  <r>
    <n v="1757"/>
    <s v="Aaron"/>
    <s v="Ramirez"/>
    <s v="Slim Fit Jeans"/>
    <n v="2"/>
    <n v="3405.13"/>
    <n v="0.91"/>
    <n v="612.91999999999996"/>
    <d v="2025-01-15T00:00:00"/>
    <x v="3"/>
    <x v="1"/>
    <n v="1804.47"/>
    <s v="POSITIVE SALES"/>
    <n v="6810.26"/>
  </r>
  <r>
    <n v="1758"/>
    <s v="Michael"/>
    <s v="Walls"/>
    <s v="Sneakers"/>
    <n v="0"/>
    <n v="1307.6400000000001"/>
    <n v="0.18"/>
    <n v="0"/>
    <d v="2025-03-06T00:00:00"/>
    <x v="2"/>
    <x v="2"/>
    <n v="-122.33"/>
    <s v="NEGATIVE SALES"/>
    <n v="0"/>
  </r>
  <r>
    <n v="1759"/>
    <s v="Gregory"/>
    <s v="Garza"/>
    <s v="Crop Top"/>
    <n v="0"/>
    <n v="2687.7948000000001"/>
    <n v="0.65746924428822495"/>
    <n v="0"/>
    <d v="2024-12-28T00:00:00"/>
    <x v="1"/>
    <x v="1"/>
    <n v="-278.64999999999998"/>
    <s v="NEGATIVE SALES"/>
    <n v="0"/>
  </r>
  <r>
    <n v="1760"/>
    <s v="Dustin"/>
    <s v="Blackburn"/>
    <s v="Watches"/>
    <n v="3"/>
    <n v="4326.6000000000004"/>
    <n v="0.65746924428822495"/>
    <n v="0"/>
    <d v="2025-01-06T00:00:00"/>
    <x v="1"/>
    <x v="2"/>
    <n v="1495.82"/>
    <s v="NEGATIVE SALES"/>
    <n v="12979.8"/>
  </r>
  <r>
    <n v="1761"/>
    <s v="Richard"/>
    <s v="Anderson"/>
    <s v="Leather Jacket"/>
    <n v="3"/>
    <n v="2689.3047999999999"/>
    <n v="0.37"/>
    <n v="0"/>
    <d v="2024-09-05T00:00:00"/>
    <x v="2"/>
    <x v="2"/>
    <n v="2989.57"/>
    <s v="NEGATIVE SALES"/>
    <n v="8067.9143999999997"/>
  </r>
  <r>
    <n v="1762"/>
    <s v="Richard"/>
    <s v="Santiago"/>
    <s v="Puffer Coat"/>
    <n v="0"/>
    <n v="1364.9"/>
    <n v="0.17"/>
    <n v="0"/>
    <d v="2024-11-08T00:00:00"/>
    <x v="0"/>
    <x v="1"/>
    <n v="1591.99"/>
    <s v="NEGATIVE SALES"/>
    <n v="0"/>
  </r>
  <r>
    <n v="1763"/>
    <s v="William"/>
    <s v="Reyes"/>
    <s v="Slip-Ons"/>
    <n v="2"/>
    <n v="1874.56"/>
    <n v="0.658835978835979"/>
    <n v="0"/>
    <d v="2024-11-08T00:00:00"/>
    <x v="4"/>
    <x v="1"/>
    <n v="1906.32"/>
    <s v="NEGATIVE SALES"/>
    <n v="3749.12"/>
  </r>
  <r>
    <n v="1765"/>
    <s v="Patrick"/>
    <s v="Chen"/>
    <s v="Straight Cut"/>
    <n v="6"/>
    <n v="1016.5"/>
    <n v="0.658835978835979"/>
    <n v="0"/>
    <d v="2025-02-21T00:00:00"/>
    <x v="2"/>
    <x v="0"/>
    <n v="-420.11"/>
    <s v="NEGATIVE SALES"/>
    <n v="6099"/>
  </r>
  <r>
    <n v="1766"/>
    <s v="David"/>
    <s v="Wilson"/>
    <s v="Denim Jacket"/>
    <n v="0"/>
    <n v="3589.19"/>
    <n v="0.658835978835979"/>
    <n v="0"/>
    <d v="2025-06-30T00:00:00"/>
    <x v="2"/>
    <x v="1"/>
    <n v="1880.22"/>
    <s v="NEGATIVE SALES"/>
    <n v="0"/>
  </r>
  <r>
    <n v="1767"/>
    <s v="Cynthia"/>
    <s v="Mullen"/>
    <s v="Maxi Dress"/>
    <n v="0"/>
    <n v="2151.92"/>
    <n v="0.658835978835979"/>
    <n v="0"/>
    <d v="2025-07-12T00:00:00"/>
    <x v="2"/>
    <x v="2"/>
    <n v="2383.83"/>
    <s v="NEGATIVE SALES"/>
    <n v="0"/>
  </r>
  <r>
    <n v="1768"/>
    <s v="Sandra"/>
    <s v="Jensen"/>
    <s v="Slip-Ons"/>
    <n v="5"/>
    <n v="3548.22"/>
    <n v="0.658835978835979"/>
    <n v="0"/>
    <d v="2023-07-26T00:00:00"/>
    <x v="2"/>
    <x v="2"/>
    <n v="2960.22"/>
    <s v="NEGATIVE SALES"/>
    <n v="17741.099999999999"/>
  </r>
  <r>
    <n v="1769"/>
    <s v="John"/>
    <s v="Sanders"/>
    <s v="Leather Jacket"/>
    <n v="0"/>
    <n v="2689.4794000000002"/>
    <n v="1"/>
    <n v="0"/>
    <d v="2024-11-30T00:00:00"/>
    <x v="0"/>
    <x v="0"/>
    <n v="989.57"/>
    <s v="NEGATIVE SALES"/>
    <n v="0"/>
  </r>
  <r>
    <n v="1770"/>
    <s v="Shannon"/>
    <s v="Lee"/>
    <s v="Maxi Dress"/>
    <n v="0"/>
    <n v="2688.5315000000001"/>
    <n v="0.65823321554770298"/>
    <n v="0"/>
    <d v="2023-09-28T00:00:00"/>
    <x v="4"/>
    <x v="1"/>
    <n v="2366.9699999999998"/>
    <s v="NEGATIVE SALES"/>
    <n v="0"/>
  </r>
  <r>
    <n v="1771"/>
    <s v="Ruth"/>
    <s v="Bennett"/>
    <s v="Slip-Ons"/>
    <n v="-1"/>
    <n v="730.48"/>
    <n v="0.65823321554770298"/>
    <n v="0"/>
    <d v="2025-01-07T00:00:00"/>
    <x v="5"/>
    <x v="0"/>
    <n v="-162.02000000000001"/>
    <s v="NEGATIVE SALES"/>
    <n v="-730.48"/>
  </r>
  <r>
    <n v="1772"/>
    <s v="Jack"/>
    <s v="Romero"/>
    <s v="Boyfriend Jeans"/>
    <n v="0"/>
    <n v="2688.5315000000001"/>
    <n v="0.38"/>
    <n v="0"/>
    <d v="2025-06-08T00:00:00"/>
    <x v="1"/>
    <x v="0"/>
    <n v="545.03"/>
    <s v="NEGATIVE SALES"/>
    <n v="0"/>
  </r>
  <r>
    <n v="1773"/>
    <s v="Glen"/>
    <s v="Anderson"/>
    <s v="Watches"/>
    <n v="0"/>
    <n v="444.82"/>
    <n v="0.51"/>
    <n v="0"/>
    <d v="2025-06-08T00:00:00"/>
    <x v="5"/>
    <x v="0"/>
    <n v="1838.59"/>
    <s v="NEGATIVE SALES"/>
    <n v="0"/>
  </r>
  <r>
    <n v="1774"/>
    <s v="Robert"/>
    <s v="Hunter"/>
    <s v="Sunglasses"/>
    <n v="3"/>
    <n v="4137.43"/>
    <n v="0.65898936170212796"/>
    <n v="0"/>
    <d v="2025-04-30T00:00:00"/>
    <x v="1"/>
    <x v="0"/>
    <n v="895.53"/>
    <s v="NEGATIVE SALES"/>
    <n v="12412.29"/>
  </r>
  <r>
    <n v="1775"/>
    <s v="Michael"/>
    <s v="Sullivan"/>
    <s v="Graphic Tee"/>
    <n v="0"/>
    <n v="2693.1795000000002"/>
    <n v="1.01"/>
    <n v="0"/>
    <d v="2025-04-30T00:00:00"/>
    <x v="1"/>
    <x v="1"/>
    <n v="2275.5500000000002"/>
    <s v="NEGATIVE SALES"/>
    <n v="0"/>
  </r>
  <r>
    <n v="1776"/>
    <s v="Martin"/>
    <s v="White"/>
    <s v="Boots"/>
    <n v="4"/>
    <n v="4684.9799999999996"/>
    <n v="0.658365896980462"/>
    <n v="0"/>
    <d v="2025-04-30T00:00:00"/>
    <x v="4"/>
    <x v="0"/>
    <n v="-360.88"/>
    <s v="NEGATIVE SALES"/>
    <n v="18739.919999999998"/>
  </r>
  <r>
    <n v="1777"/>
    <s v="Emma"/>
    <s v="Sharp"/>
    <s v="Wrap Dress"/>
    <n v="0"/>
    <n v="2691.5801000000001"/>
    <n v="0.658365896980462"/>
    <n v="0"/>
    <d v="2024-04-19T00:00:00"/>
    <x v="0"/>
    <x v="2"/>
    <n v="1292.0899999999999"/>
    <s v="NEGATIVE SALES"/>
    <n v="0"/>
  </r>
  <r>
    <n v="1778"/>
    <s v="Dr."/>
    <s v="Brandi"/>
    <s v="Crop Top"/>
    <n v="5"/>
    <n v="2716.57"/>
    <n v="0.658365896980462"/>
    <n v="0"/>
    <d v="2024-10-04T00:00:00"/>
    <x v="2"/>
    <x v="0"/>
    <n v="2059.98"/>
    <s v="NEGATIVE SALES"/>
    <n v="13582.85"/>
  </r>
  <r>
    <n v="1779"/>
    <s v="Richard"/>
    <s v="Williams"/>
    <s v="Boyfriend Jeans"/>
    <n v="0"/>
    <n v="2689.3701000000001"/>
    <n v="0.658365896980462"/>
    <n v="0"/>
    <d v="2024-10-03T00:00:00"/>
    <x v="5"/>
    <x v="1"/>
    <n v="1861.39"/>
    <s v="NEGATIVE SALES"/>
    <n v="0"/>
  </r>
  <r>
    <n v="1780"/>
    <s v="Roger"/>
    <s v="Hall"/>
    <s v="Leather Jacket"/>
    <n v="0"/>
    <n v="2689.34"/>
    <n v="0.658365896980462"/>
    <n v="0"/>
    <d v="2025-06-21T00:00:00"/>
    <x v="0"/>
    <x v="2"/>
    <n v="2756.02"/>
    <s v="NEGATIVE SALES"/>
    <n v="0"/>
  </r>
  <r>
    <n v="1781"/>
    <s v="Roberta"/>
    <s v="Thompson"/>
    <s v="Casual Midi"/>
    <n v="0"/>
    <n v="2689.34"/>
    <n v="0.658365896980462"/>
    <n v="0"/>
    <d v="2025-02-22T00:00:00"/>
    <x v="2"/>
    <x v="1"/>
    <n v="213.46"/>
    <s v="NEGATIVE SALES"/>
    <n v="0"/>
  </r>
  <r>
    <n v="1782"/>
    <s v="Jacqueline"/>
    <s v="Ward"/>
    <s v="Denim Jacket"/>
    <n v="6"/>
    <n v="2689.34"/>
    <n v="0.658365896980462"/>
    <n v="0"/>
    <d v="2024-02-28T00:00:00"/>
    <x v="2"/>
    <x v="2"/>
    <n v="1802.32"/>
    <s v="NEGATIVE SALES"/>
    <n v="16136.04"/>
  </r>
  <r>
    <n v="1783"/>
    <s v="Mrs."/>
    <s v="Denise"/>
    <s v="Denim Jacket"/>
    <n v="0"/>
    <n v="2689.34"/>
    <n v="0.93"/>
    <n v="0"/>
    <d v="2024-08-01T00:00:00"/>
    <x v="5"/>
    <x v="1"/>
    <n v="34.35"/>
    <s v="NEGATIVE SALES"/>
    <n v="0"/>
  </r>
  <r>
    <n v="1784"/>
    <s v="Matthew"/>
    <s v="Barajas"/>
    <s v="Crop Top"/>
    <n v="4"/>
    <n v="2068.0500000000002"/>
    <n v="0.65788256227758002"/>
    <n v="0"/>
    <d v="2024-10-08T00:00:00"/>
    <x v="2"/>
    <x v="0"/>
    <n v="-379.91"/>
    <s v="NEGATIVE SALES"/>
    <n v="8272.2000000000007"/>
  </r>
  <r>
    <n v="1785"/>
    <s v="Jeffery"/>
    <s v="Hoover"/>
    <s v="Oversized T-Shirt"/>
    <n v="3"/>
    <n v="4103"/>
    <n v="0.65788256227758002"/>
    <n v="0"/>
    <d v="2025-05-27T00:00:00"/>
    <x v="5"/>
    <x v="0"/>
    <n v="567.89"/>
    <s v="NEGATIVE SALES"/>
    <n v="12309"/>
  </r>
  <r>
    <n v="1786"/>
    <s v="Johnny"/>
    <s v="George"/>
    <s v="Sneakers"/>
    <n v="0"/>
    <n v="2690.0302999999999"/>
    <n v="1.1100000000000001"/>
    <n v="0"/>
    <d v="2025-03-27T00:00:00"/>
    <x v="4"/>
    <x v="1"/>
    <n v="1462.24"/>
    <s v="NEGATIVE SALES"/>
    <n v="0"/>
  </r>
  <r>
    <n v="1787"/>
    <s v="Pamela"/>
    <s v="Johnson"/>
    <s v="Caps"/>
    <n v="6"/>
    <n v="2688.4585999999999"/>
    <n v="0.65707664884135397"/>
    <n v="0"/>
    <d v="2024-11-16T00:00:00"/>
    <x v="0"/>
    <x v="0"/>
    <n v="1294"/>
    <s v="NEGATIVE SALES"/>
    <n v="16130.7516"/>
  </r>
  <r>
    <n v="1789"/>
    <s v="Douglas"/>
    <s v="Lane"/>
    <s v="Bomber Jacket"/>
    <n v="0"/>
    <n v="1433.92"/>
    <n v="0.11"/>
    <n v="0"/>
    <d v="2025-04-24T00:00:00"/>
    <x v="5"/>
    <x v="0"/>
    <n v="315.07"/>
    <s v="NEGATIVE SALES"/>
    <n v="0"/>
  </r>
  <r>
    <n v="1790"/>
    <s v="April"/>
    <s v="Delgado"/>
    <s v="Bomber Jacket"/>
    <n v="1"/>
    <n v="3268.42"/>
    <n v="0.65805357142857102"/>
    <n v="0"/>
    <d v="2025-05-16T00:00:00"/>
    <x v="0"/>
    <x v="0"/>
    <n v="259.67"/>
    <s v="NEGATIVE SALES"/>
    <n v="3268.42"/>
  </r>
  <r>
    <n v="1791"/>
    <s v="Felicia"/>
    <s v="Fox"/>
    <s v="Casual Midi"/>
    <n v="0"/>
    <n v="2123.69"/>
    <n v="0.69"/>
    <n v="0"/>
    <d v="2024-12-29T00:00:00"/>
    <x v="3"/>
    <x v="0"/>
    <n v="2894.66"/>
    <s v="NEGATIVE SALES"/>
    <n v="0"/>
  </r>
  <r>
    <n v="1792"/>
    <s v="Tammy"/>
    <s v="Deleon"/>
    <s v="Boyfriend Jeans"/>
    <n v="0"/>
    <n v="2688.9180000000001"/>
    <n v="0.83"/>
    <n v="0"/>
    <d v="2025-02-08T00:00:00"/>
    <x v="2"/>
    <x v="2"/>
    <n v="-116.82"/>
    <s v="NEGATIVE SALES"/>
    <n v="0"/>
  </r>
  <r>
    <n v="1793"/>
    <s v="Maria"/>
    <s v="Krueger"/>
    <s v="Maxi Dress"/>
    <n v="5"/>
    <n v="1887.84"/>
    <n v="0.65768817204301"/>
    <n v="0"/>
    <d v="2024-08-21T00:00:00"/>
    <x v="1"/>
    <x v="0"/>
    <n v="1275.03"/>
    <s v="NEGATIVE SALES"/>
    <n v="9439.2000000000007"/>
  </r>
  <r>
    <n v="1794"/>
    <s v="Grant"/>
    <s v="Juarez"/>
    <s v="Denim Jacket"/>
    <n v="0"/>
    <n v="2689.5495000000001"/>
    <n v="0.65768817204301"/>
    <n v="0"/>
    <d v="2025-06-10T00:00:00"/>
    <x v="3"/>
    <x v="2"/>
    <n v="2115.2600000000002"/>
    <s v="NEGATIVE SALES"/>
    <n v="0"/>
  </r>
  <r>
    <n v="1795"/>
    <s v="Brandon"/>
    <s v="Davis"/>
    <s v="Caps"/>
    <n v="0"/>
    <n v="2690.4463000000001"/>
    <n v="0.65768817204301"/>
    <n v="0"/>
    <d v="2025-04-22T00:00:00"/>
    <x v="5"/>
    <x v="0"/>
    <n v="301.5"/>
    <s v="NEGATIVE SALES"/>
    <n v="0"/>
  </r>
  <r>
    <n v="1796"/>
    <s v="Thomas"/>
    <s v="Hawkins"/>
    <s v="Maxi Dress"/>
    <n v="-1"/>
    <n v="2690.4463000000001"/>
    <n v="0.94"/>
    <n v="0"/>
    <d v="2025-04-22T00:00:00"/>
    <x v="4"/>
    <x v="1"/>
    <n v="-851"/>
    <s v="NEGATIVE SALES"/>
    <n v="-2690.4463000000001"/>
  </r>
  <r>
    <n v="1797"/>
    <s v="Dr."/>
    <s v="Emily"/>
    <s v="Casual Midi"/>
    <n v="0"/>
    <n v="4305.0200000000004"/>
    <n v="0.65718132854578104"/>
    <n v="0"/>
    <d v="2025-01-06T00:00:00"/>
    <x v="1"/>
    <x v="1"/>
    <n v="2296.37"/>
    <s v="NEGATIVE SALES"/>
    <n v="0"/>
  </r>
  <r>
    <n v="1798"/>
    <s v="Kendra"/>
    <s v="Herman"/>
    <s v="Boots"/>
    <n v="0"/>
    <n v="2490.16"/>
    <n v="0.65718132854578104"/>
    <n v="0"/>
    <d v="2025-07-21T00:00:00"/>
    <x v="2"/>
    <x v="1"/>
    <n v="905.43"/>
    <s v="NEGATIVE SALES"/>
    <n v="0"/>
  </r>
  <r>
    <n v="1799"/>
    <s v="Karen"/>
    <s v="Hunt"/>
    <s v="Boots"/>
    <n v="0"/>
    <n v="1101.5"/>
    <n v="0.81"/>
    <n v="0"/>
    <d v="2025-07-21T00:00:00"/>
    <x v="2"/>
    <x v="1"/>
    <n v="-967.63"/>
    <s v="NEGATIVE SALES"/>
    <n v="0"/>
  </r>
  <r>
    <n v="1800"/>
    <s v="Lisa"/>
    <s v="Moore"/>
    <s v="Puffer Coat"/>
    <n v="6"/>
    <n v="2688.8607999999999"/>
    <n v="0.93"/>
    <n v="0"/>
    <d v="2025-01-23T00:00:00"/>
    <x v="2"/>
    <x v="2"/>
    <n v="855.26"/>
    <s v="NEGATIVE SALES"/>
    <n v="16133.1648"/>
  </r>
  <r>
    <n v="1801"/>
    <s v="Brian"/>
    <s v="Lara"/>
    <s v="Sneakers"/>
    <n v="-2"/>
    <n v="2690.6423"/>
    <n v="0.65641441441441395"/>
    <n v="0"/>
    <d v="2025-04-23T00:00:00"/>
    <x v="3"/>
    <x v="0"/>
    <n v="1463.67"/>
    <s v="NEGATIVE SALES"/>
    <n v="-5381.2846"/>
  </r>
  <r>
    <n v="1802"/>
    <s v="Zachary"/>
    <s v="Lee"/>
    <s v="Slip-Ons"/>
    <n v="-1"/>
    <n v="2690.6423"/>
    <n v="0.65641441441441395"/>
    <n v="0"/>
    <d v="2025-02-20T00:00:00"/>
    <x v="0"/>
    <x v="1"/>
    <n v="-618.71"/>
    <s v="NEGATIVE SALES"/>
    <n v="-2690.6423"/>
  </r>
  <r>
    <n v="1803"/>
    <s v="Robert"/>
    <s v="Smith"/>
    <s v="Sunglasses"/>
    <n v="0"/>
    <n v="2690.6423"/>
    <n v="0.65641441441441395"/>
    <n v="0"/>
    <d v="2025-02-20T00:00:00"/>
    <x v="2"/>
    <x v="1"/>
    <n v="409.58"/>
    <s v="NEGATIVE SALES"/>
    <n v="0"/>
  </r>
  <r>
    <n v="1804"/>
    <s v="Brian"/>
    <s v="Robinson"/>
    <s v="Maxi Dress"/>
    <n v="0"/>
    <n v="2690.6423"/>
    <n v="0.65641441441441395"/>
    <n v="0"/>
    <d v="2025-05-02T00:00:00"/>
    <x v="2"/>
    <x v="1"/>
    <n v="1896.92"/>
    <s v="NEGATIVE SALES"/>
    <n v="0"/>
  </r>
  <r>
    <n v="1806"/>
    <s v="Heather"/>
    <s v="Campbell"/>
    <s v="Maxi Dress"/>
    <n v="1"/>
    <n v="2690.6423"/>
    <n v="0.65641441441441395"/>
    <n v="0"/>
    <d v="2025-02-07T00:00:00"/>
    <x v="4"/>
    <x v="0"/>
    <n v="1003.57"/>
    <s v="NEGATIVE SALES"/>
    <n v="2690.6423"/>
  </r>
  <r>
    <n v="1807"/>
    <s v="Angela"/>
    <s v="Lopez"/>
    <s v="Boyfriend Jeans"/>
    <n v="4"/>
    <n v="2308.12"/>
    <n v="0.65641441441441395"/>
    <n v="0"/>
    <d v="2025-06-03T00:00:00"/>
    <x v="3"/>
    <x v="0"/>
    <n v="362.88"/>
    <s v="NEGATIVE SALES"/>
    <n v="9232.48"/>
  </r>
  <r>
    <n v="1808"/>
    <s v="Christopher"/>
    <s v="Reeves"/>
    <s v="Oversized T-Shirt"/>
    <n v="0"/>
    <n v="4582.21"/>
    <n v="0.7"/>
    <n v="0"/>
    <d v="2025-06-03T00:00:00"/>
    <x v="3"/>
    <x v="2"/>
    <n v="-67.84"/>
    <s v="NEGATIVE SALES"/>
    <n v="0"/>
  </r>
  <r>
    <n v="1809"/>
    <s v="Renee"/>
    <s v="Moss"/>
    <s v="Wrap Dress"/>
    <n v="0"/>
    <n v="3799.39"/>
    <n v="0.76"/>
    <n v="0"/>
    <d v="2024-11-06T00:00:00"/>
    <x v="3"/>
    <x v="1"/>
    <n v="-599.61"/>
    <s v="NEGATIVE SALES"/>
    <n v="0"/>
  </r>
  <r>
    <n v="1810"/>
    <s v="Kevin"/>
    <s v="Larson"/>
    <s v="Sunglasses"/>
    <n v="0"/>
    <n v="2690.2444"/>
    <n v="0.39"/>
    <n v="0"/>
    <d v="2025-04-29T00:00:00"/>
    <x v="2"/>
    <x v="2"/>
    <n v="-148.03"/>
    <s v="NEGATIVE SALES"/>
    <n v="0"/>
  </r>
  <r>
    <n v="1811"/>
    <s v="Michael"/>
    <s v="Williams"/>
    <s v="Boots"/>
    <n v="2"/>
    <n v="2688.9938999999999"/>
    <n v="0.99"/>
    <n v="0"/>
    <d v="2024-07-19T00:00:00"/>
    <x v="3"/>
    <x v="1"/>
    <n v="1662.7"/>
    <s v="NEGATIVE SALES"/>
    <n v="5377.9877999999999"/>
  </r>
  <r>
    <n v="1812"/>
    <s v="Jo"/>
    <s v="King"/>
    <s v="Denim Jacket"/>
    <n v="0"/>
    <n v="2688.9938999999999"/>
    <n v="0.65602540834845702"/>
    <n v="0"/>
    <d v="2025-01-26T00:00:00"/>
    <x v="0"/>
    <x v="2"/>
    <n v="-36.380000000000003"/>
    <s v="NEGATIVE SALES"/>
    <n v="0"/>
  </r>
  <r>
    <n v="1813"/>
    <s v="Jonathan"/>
    <s v="Harris"/>
    <s v="Leather Jacket"/>
    <n v="0"/>
    <n v="2688.9938999999999"/>
    <n v="0.65602540834845702"/>
    <n v="0"/>
    <d v="2025-07-13T00:00:00"/>
    <x v="1"/>
    <x v="2"/>
    <n v="1718.02"/>
    <s v="NEGATIVE SALES"/>
    <n v="0"/>
  </r>
  <r>
    <n v="1814"/>
    <s v="Dennis"/>
    <s v="Jacobs"/>
    <s v="Oversized T-Shirt"/>
    <n v="0"/>
    <n v="2688.9938999999999"/>
    <n v="0.65602540834845702"/>
    <n v="0"/>
    <d v="2024-12-29T00:00:00"/>
    <x v="0"/>
    <x v="2"/>
    <n v="2724.05"/>
    <s v="NEGATIVE SALES"/>
    <n v="0"/>
  </r>
  <r>
    <n v="1815"/>
    <s v="Kelly"/>
    <s v="Dixon"/>
    <s v="Casual Midi"/>
    <n v="0"/>
    <n v="2688.9938999999999"/>
    <n v="0.65602540834845702"/>
    <n v="0"/>
    <d v="2025-05-29T00:00:00"/>
    <x v="3"/>
    <x v="1"/>
    <n v="1057.3599999999999"/>
    <s v="NEGATIVE SALES"/>
    <n v="0"/>
  </r>
  <r>
    <n v="1816"/>
    <s v="Danielle"/>
    <s v="Love"/>
    <s v="Graphic Tee"/>
    <n v="1"/>
    <n v="1130.83"/>
    <n v="0.84"/>
    <n v="180.93"/>
    <d v="2023-07-28T00:00:00"/>
    <x v="5"/>
    <x v="1"/>
    <n v="-804.96"/>
    <s v="POSITIVE SALES"/>
    <n v="1130.83"/>
  </r>
  <r>
    <n v="1817"/>
    <s v="Mrs."/>
    <s v="Danielle"/>
    <s v="Slip-Ons"/>
    <n v="0"/>
    <n v="2964.88"/>
    <n v="1.28"/>
    <n v="0"/>
    <d v="2024-08-17T00:00:00"/>
    <x v="2"/>
    <x v="1"/>
    <n v="591.28"/>
    <s v="NEGATIVE SALES"/>
    <n v="0"/>
  </r>
  <r>
    <n v="1818"/>
    <s v="Wanda"/>
    <s v="Gonzalez"/>
    <s v="Belts"/>
    <n v="-1"/>
    <n v="3449.33"/>
    <n v="0.43"/>
    <n v="-1966.12"/>
    <d v="2024-08-17T00:00:00"/>
    <x v="0"/>
    <x v="0"/>
    <n v="601.45000000000005"/>
    <s v="NEGATIVE SALES"/>
    <n v="-3449.33"/>
  </r>
  <r>
    <n v="1819"/>
    <s v="Kelsey"/>
    <s v="King"/>
    <s v="Watches"/>
    <n v="6"/>
    <n v="1761.18"/>
    <n v="0.65496350364963496"/>
    <n v="0"/>
    <d v="2024-08-17T00:00:00"/>
    <x v="2"/>
    <x v="2"/>
    <n v="2069.36"/>
    <s v="NEGATIVE SALES"/>
    <n v="10567.08"/>
  </r>
  <r>
    <n v="1820"/>
    <s v="John"/>
    <s v="Bailey"/>
    <s v="Graphic Tee"/>
    <n v="5"/>
    <n v="1965.04"/>
    <n v="0.65496350364963496"/>
    <n v="0"/>
    <d v="2023-07-25T00:00:00"/>
    <x v="4"/>
    <x v="1"/>
    <n v="20.89"/>
    <s v="NEGATIVE SALES"/>
    <n v="9825.2000000000007"/>
  </r>
  <r>
    <n v="1821"/>
    <s v="Caitlin"/>
    <s v="Daniels"/>
    <s v="Leather Jacket"/>
    <n v="0"/>
    <n v="2690.6358"/>
    <n v="0.65"/>
    <n v="0"/>
    <d v="2023-07-25T00:00:00"/>
    <x v="1"/>
    <x v="0"/>
    <n v="403.42"/>
    <s v="NEGATIVE SALES"/>
    <n v="0"/>
  </r>
  <r>
    <n v="1822"/>
    <s v="Jerry"/>
    <s v="Bell"/>
    <s v="Bomber Jacket"/>
    <n v="0"/>
    <n v="938.86"/>
    <n v="0.05"/>
    <n v="0"/>
    <d v="2024-07-06T00:00:00"/>
    <x v="5"/>
    <x v="0"/>
    <n v="-824.79"/>
    <s v="NEGATIVE SALES"/>
    <n v="0"/>
  </r>
  <r>
    <n v="1823"/>
    <s v="Michael"/>
    <s v="Jackson"/>
    <s v="Oversized T-Shirt"/>
    <n v="0"/>
    <n v="3887.15"/>
    <n v="0.65608058608058595"/>
    <n v="0"/>
    <d v="2025-06-27T00:00:00"/>
    <x v="1"/>
    <x v="0"/>
    <n v="2088.25"/>
    <s v="NEGATIVE SALES"/>
    <n v="0"/>
  </r>
  <r>
    <n v="1824"/>
    <s v="Charlotte"/>
    <s v="Reed"/>
    <s v="Watches"/>
    <n v="0"/>
    <n v="4146.2700000000004"/>
    <n v="1.29"/>
    <n v="0"/>
    <d v="2024-02-24T00:00:00"/>
    <x v="5"/>
    <x v="2"/>
    <n v="2397.9299999999998"/>
    <s v="NEGATIVE SALES"/>
    <n v="0"/>
  </r>
  <r>
    <n v="1825"/>
    <s v="Peter"/>
    <s v="Baldwin"/>
    <s v="Bomber Jacket"/>
    <n v="6"/>
    <n v="982.65"/>
    <n v="0.65491743119265999"/>
    <n v="0"/>
    <d v="2024-02-24T00:00:00"/>
    <x v="2"/>
    <x v="2"/>
    <n v="2186.63"/>
    <s v="NEGATIVE SALES"/>
    <n v="5895.9"/>
  </r>
  <r>
    <n v="1826"/>
    <s v="Jerry"/>
    <s v="Ramirez"/>
    <s v="Crop Top"/>
    <n v="6"/>
    <n v="2690.4369000000002"/>
    <n v="0.65491743119265999"/>
    <n v="0"/>
    <d v="2024-11-27T00:00:00"/>
    <x v="0"/>
    <x v="2"/>
    <n v="413.87"/>
    <s v="NEGATIVE SALES"/>
    <n v="16142.6214"/>
  </r>
  <r>
    <n v="1827"/>
    <s v="Brooke"/>
    <s v="Trevino"/>
    <s v="Straight Cut"/>
    <n v="0"/>
    <n v="3109.74"/>
    <n v="0.65491743119265999"/>
    <n v="0"/>
    <d v="2024-11-27T00:00:00"/>
    <x v="2"/>
    <x v="1"/>
    <n v="-828.23"/>
    <s v="NEGATIVE SALES"/>
    <n v="0"/>
  </r>
  <r>
    <n v="1828"/>
    <s v="Hannah"/>
    <s v="Marquez"/>
    <s v="Maxi Dress"/>
    <n v="0"/>
    <n v="4427.9399999999996"/>
    <n v="0.25"/>
    <n v="0"/>
    <d v="2024-08-22T00:00:00"/>
    <x v="2"/>
    <x v="1"/>
    <n v="-476.77"/>
    <s v="NEGATIVE SALES"/>
    <n v="0"/>
  </r>
  <r>
    <n v="1829"/>
    <s v="Amanda"/>
    <s v="Walker"/>
    <s v="Sneakers"/>
    <n v="0"/>
    <n v="2691.9061000000002"/>
    <n v="0.655661764705882"/>
    <n v="0"/>
    <d v="2024-02-29T00:00:00"/>
    <x v="0"/>
    <x v="2"/>
    <n v="1019.58"/>
    <s v="NEGATIVE SALES"/>
    <n v="0"/>
  </r>
  <r>
    <n v="1830"/>
    <s v="John"/>
    <s v="Russo"/>
    <s v="Casual Midi"/>
    <n v="0"/>
    <n v="2689.9243000000001"/>
    <n v="0.655661764705882"/>
    <n v="0"/>
    <d v="2024-08-17T00:00:00"/>
    <x v="4"/>
    <x v="1"/>
    <n v="602.58000000000004"/>
    <s v="NEGATIVE SALES"/>
    <n v="0"/>
  </r>
  <r>
    <n v="1831"/>
    <s v="Anthony"/>
    <s v="Hale"/>
    <s v="Loafers"/>
    <n v="0"/>
    <n v="895.34"/>
    <n v="0.655661764705882"/>
    <n v="0"/>
    <d v="2024-08-16T00:00:00"/>
    <x v="3"/>
    <x v="2"/>
    <n v="2150.1"/>
    <s v="NEGATIVE SALES"/>
    <n v="0"/>
  </r>
  <r>
    <n v="1832"/>
    <s v="Nicole"/>
    <s v="Miller"/>
    <s v="Loafers"/>
    <n v="0"/>
    <n v="2689.9243000000001"/>
    <n v="0.43"/>
    <n v="0"/>
    <d v="2024-09-11T00:00:00"/>
    <x v="1"/>
    <x v="0"/>
    <n v="708.3"/>
    <s v="NEGATIVE SALES"/>
    <n v="0"/>
  </r>
  <r>
    <n v="1833"/>
    <s v="Amber"/>
    <s v="Smith"/>
    <s v="Wrap Dress"/>
    <n v="3"/>
    <n v="3051.77"/>
    <n v="1.19"/>
    <n v="-1739.51"/>
    <d v="2025-01-29T00:00:00"/>
    <x v="5"/>
    <x v="2"/>
    <n v="2470.5500000000002"/>
    <s v="NEGATIVE SALES"/>
    <n v="9155.31"/>
  </r>
  <r>
    <n v="1834"/>
    <s v="Amanda"/>
    <s v="Ashley"/>
    <s v="Denim Jacket"/>
    <n v="0"/>
    <n v="2691.9753000000001"/>
    <n v="0.94"/>
    <n v="0"/>
    <d v="2025-05-15T00:00:00"/>
    <x v="1"/>
    <x v="0"/>
    <n v="-663.74"/>
    <s v="NEGATIVE SALES"/>
    <n v="0"/>
  </r>
  <r>
    <n v="1835"/>
    <s v="Susan"/>
    <s v="Salazar"/>
    <s v="Ripped Denim"/>
    <n v="0"/>
    <n v="2691.5636"/>
    <n v="0.51"/>
    <n v="0"/>
    <d v="2024-08-08T00:00:00"/>
    <x v="5"/>
    <x v="1"/>
    <n v="1851.02"/>
    <s v="NEGATIVE SALES"/>
    <n v="0"/>
  </r>
  <r>
    <n v="1836"/>
    <s v="Shawn"/>
    <s v="Mejia"/>
    <s v="Straight Cut"/>
    <n v="0"/>
    <n v="2105.94"/>
    <n v="0.16"/>
    <n v="0"/>
    <d v="2024-08-08T00:00:00"/>
    <x v="1"/>
    <x v="2"/>
    <n v="1782.55"/>
    <s v="NEGATIVE SALES"/>
    <n v="0"/>
  </r>
  <r>
    <n v="1838"/>
    <s v="Christopher"/>
    <s v="Cabrera"/>
    <s v="Bodycon"/>
    <n v="-2"/>
    <n v="2692.2345"/>
    <n v="0.65575139146567696"/>
    <n v="0"/>
    <d v="2024-11-17T00:00:00"/>
    <x v="4"/>
    <x v="1"/>
    <n v="1657.14"/>
    <s v="NEGATIVE SALES"/>
    <n v="-5384.4690000000001"/>
  </r>
  <r>
    <n v="1839"/>
    <s v="Michael"/>
    <s v="Barnes"/>
    <s v="Classic Tee"/>
    <n v="0"/>
    <n v="2067.64"/>
    <n v="0.65575139146567696"/>
    <n v="0"/>
    <d v="2024-11-17T00:00:00"/>
    <x v="3"/>
    <x v="2"/>
    <n v="-276.17"/>
    <s v="NEGATIVE SALES"/>
    <n v="0"/>
  </r>
  <r>
    <n v="1840"/>
    <s v="Eric"/>
    <s v="Carter"/>
    <s v="Watches"/>
    <n v="0"/>
    <n v="1462.1"/>
    <n v="0.3"/>
    <n v="0"/>
    <d v="2024-07-23T00:00:00"/>
    <x v="1"/>
    <x v="2"/>
    <n v="59.79"/>
    <s v="NEGATIVE SALES"/>
    <n v="0"/>
  </r>
  <r>
    <n v="1841"/>
    <s v="Justin"/>
    <s v="Wright"/>
    <s v="Puffer Coat"/>
    <n v="0"/>
    <n v="2692.9506999999999"/>
    <n v="0.656412639405204"/>
    <n v="0"/>
    <d v="2025-03-31T00:00:00"/>
    <x v="0"/>
    <x v="0"/>
    <n v="-780.96"/>
    <s v="NEGATIVE SALES"/>
    <n v="0"/>
  </r>
  <r>
    <n v="1842"/>
    <s v="Kristen"/>
    <s v="Vasquez"/>
    <s v="Leather Jacket"/>
    <n v="0"/>
    <n v="2694.3638999999998"/>
    <n v="0.11"/>
    <n v="0"/>
    <d v="2025-03-10T00:00:00"/>
    <x v="5"/>
    <x v="0"/>
    <n v="2041.06"/>
    <s v="NEGATIVE SALES"/>
    <n v="0"/>
  </r>
  <r>
    <n v="1843"/>
    <s v="James"/>
    <s v="Snyder"/>
    <s v="Casual Midi"/>
    <n v="-2"/>
    <n v="2694.3638999999998"/>
    <n v="0.06"/>
    <n v="0"/>
    <d v="2025-06-08T00:00:00"/>
    <x v="5"/>
    <x v="2"/>
    <n v="406.45"/>
    <s v="NEGATIVE SALES"/>
    <n v="-5388.7277999999997"/>
  </r>
  <r>
    <n v="1844"/>
    <s v="Maureen"/>
    <s v="Adams"/>
    <s v="Sunglasses"/>
    <n v="0"/>
    <n v="2694.3638999999998"/>
    <n v="0.65854477611940299"/>
    <n v="0"/>
    <d v="2025-07-04T00:00:00"/>
    <x v="0"/>
    <x v="0"/>
    <n v="1910.76"/>
    <s v="NEGATIVE SALES"/>
    <n v="0"/>
  </r>
  <r>
    <n v="1845"/>
    <s v="Elizabeth"/>
    <s v="Walker"/>
    <s v="Crop Top"/>
    <n v="0"/>
    <n v="2694.3638999999998"/>
    <n v="0.12"/>
    <n v="0"/>
    <d v="2025-02-02T00:00:00"/>
    <x v="4"/>
    <x v="0"/>
    <n v="1013.64"/>
    <s v="NEGATIVE SALES"/>
    <n v="0"/>
  </r>
  <r>
    <n v="1846"/>
    <s v="Ashley"/>
    <s v="Malone"/>
    <s v="Sunglasses"/>
    <n v="-1"/>
    <n v="694.71"/>
    <n v="0.65955140186915895"/>
    <n v="0"/>
    <d v="2025-01-26T00:00:00"/>
    <x v="1"/>
    <x v="2"/>
    <n v="2991.27"/>
    <s v="NEGATIVE SALES"/>
    <n v="-694.71"/>
  </r>
  <r>
    <n v="1847"/>
    <s v="Joshua"/>
    <s v="Mendoza"/>
    <s v="Bodycon"/>
    <n v="0"/>
    <n v="1334.66"/>
    <n v="1.29"/>
    <n v="0"/>
    <d v="2025-05-16T00:00:00"/>
    <x v="3"/>
    <x v="1"/>
    <n v="2897.72"/>
    <s v="NEGATIVE SALES"/>
    <n v="0"/>
  </r>
  <r>
    <n v="1848"/>
    <s v="Amy"/>
    <s v="Hampton"/>
    <s v="Graphic Tee"/>
    <n v="-1"/>
    <n v="2696.6623"/>
    <n v="0.65837078651685399"/>
    <n v="0"/>
    <d v="2024-12-08T00:00:00"/>
    <x v="0"/>
    <x v="0"/>
    <n v="-56.68"/>
    <s v="NEGATIVE SALES"/>
    <n v="-2696.6623"/>
  </r>
  <r>
    <n v="1849"/>
    <s v="Kelly"/>
    <s v="Diaz"/>
    <s v="Oversized T-Shirt"/>
    <n v="0"/>
    <n v="927.04"/>
    <n v="0.65837078651685399"/>
    <n v="0"/>
    <d v="2024-12-08T00:00:00"/>
    <x v="1"/>
    <x v="0"/>
    <n v="880.71"/>
    <s v="NEGATIVE SALES"/>
    <n v="0"/>
  </r>
  <r>
    <n v="1850"/>
    <s v="Mr."/>
    <s v="Nathaniel"/>
    <s v="Belts"/>
    <n v="0"/>
    <n v="1307.27"/>
    <n v="1.27"/>
    <n v="0"/>
    <d v="2023-08-05T00:00:00"/>
    <x v="5"/>
    <x v="1"/>
    <n v="1757.18"/>
    <s v="NEGATIVE SALES"/>
    <n v="0"/>
  </r>
  <r>
    <n v="1851"/>
    <s v="Ms."/>
    <s v="Brianna"/>
    <s v="Slim Fit Jeans"/>
    <n v="5"/>
    <n v="1505"/>
    <n v="0.65722326454033797"/>
    <n v="0"/>
    <d v="2024-12-11T00:00:00"/>
    <x v="3"/>
    <x v="2"/>
    <n v="-29.76"/>
    <s v="NEGATIVE SALES"/>
    <n v="7525"/>
  </r>
  <r>
    <n v="1852"/>
    <s v="Andrea"/>
    <s v="Fowler"/>
    <s v="Graphic Tee"/>
    <n v="0"/>
    <n v="1985.55"/>
    <n v="0.13"/>
    <n v="0"/>
    <d v="2024-04-26T00:00:00"/>
    <x v="1"/>
    <x v="0"/>
    <n v="1754.79"/>
    <s v="NEGATIVE SALES"/>
    <n v="0"/>
  </r>
  <r>
    <n v="1853"/>
    <s v="Joseph"/>
    <s v="Hall"/>
    <s v="Watches"/>
    <n v="3"/>
    <n v="2862.48"/>
    <n v="0.65821428571428597"/>
    <n v="0"/>
    <d v="2023-09-15T00:00:00"/>
    <x v="1"/>
    <x v="2"/>
    <n v="2555.84"/>
    <s v="NEGATIVE SALES"/>
    <n v="8587.44"/>
  </r>
  <r>
    <n v="1854"/>
    <s v="Caitlin"/>
    <s v="Hawkins"/>
    <s v="Boyfriend Jeans"/>
    <n v="0"/>
    <n v="3822.93"/>
    <n v="1.07"/>
    <n v="0"/>
    <d v="2023-09-15T00:00:00"/>
    <x v="5"/>
    <x v="2"/>
    <n v="40.200000000000003"/>
    <s v="NEGATIVE SALES"/>
    <n v="0"/>
  </r>
  <r>
    <n v="1855"/>
    <s v="Lisa"/>
    <s v="Smith"/>
    <s v="Crop Top"/>
    <n v="5"/>
    <n v="3870.85"/>
    <n v="0.65743879472693001"/>
    <n v="0"/>
    <d v="2025-02-03T00:00:00"/>
    <x v="3"/>
    <x v="0"/>
    <n v="2313.58"/>
    <s v="NEGATIVE SALES"/>
    <n v="19354.25"/>
  </r>
  <r>
    <n v="1856"/>
    <s v="Paul"/>
    <s v="Garrison"/>
    <s v="Wrap Dress"/>
    <n v="1"/>
    <n v="2737.23"/>
    <n v="0.65743879472693001"/>
    <n v="0"/>
    <d v="2025-05-08T00:00:00"/>
    <x v="2"/>
    <x v="2"/>
    <n v="2855.35"/>
    <s v="NEGATIVE SALES"/>
    <n v="2737.23"/>
  </r>
  <r>
    <n v="1857"/>
    <s v="Alfred"/>
    <s v="Marsh"/>
    <s v="Watches"/>
    <n v="0"/>
    <n v="2701.2534000000001"/>
    <n v="0.65743879472693001"/>
    <n v="0"/>
    <d v="2024-11-20T00:00:00"/>
    <x v="2"/>
    <x v="1"/>
    <n v="-564.27"/>
    <s v="NEGATIVE SALES"/>
    <n v="0"/>
  </r>
  <r>
    <n v="1858"/>
    <s v="Eric"/>
    <s v="Cooper"/>
    <s v="Ripped Denim"/>
    <n v="0"/>
    <n v="3647.61"/>
    <n v="0.65743879472693001"/>
    <n v="0"/>
    <d v="2025-03-07T00:00:00"/>
    <x v="2"/>
    <x v="2"/>
    <n v="1789.65"/>
    <s v="NEGATIVE SALES"/>
    <n v="0"/>
  </r>
  <r>
    <n v="1859"/>
    <s v="Priscilla"/>
    <s v="Williams"/>
    <s v="Sunglasses"/>
    <n v="4"/>
    <n v="1442.86"/>
    <n v="0.85"/>
    <n v="865.72"/>
    <d v="2025-04-10T00:00:00"/>
    <x v="5"/>
    <x v="2"/>
    <n v="1183.93"/>
    <s v="POSITIVE SALES"/>
    <n v="5771.44"/>
  </r>
  <r>
    <n v="1860"/>
    <s v="Michael"/>
    <s v="Vasquez"/>
    <s v="Maxi Dress"/>
    <n v="3"/>
    <n v="2700.1111999999998"/>
    <n v="1.1499999999999999"/>
    <n v="0"/>
    <d v="2025-04-10T00:00:00"/>
    <x v="3"/>
    <x v="2"/>
    <n v="57.35"/>
    <s v="NEGATIVE SALES"/>
    <n v="8100.3335999999999"/>
  </r>
  <r>
    <n v="1861"/>
    <s v="Timothy"/>
    <s v="Walton"/>
    <s v="Bomber Jacket"/>
    <n v="0"/>
    <n v="2701.5747999999999"/>
    <n v="0.65614366729678597"/>
    <n v="0"/>
    <d v="2025-01-24T00:00:00"/>
    <x v="1"/>
    <x v="2"/>
    <n v="-934.61"/>
    <s v="NEGATIVE SALES"/>
    <n v="0"/>
  </r>
  <r>
    <n v="1862"/>
    <s v="Christopher"/>
    <s v="Evans"/>
    <s v="Casual Midi"/>
    <n v="5"/>
    <n v="4739.66"/>
    <n v="0.65614366729678597"/>
    <n v="0"/>
    <d v="2025-01-24T00:00:00"/>
    <x v="0"/>
    <x v="0"/>
    <n v="-315.41000000000003"/>
    <s v="NEGATIVE SALES"/>
    <n v="23698.3"/>
  </r>
  <r>
    <n v="1863"/>
    <s v="Angela"/>
    <s v="Roberts"/>
    <s v="Sneakers"/>
    <n v="0"/>
    <n v="3521.17"/>
    <n v="0.79"/>
    <n v="0"/>
    <d v="2024-05-07T00:00:00"/>
    <x v="1"/>
    <x v="2"/>
    <n v="612.84"/>
    <s v="NEGATIVE SALES"/>
    <n v="0"/>
  </r>
  <r>
    <n v="1864"/>
    <s v="Cory"/>
    <s v="Chambers"/>
    <s v="Caps"/>
    <n v="4"/>
    <n v="1570.06"/>
    <n v="0.65589015151515095"/>
    <n v="0"/>
    <d v="2024-02-20T00:00:00"/>
    <x v="0"/>
    <x v="1"/>
    <n v="1017.26"/>
    <s v="NEGATIVE SALES"/>
    <n v="6280.24"/>
  </r>
  <r>
    <n v="1865"/>
    <s v="Ann"/>
    <s v="Melton"/>
    <s v="Leather Jacket"/>
    <n v="2"/>
    <n v="2496.81"/>
    <n v="0.65589015151515095"/>
    <n v="0"/>
    <d v="2024-04-19T00:00:00"/>
    <x v="5"/>
    <x v="1"/>
    <n v="28.7"/>
    <s v="NEGATIVE SALES"/>
    <n v="4993.62"/>
  </r>
  <r>
    <n v="1866"/>
    <s v="Dylan"/>
    <s v="Roth"/>
    <s v="Graphic Tee"/>
    <n v="4"/>
    <n v="4471.17"/>
    <n v="0.6"/>
    <n v="7153.87"/>
    <d v="2025-04-23T00:00:00"/>
    <x v="4"/>
    <x v="0"/>
    <n v="1335.92"/>
    <s v="POSITIVE SALES"/>
    <n v="17884.68"/>
  </r>
  <r>
    <n v="1867"/>
    <s v="Jonathan"/>
    <s v="Lambert"/>
    <s v="Bodycon"/>
    <n v="0"/>
    <n v="1892.54"/>
    <n v="0.09"/>
    <n v="0"/>
    <d v="2025-02-14T00:00:00"/>
    <x v="1"/>
    <x v="0"/>
    <n v="-702.11"/>
    <s v="NEGATIVE SALES"/>
    <n v="0"/>
  </r>
  <r>
    <n v="1868"/>
    <s v="Heather"/>
    <s v="Graves"/>
    <s v="Boots"/>
    <n v="0"/>
    <n v="2697.7212"/>
    <n v="0.657072243346007"/>
    <n v="0"/>
    <d v="2024-08-13T00:00:00"/>
    <x v="0"/>
    <x v="2"/>
    <n v="182.74"/>
    <s v="NEGATIVE SALES"/>
    <n v="0"/>
  </r>
  <r>
    <n v="1869"/>
    <s v="Andrew"/>
    <s v="Martinez"/>
    <s v="Denim Jacket"/>
    <n v="0"/>
    <n v="2698.6651000000002"/>
    <n v="0.657072243346007"/>
    <n v="0"/>
    <d v="2024-08-13T00:00:00"/>
    <x v="1"/>
    <x v="0"/>
    <n v="75.28"/>
    <s v="NEGATIVE SALES"/>
    <n v="0"/>
  </r>
  <r>
    <n v="1870"/>
    <s v="Jeffrey"/>
    <s v="Fischer"/>
    <s v="Sneakers"/>
    <n v="0"/>
    <n v="1870.68"/>
    <n v="0.657072243346007"/>
    <n v="0"/>
    <d v="2024-08-13T00:00:00"/>
    <x v="4"/>
    <x v="1"/>
    <n v="2695.81"/>
    <s v="NEGATIVE SALES"/>
    <n v="0"/>
  </r>
  <r>
    <n v="1871"/>
    <s v="Barbara"/>
    <s v="Schmidt"/>
    <s v="Wrap Dress"/>
    <n v="0"/>
    <n v="2698.6651000000002"/>
    <n v="0.657072243346007"/>
    <n v="0"/>
    <d v="2024-10-23T00:00:00"/>
    <x v="3"/>
    <x v="0"/>
    <n v="-431.93"/>
    <s v="NEGATIVE SALES"/>
    <n v="0"/>
  </r>
  <r>
    <n v="1872"/>
    <s v="Kimberly"/>
    <s v="Reyes"/>
    <s v="Graphic Tee"/>
    <n v="1"/>
    <n v="3381.64"/>
    <n v="0.48"/>
    <n v="1758.45"/>
    <d v="2024-10-23T00:00:00"/>
    <x v="0"/>
    <x v="1"/>
    <n v="953.93"/>
    <s v="POSITIVE SALES"/>
    <n v="3381.64"/>
  </r>
  <r>
    <n v="1873"/>
    <s v="Paul"/>
    <s v="Walker"/>
    <s v="Bomber Jacket"/>
    <n v="0"/>
    <n v="2699.6369"/>
    <n v="0.657409523809524"/>
    <n v="0"/>
    <d v="2024-06-23T00:00:00"/>
    <x v="0"/>
    <x v="1"/>
    <n v="-632.25"/>
    <s v="NEGATIVE SALES"/>
    <n v="0"/>
  </r>
  <r>
    <n v="1874"/>
    <s v="Melanie"/>
    <s v="Phillips"/>
    <s v="Slip-Ons"/>
    <n v="5"/>
    <n v="2847.02"/>
    <n v="0.657409523809524"/>
    <n v="0"/>
    <d v="2024-03-27T00:00:00"/>
    <x v="1"/>
    <x v="1"/>
    <n v="-573.97"/>
    <s v="NEGATIVE SALES"/>
    <n v="14235.1"/>
  </r>
  <r>
    <n v="1875"/>
    <s v="Alicia"/>
    <s v="Mclean"/>
    <s v="Watches"/>
    <n v="0"/>
    <n v="2698.8355000000001"/>
    <n v="0.657409523809524"/>
    <n v="0"/>
    <d v="2024-08-20T00:00:00"/>
    <x v="4"/>
    <x v="0"/>
    <n v="1125.5"/>
    <s v="NEGATIVE SALES"/>
    <n v="0"/>
  </r>
  <r>
    <n v="1876"/>
    <s v="Carl"/>
    <s v="Mahoney"/>
    <s v="Loafers"/>
    <n v="0"/>
    <n v="2698.6612"/>
    <n v="0.32"/>
    <n v="0"/>
    <d v="2025-03-28T00:00:00"/>
    <x v="2"/>
    <x v="1"/>
    <n v="986.09"/>
    <s v="NEGATIVE SALES"/>
    <n v="0"/>
  </r>
  <r>
    <n v="1877"/>
    <s v="Eric"/>
    <s v="Beasley"/>
    <s v="Crop Top"/>
    <n v="-1"/>
    <n v="2698.6612"/>
    <n v="0.65805343511450398"/>
    <n v="0"/>
    <d v="2025-06-28T00:00:00"/>
    <x v="4"/>
    <x v="2"/>
    <n v="1149.23"/>
    <s v="NEGATIVE SALES"/>
    <n v="-2698.6612"/>
  </r>
  <r>
    <n v="1878"/>
    <s v="Bonnie"/>
    <s v="Hall"/>
    <s v="Maxi Dress"/>
    <n v="4"/>
    <n v="2698.6612"/>
    <n v="0.65805343511450398"/>
    <n v="0"/>
    <d v="2025-05-06T00:00:00"/>
    <x v="3"/>
    <x v="0"/>
    <n v="2247.4899999999998"/>
    <s v="NEGATIVE SALES"/>
    <n v="10794.6448"/>
  </r>
  <r>
    <n v="1879"/>
    <s v="Sarah"/>
    <s v="King"/>
    <s v="Belts"/>
    <n v="0"/>
    <n v="444.11"/>
    <n v="0.65805343511450398"/>
    <n v="0"/>
    <d v="2024-09-12T00:00:00"/>
    <x v="1"/>
    <x v="0"/>
    <n v="2762.27"/>
    <s v="NEGATIVE SALES"/>
    <n v="0"/>
  </r>
  <r>
    <n v="1880"/>
    <s v="Nicholas"/>
    <s v="Evans"/>
    <s v="Watches"/>
    <n v="1"/>
    <n v="772.97"/>
    <n v="0.9"/>
    <n v="77.3"/>
    <d v="2024-10-10T00:00:00"/>
    <x v="4"/>
    <x v="2"/>
    <n v="843.81"/>
    <s v="POSITIVE SALES"/>
    <n v="772.97"/>
  </r>
  <r>
    <n v="1881"/>
    <s v="Patricia"/>
    <s v="Brooks"/>
    <s v="Slip-Ons"/>
    <n v="3"/>
    <n v="1772.6"/>
    <n v="0.65759082217973197"/>
    <n v="0"/>
    <d v="2025-06-28T00:00:00"/>
    <x v="3"/>
    <x v="2"/>
    <n v="993.92"/>
    <s v="NEGATIVE SALES"/>
    <n v="5317.8"/>
  </r>
  <r>
    <n v="1882"/>
    <s v="Kristin"/>
    <s v="Gonzalez"/>
    <s v="Denim Jacket"/>
    <n v="0"/>
    <n v="1622.79"/>
    <n v="0.65759082217973197"/>
    <n v="0"/>
    <d v="2025-06-23T00:00:00"/>
    <x v="0"/>
    <x v="0"/>
    <n v="1020.63"/>
    <s v="NEGATIVE SALES"/>
    <n v="0"/>
  </r>
  <r>
    <n v="1883"/>
    <s v="Jessica"/>
    <s v="Mckenzie"/>
    <s v="Straight Cut"/>
    <n v="-1"/>
    <n v="4350.8599999999997"/>
    <n v="0.65759082217973197"/>
    <n v="0"/>
    <d v="2025-06-23T00:00:00"/>
    <x v="4"/>
    <x v="2"/>
    <n v="2845.42"/>
    <s v="NEGATIVE SALES"/>
    <n v="-4350.8599999999997"/>
  </r>
  <r>
    <n v="1884"/>
    <s v="Katherine"/>
    <s v="Berry"/>
    <s v="Slip-Ons"/>
    <n v="6"/>
    <n v="2705.9686999999999"/>
    <n v="0.65759082217973197"/>
    <n v="0"/>
    <d v="2025-07-22T00:00:00"/>
    <x v="0"/>
    <x v="0"/>
    <n v="-856.25"/>
    <s v="NEGATIVE SALES"/>
    <n v="16235.8122"/>
  </r>
  <r>
    <n v="1885"/>
    <s v="Mrs."/>
    <s v="Deborah"/>
    <s v="Classic Tee"/>
    <n v="0"/>
    <n v="2704.0221000000001"/>
    <n v="0.65759082217973197"/>
    <n v="0"/>
    <d v="2025-01-12T00:00:00"/>
    <x v="0"/>
    <x v="2"/>
    <n v="-571.28"/>
    <s v="NEGATIVE SALES"/>
    <n v="0"/>
  </r>
  <r>
    <n v="1886"/>
    <s v="Sonya"/>
    <s v="Mendoza"/>
    <s v="Sunglasses"/>
    <n v="6"/>
    <n v="1229.0999999999999"/>
    <n v="0.65759082217973197"/>
    <n v="0"/>
    <d v="2025-01-12T00:00:00"/>
    <x v="5"/>
    <x v="0"/>
    <n v="1005.96"/>
    <s v="NEGATIVE SALES"/>
    <n v="7374.6"/>
  </r>
  <r>
    <n v="1887"/>
    <s v="Jennifer"/>
    <s v="Sullivan"/>
    <s v="Classic Tee"/>
    <n v="3"/>
    <n v="2704.0221000000001"/>
    <n v="0.65759082217973197"/>
    <n v="0"/>
    <d v="2025-04-28T00:00:00"/>
    <x v="1"/>
    <x v="2"/>
    <n v="111.88"/>
    <s v="NEGATIVE SALES"/>
    <n v="8112.0663000000004"/>
  </r>
  <r>
    <n v="1888"/>
    <s v="Jessica"/>
    <s v="Jones"/>
    <s v="Sneakers"/>
    <n v="6"/>
    <n v="2705.7696000000001"/>
    <n v="0.39"/>
    <n v="0"/>
    <d v="2025-04-28T00:00:00"/>
    <x v="2"/>
    <x v="2"/>
    <n v="-80.61"/>
    <s v="NEGATIVE SALES"/>
    <n v="16234.6176"/>
  </r>
  <r>
    <n v="1889"/>
    <s v="Denise"/>
    <s v="Mcconnell"/>
    <s v="Maxi Dress"/>
    <n v="0"/>
    <n v="3948.83"/>
    <n v="0.65810344827586198"/>
    <n v="0"/>
    <d v="2024-06-15T00:00:00"/>
    <x v="4"/>
    <x v="1"/>
    <n v="1935.77"/>
    <s v="NEGATIVE SALES"/>
    <n v="0"/>
  </r>
  <r>
    <n v="1890"/>
    <s v="Madison"/>
    <s v="Joseph"/>
    <s v="Belts"/>
    <n v="2"/>
    <n v="3772.51"/>
    <n v="0.65810344827586198"/>
    <n v="0"/>
    <d v="2024-06-15T00:00:00"/>
    <x v="3"/>
    <x v="2"/>
    <n v="792.89"/>
    <s v="NEGATIVE SALES"/>
    <n v="7545.02"/>
  </r>
  <r>
    <n v="1891"/>
    <s v="Michael"/>
    <s v="Bradshaw"/>
    <s v="Crop Top"/>
    <n v="0"/>
    <n v="2727.86"/>
    <n v="0.65810344827586198"/>
    <n v="0"/>
    <d v="2024-08-17T00:00:00"/>
    <x v="1"/>
    <x v="0"/>
    <n v="849.07"/>
    <s v="NEGATIVE SALES"/>
    <n v="0"/>
  </r>
  <r>
    <n v="1892"/>
    <s v="David"/>
    <s v="Powers"/>
    <s v="Slim Fit Jeans"/>
    <n v="0"/>
    <n v="2703.0264000000002"/>
    <n v="1.1399999999999999"/>
    <n v="0"/>
    <d v="2024-08-17T00:00:00"/>
    <x v="0"/>
    <x v="2"/>
    <n v="330.14"/>
    <s v="NEGATIVE SALES"/>
    <n v="0"/>
  </r>
  <r>
    <n v="1893"/>
    <s v="Ricardo"/>
    <s v="Davis"/>
    <s v="Watches"/>
    <n v="0"/>
    <n v="4456.45"/>
    <n v="0.65717850287907797"/>
    <n v="0"/>
    <d v="2024-08-17T00:00:00"/>
    <x v="0"/>
    <x v="2"/>
    <n v="870.63"/>
    <s v="NEGATIVE SALES"/>
    <n v="0"/>
  </r>
  <r>
    <n v="1894"/>
    <s v="Maurice"/>
    <s v="Reynolds"/>
    <s v="Leather Jacket"/>
    <n v="2"/>
    <n v="2793.89"/>
    <n v="0.65717850287907797"/>
    <n v="0"/>
    <d v="2023-08-22T00:00:00"/>
    <x v="5"/>
    <x v="2"/>
    <n v="-512.73"/>
    <s v="NEGATIVE SALES"/>
    <n v="5587.78"/>
  </r>
  <r>
    <n v="1896"/>
    <s v="Mr."/>
    <s v="Daniel"/>
    <s v="Oversized T-Shirt"/>
    <n v="5"/>
    <n v="4829.8500000000004"/>
    <n v="0.65717850287907797"/>
    <n v="0"/>
    <d v="2025-03-25T00:00:00"/>
    <x v="5"/>
    <x v="2"/>
    <n v="2993.71"/>
    <s v="NEGATIVE SALES"/>
    <n v="24149.25"/>
  </r>
  <r>
    <n v="1897"/>
    <s v="Mary"/>
    <s v="Diaz"/>
    <s v="Straight Cut"/>
    <n v="0"/>
    <n v="2700.7986000000001"/>
    <n v="0.34"/>
    <n v="0"/>
    <d v="2025-03-31T00:00:00"/>
    <x v="5"/>
    <x v="0"/>
    <n v="499.61"/>
    <s v="NEGATIVE SALES"/>
    <n v="0"/>
  </r>
  <r>
    <n v="1898"/>
    <s v="Tonya"/>
    <s v="Kirby"/>
    <s v="Classic Tee"/>
    <n v="5"/>
    <n v="776.98"/>
    <n v="0.65778846153846104"/>
    <n v="0"/>
    <d v="2024-12-17T00:00:00"/>
    <x v="2"/>
    <x v="0"/>
    <n v="2977.35"/>
    <s v="NEGATIVE SALES"/>
    <n v="3884.9"/>
  </r>
  <r>
    <n v="1899"/>
    <s v="Amanda"/>
    <s v="Holmes"/>
    <s v="Sneakers"/>
    <n v="0"/>
    <n v="2698.2579999999998"/>
    <n v="0.65778846153846104"/>
    <n v="0"/>
    <d v="2024-12-17T00:00:00"/>
    <x v="0"/>
    <x v="0"/>
    <n v="500.04"/>
    <s v="NEGATIVE SALES"/>
    <n v="0"/>
  </r>
  <r>
    <n v="1900"/>
    <s v="Kyle"/>
    <s v="Wright"/>
    <s v="Oversized T-Shirt"/>
    <n v="3"/>
    <n v="2700.5533999999998"/>
    <n v="0.65778846153846104"/>
    <n v="0"/>
    <d v="2024-09-17T00:00:00"/>
    <x v="0"/>
    <x v="1"/>
    <n v="959.32"/>
    <s v="NEGATIVE SALES"/>
    <n v="8101.6602000000003"/>
  </r>
  <r>
    <n v="1901"/>
    <s v="Brenda"/>
    <s v="Rasmussen"/>
    <s v="Belts"/>
    <n v="4"/>
    <n v="781.91"/>
    <n v="1.2"/>
    <n v="-625.53"/>
    <d v="2025-04-26T00:00:00"/>
    <x v="4"/>
    <x v="1"/>
    <n v="1002.98"/>
    <s v="NEGATIVE SALES"/>
    <n v="3127.64"/>
  </r>
  <r>
    <n v="1903"/>
    <s v="Ross"/>
    <s v="Wilson"/>
    <s v="Maxi Dress"/>
    <n v="-1"/>
    <n v="2702.8483999999999"/>
    <n v="0.08"/>
    <n v="0"/>
    <d v="2025-04-17T00:00:00"/>
    <x v="2"/>
    <x v="1"/>
    <n v="1264.02"/>
    <s v="NEGATIVE SALES"/>
    <n v="-2702.8483999999999"/>
  </r>
  <r>
    <n v="1904"/>
    <s v="Dr."/>
    <s v="Meredith"/>
    <s v="Ripped Denim"/>
    <n v="-1"/>
    <n v="1339.18"/>
    <n v="0.65791102514506805"/>
    <n v="0"/>
    <d v="2025-07-13T00:00:00"/>
    <x v="3"/>
    <x v="0"/>
    <n v="554.92999999999995"/>
    <s v="NEGATIVE SALES"/>
    <n v="-1339.18"/>
  </r>
  <r>
    <n v="1905"/>
    <s v="John"/>
    <s v="Wade"/>
    <s v="Bodycon"/>
    <n v="0"/>
    <n v="759.78"/>
    <n v="0.65791102514506805"/>
    <n v="0"/>
    <d v="2025-07-13T00:00:00"/>
    <x v="4"/>
    <x v="2"/>
    <n v="2254.8200000000002"/>
    <s v="NEGATIVE SALES"/>
    <n v="0"/>
  </r>
  <r>
    <n v="1906"/>
    <s v="Paula"/>
    <s v="Pineda"/>
    <s v="Bodycon"/>
    <n v="-1"/>
    <n v="2703.6442000000002"/>
    <n v="0.65791102514506805"/>
    <n v="0"/>
    <d v="2025-07-15T00:00:00"/>
    <x v="3"/>
    <x v="1"/>
    <n v="406.55"/>
    <s v="NEGATIVE SALES"/>
    <n v="-2703.6442000000002"/>
  </r>
  <r>
    <n v="1907"/>
    <s v="Meagan"/>
    <s v="Johnson"/>
    <s v="Puffer Coat"/>
    <n v="0"/>
    <n v="2705.9778000000001"/>
    <n v="0.65791102514506805"/>
    <n v="0"/>
    <d v="2024-12-07T00:00:00"/>
    <x v="5"/>
    <x v="1"/>
    <n v="305.87"/>
    <s v="NEGATIVE SALES"/>
    <n v="0"/>
  </r>
  <r>
    <n v="1908"/>
    <s v="Nathan"/>
    <s v="Garcia"/>
    <s v="Boyfriend Jeans"/>
    <n v="0"/>
    <n v="2705.9778000000001"/>
    <n v="0.65791102514506805"/>
    <n v="0"/>
    <d v="2024-12-07T00:00:00"/>
    <x v="5"/>
    <x v="1"/>
    <n v="205.56"/>
    <s v="NEGATIVE SALES"/>
    <n v="0"/>
  </r>
  <r>
    <n v="1909"/>
    <s v="Christopher"/>
    <s v="Burgess"/>
    <s v="Sunglasses"/>
    <n v="1"/>
    <n v="3114.13"/>
    <n v="0.65791102514506805"/>
    <n v="0"/>
    <d v="2025-05-22T00:00:00"/>
    <x v="4"/>
    <x v="2"/>
    <n v="2743.54"/>
    <s v="NEGATIVE SALES"/>
    <n v="3114.13"/>
  </r>
  <r>
    <n v="1910"/>
    <s v="Bryce"/>
    <s v="Hooper"/>
    <s v="Oversized T-Shirt"/>
    <n v="0"/>
    <n v="2155.16"/>
    <n v="0.65791102514506805"/>
    <n v="0"/>
    <d v="2025-02-22T00:00:00"/>
    <x v="1"/>
    <x v="2"/>
    <n v="425.89"/>
    <s v="NEGATIVE SALES"/>
    <n v="0"/>
  </r>
  <r>
    <n v="1911"/>
    <s v="Bruce"/>
    <s v="Brown"/>
    <s v="Ripped Denim"/>
    <n v="6"/>
    <n v="2357.6999999999998"/>
    <n v="0.65791102514506805"/>
    <n v="0"/>
    <d v="2024-08-17T00:00:00"/>
    <x v="1"/>
    <x v="1"/>
    <n v="1901.07"/>
    <s v="NEGATIVE SALES"/>
    <n v="14146.2"/>
  </r>
  <r>
    <n v="1912"/>
    <s v="Deborah"/>
    <s v="James"/>
    <s v="Belts"/>
    <n v="0"/>
    <n v="2706.1493999999998"/>
    <n v="0.65791102514506805"/>
    <n v="0"/>
    <d v="2024-08-17T00:00:00"/>
    <x v="4"/>
    <x v="0"/>
    <n v="2721.15"/>
    <s v="NEGATIVE SALES"/>
    <n v="0"/>
  </r>
  <r>
    <n v="1913"/>
    <s v="Andrew"/>
    <s v="Espinoza"/>
    <s v="Watches"/>
    <n v="5"/>
    <n v="2706.5693000000001"/>
    <n v="0.65791102514506805"/>
    <n v="0"/>
    <d v="2024-08-17T00:00:00"/>
    <x v="2"/>
    <x v="0"/>
    <n v="1490.96"/>
    <s v="NEGATIVE SALES"/>
    <n v="13532.8465"/>
  </r>
  <r>
    <n v="1914"/>
    <s v="Rodney"/>
    <s v="Lee"/>
    <s v="Boyfriend Jeans"/>
    <n v="6"/>
    <n v="3661.49"/>
    <n v="0.11"/>
    <n v="19552.36"/>
    <d v="2025-07-10T00:00:00"/>
    <x v="4"/>
    <x v="1"/>
    <n v="-527.32000000000005"/>
    <s v="POSITIVE SALES"/>
    <n v="21968.94"/>
  </r>
  <r>
    <n v="1915"/>
    <s v="Stephanie"/>
    <s v="Callahan"/>
    <s v="Sunglasses"/>
    <n v="0"/>
    <n v="2706.5693000000001"/>
    <n v="0.65897286821705403"/>
    <n v="0"/>
    <d v="2024-03-16T00:00:00"/>
    <x v="0"/>
    <x v="2"/>
    <n v="944.36"/>
    <s v="NEGATIVE SALES"/>
    <n v="0"/>
  </r>
  <r>
    <n v="1916"/>
    <s v="Adam"/>
    <s v="Sanchez"/>
    <s v="Maxi Dress"/>
    <n v="0"/>
    <n v="2117.0700000000002"/>
    <n v="0.13"/>
    <n v="0"/>
    <d v="2025-01-29T00:00:00"/>
    <x v="0"/>
    <x v="1"/>
    <n v="2423.2399999999998"/>
    <s v="NEGATIVE SALES"/>
    <n v="0"/>
  </r>
  <r>
    <n v="1917"/>
    <s v="Benjamin"/>
    <s v="Garrett"/>
    <s v="Slip-Ons"/>
    <n v="2"/>
    <n v="2705.4173999999998"/>
    <n v="0.66"/>
    <n v="0"/>
    <d v="2024-12-04T00:00:00"/>
    <x v="1"/>
    <x v="1"/>
    <n v="1173.48"/>
    <s v="NEGATIVE SALES"/>
    <n v="5410.8347999999996"/>
  </r>
  <r>
    <n v="1918"/>
    <s v="Christopher"/>
    <s v="Lloyd"/>
    <s v="Bodycon"/>
    <n v="0"/>
    <n v="581.49"/>
    <n v="0.66"/>
    <n v="0"/>
    <d v="2024-01-06T00:00:00"/>
    <x v="1"/>
    <x v="1"/>
    <n v="-714.88"/>
    <s v="NEGATIVE SALES"/>
    <n v="0"/>
  </r>
  <r>
    <n v="1919"/>
    <s v="Darren"/>
    <s v="Pittman"/>
    <s v="Maxi Dress"/>
    <n v="0"/>
    <n v="1460.71"/>
    <n v="0.66"/>
    <n v="0"/>
    <d v="2024-01-06T00:00:00"/>
    <x v="1"/>
    <x v="0"/>
    <n v="2917.9"/>
    <s v="NEGATIVE SALES"/>
    <n v="0"/>
  </r>
  <r>
    <n v="1920"/>
    <s v="Brandon"/>
    <s v="Lawrence"/>
    <s v="Denim Jacket"/>
    <n v="0"/>
    <n v="4141.2299999999996"/>
    <n v="0.66"/>
    <n v="0"/>
    <d v="2024-09-17T00:00:00"/>
    <x v="2"/>
    <x v="1"/>
    <n v="1455.81"/>
    <s v="NEGATIVE SALES"/>
    <n v="0"/>
  </r>
  <r>
    <n v="1921"/>
    <s v="Corey"/>
    <s v="Padilla"/>
    <s v="Watches"/>
    <n v="0"/>
    <n v="4224.3100000000004"/>
    <n v="0.66"/>
    <n v="0"/>
    <d v="2024-09-17T00:00:00"/>
    <x v="5"/>
    <x v="2"/>
    <n v="2660.84"/>
    <s v="NEGATIVE SALES"/>
    <n v="0"/>
  </r>
  <r>
    <n v="1922"/>
    <s v="Kimberly"/>
    <s v="Bowers"/>
    <s v="Wrap Dress"/>
    <n v="0"/>
    <n v="2708.4733000000001"/>
    <n v="0.66"/>
    <n v="0"/>
    <d v="2025-02-05T00:00:00"/>
    <x v="0"/>
    <x v="1"/>
    <n v="-616.36"/>
    <s v="NEGATIVE SALES"/>
    <n v="0"/>
  </r>
  <r>
    <n v="1923"/>
    <s v="Ruth"/>
    <s v="King"/>
    <s v="Puffer Coat"/>
    <n v="0"/>
    <n v="3865.62"/>
    <n v="0.66"/>
    <n v="0"/>
    <d v="2025-05-30T00:00:00"/>
    <x v="3"/>
    <x v="1"/>
    <n v="-56.4"/>
    <s v="NEGATIVE SALES"/>
    <n v="0"/>
  </r>
  <r>
    <n v="1924"/>
    <s v="Bethany"/>
    <s v="Gallagher"/>
    <s v="Boyfriend Jeans"/>
    <n v="0"/>
    <n v="2999.49"/>
    <n v="0.66"/>
    <n v="0"/>
    <d v="2024-01-13T00:00:00"/>
    <x v="1"/>
    <x v="1"/>
    <n v="-988.45"/>
    <s v="NEGATIVE SALES"/>
    <n v="0"/>
  </r>
  <r>
    <n v="1925"/>
    <s v="Patrick"/>
    <s v="Benson"/>
    <s v="Caps"/>
    <n v="0"/>
    <n v="1429.24"/>
    <n v="0.66"/>
    <n v="0"/>
    <d v="2024-11-08T00:00:00"/>
    <x v="0"/>
    <x v="1"/>
    <n v="2081.7800000000002"/>
    <s v="NEGATIVE SALES"/>
    <n v="0"/>
  </r>
  <r>
    <n v="1926"/>
    <s v="Connie"/>
    <s v="Wilson"/>
    <s v="Slip-Ons"/>
    <n v="-2"/>
    <n v="2533.37"/>
    <n v="0.66"/>
    <n v="0"/>
    <d v="2024-08-04T00:00:00"/>
    <x v="3"/>
    <x v="0"/>
    <n v="-490.96"/>
    <s v="NEGATIVE SALES"/>
    <n v="-5066.74"/>
  </r>
  <r>
    <n v="1927"/>
    <s v="Anthony"/>
    <s v="Rich"/>
    <s v="Classic Tee"/>
    <n v="5"/>
    <n v="2706.4212000000002"/>
    <n v="0.66"/>
    <n v="0"/>
    <d v="2025-04-30T00:00:00"/>
    <x v="5"/>
    <x v="2"/>
    <n v="1844.54"/>
    <s v="NEGATIVE SALES"/>
    <n v="13532.106"/>
  </r>
  <r>
    <n v="1928"/>
    <s v="Anthony"/>
    <s v="Sandoval"/>
    <s v="Casual Midi"/>
    <n v="-2"/>
    <n v="2706.6323000000002"/>
    <n v="0.66"/>
    <n v="0"/>
    <d v="2024-05-26T00:00:00"/>
    <x v="0"/>
    <x v="2"/>
    <n v="2676.77"/>
    <s v="NEGATIVE SALES"/>
    <n v="-5413.2646000000004"/>
  </r>
  <r>
    <n v="1929"/>
    <s v="Regina"/>
    <s v="Allen"/>
    <s v="Watches"/>
    <n v="-2"/>
    <n v="3618.48"/>
    <n v="0.66"/>
    <n v="0"/>
    <d v="2024-05-26T00:00:00"/>
    <x v="0"/>
    <x v="2"/>
    <n v="1383.46"/>
    <s v="NEGATIVE SALES"/>
    <n v="-7236.96"/>
  </r>
  <r>
    <n v="1930"/>
    <s v="Jesse"/>
    <s v="Carter"/>
    <s v="Boyfriend Jeans"/>
    <n v="0"/>
    <n v="3017.82"/>
    <n v="0.66"/>
    <n v="0"/>
    <d v="2024-05-26T00:00:00"/>
    <x v="1"/>
    <x v="2"/>
    <n v="1257.0999999999999"/>
    <s v="NEGATIVE SALES"/>
    <n v="0"/>
  </r>
  <r>
    <n v="1931"/>
    <s v="Tim"/>
    <s v="Alvarez"/>
    <s v="Boyfriend Jeans"/>
    <n v="-1"/>
    <n v="2705.5189"/>
    <n v="0.66"/>
    <n v="0"/>
    <d v="2024-05-26T00:00:00"/>
    <x v="4"/>
    <x v="1"/>
    <n v="1820.4"/>
    <s v="NEGATIVE SALES"/>
    <n v="-2705.5189"/>
  </r>
  <r>
    <n v="1932"/>
    <s v="Lisa"/>
    <s v="Perez"/>
    <s v="Crop Top"/>
    <n v="0"/>
    <n v="436.31"/>
    <n v="0.66"/>
    <n v="0"/>
    <d v="2023-10-10T00:00:00"/>
    <x v="4"/>
    <x v="2"/>
    <n v="1632.83"/>
    <s v="NEGATIVE SALES"/>
    <n v="0"/>
  </r>
  <r>
    <n v="1933"/>
    <s v="Vincent"/>
    <s v="Torres"/>
    <s v="Leather Jacket"/>
    <n v="0"/>
    <n v="1403.41"/>
    <n v="0.66"/>
    <n v="0"/>
    <d v="2023-10-10T00:00:00"/>
    <x v="4"/>
    <x v="2"/>
    <n v="635.85"/>
    <s v="NEGATIVE SALES"/>
    <n v="0"/>
  </r>
  <r>
    <n v="1934"/>
    <s v="Sean"/>
    <s v="Warren"/>
    <s v="Straight Cut"/>
    <n v="0"/>
    <n v="3369.03"/>
    <n v="0.66"/>
    <n v="0"/>
    <d v="2024-09-17T00:00:00"/>
    <x v="5"/>
    <x v="1"/>
    <n v="-144.96"/>
    <s v="NEGATIVE SALES"/>
    <n v="0"/>
  </r>
  <r>
    <n v="1935"/>
    <s v="Mary"/>
    <s v="Allen"/>
    <s v="Puffer Coat"/>
    <n v="6"/>
    <n v="2709.5128"/>
    <n v="0.66"/>
    <n v="0"/>
    <d v="2024-12-28T00:00:00"/>
    <x v="2"/>
    <x v="1"/>
    <n v="2390.71"/>
    <s v="NEGATIVE SALES"/>
    <n v="16257.076800000001"/>
  </r>
  <r>
    <n v="1936"/>
    <s v="Michelle"/>
    <s v="Walsh"/>
    <s v="Ripped Denim"/>
    <n v="5"/>
    <n v="804.78"/>
    <n v="0.66"/>
    <n v="0"/>
    <d v="2025-01-10T00:00:00"/>
    <x v="1"/>
    <x v="1"/>
    <n v="1109.21"/>
    <s v="NEGATIVE SALES"/>
    <n v="4023.9"/>
  </r>
  <r>
    <n v="1937"/>
    <s v="Tim"/>
    <s v="Dean"/>
    <s v="Watches"/>
    <n v="4"/>
    <n v="643.24"/>
    <n v="0.66"/>
    <n v="0"/>
    <d v="2025-05-18T00:00:00"/>
    <x v="1"/>
    <x v="0"/>
    <n v="1670.97"/>
    <s v="NEGATIVE SALES"/>
    <n v="2572.96"/>
  </r>
  <r>
    <n v="1938"/>
    <s v="Kristen"/>
    <s v="Mahoney"/>
    <s v="Puffer Coat"/>
    <n v="4"/>
    <n v="2711.0426000000002"/>
    <n v="0.34"/>
    <n v="0"/>
    <d v="2025-05-29T00:00:00"/>
    <x v="5"/>
    <x v="0"/>
    <n v="-528.58000000000004"/>
    <s v="NEGATIVE SALES"/>
    <n v="10844.170400000001"/>
  </r>
  <r>
    <n v="1939"/>
    <s v="Destiny"/>
    <s v="Harris"/>
    <s v="Leather Jacket"/>
    <n v="0"/>
    <n v="2713.5859999999998"/>
    <n v="0.99"/>
    <n v="0"/>
    <d v="2025-07-02T00:00:00"/>
    <x v="3"/>
    <x v="2"/>
    <n v="693.96"/>
    <s v="NEGATIVE SALES"/>
    <n v="0"/>
  </r>
  <r>
    <n v="1940"/>
    <s v="Martin"/>
    <s v="Miller"/>
    <s v="Bodycon"/>
    <n v="0"/>
    <n v="3428.02"/>
    <n v="0.659980506822612"/>
    <n v="0"/>
    <d v="2024-11-03T00:00:00"/>
    <x v="2"/>
    <x v="2"/>
    <n v="-881.03"/>
    <s v="NEGATIVE SALES"/>
    <n v="0"/>
  </r>
  <r>
    <n v="1941"/>
    <s v="Kyle"/>
    <s v="Lopez"/>
    <s v="Loafers"/>
    <n v="4"/>
    <n v="2713.5859999999998"/>
    <n v="0.659980506822612"/>
    <n v="0"/>
    <d v="2025-01-09T00:00:00"/>
    <x v="1"/>
    <x v="1"/>
    <n v="-298.48"/>
    <s v="NEGATIVE SALES"/>
    <n v="10854.343999999999"/>
  </r>
  <r>
    <n v="1942"/>
    <s v="Madison"/>
    <s v="Gonzales"/>
    <s v="Puffer Coat"/>
    <n v="0"/>
    <n v="3710.07"/>
    <n v="0.83"/>
    <n v="0"/>
    <d v="2025-01-13T00:00:00"/>
    <x v="2"/>
    <x v="0"/>
    <n v="2682.86"/>
    <s v="NEGATIVE SALES"/>
    <n v="0"/>
  </r>
  <r>
    <n v="1943"/>
    <s v="William"/>
    <s v="Hudson"/>
    <s v="Sneakers"/>
    <n v="4"/>
    <n v="3153.49"/>
    <n v="0.65964843750000002"/>
    <n v="0"/>
    <d v="2025-01-13T00:00:00"/>
    <x v="1"/>
    <x v="1"/>
    <n v="763.19"/>
    <s v="NEGATIVE SALES"/>
    <n v="12613.96"/>
  </r>
  <r>
    <n v="1944"/>
    <s v="Steven"/>
    <s v="Huynh"/>
    <s v="Boyfriend Jeans"/>
    <n v="-1"/>
    <n v="3227.22"/>
    <n v="0.65964843750000002"/>
    <n v="0"/>
    <d v="2025-01-13T00:00:00"/>
    <x v="2"/>
    <x v="1"/>
    <n v="597.80999999999995"/>
    <s v="NEGATIVE SALES"/>
    <n v="-3227.22"/>
  </r>
  <r>
    <n v="1945"/>
    <s v="Richard"/>
    <s v="Nichols"/>
    <s v="Ripped Denim"/>
    <n v="0"/>
    <n v="2803.56"/>
    <n v="1.05"/>
    <n v="0"/>
    <d v="2024-12-05T00:00:00"/>
    <x v="0"/>
    <x v="1"/>
    <n v="-624.79"/>
    <s v="NEGATIVE SALES"/>
    <n v="0"/>
  </r>
  <r>
    <n v="1946"/>
    <s v="William"/>
    <s v="Martinez"/>
    <s v="Ripped Denim"/>
    <n v="0"/>
    <n v="2355.36"/>
    <n v="0.65888454011741604"/>
    <n v="0"/>
    <d v="2025-03-10T00:00:00"/>
    <x v="0"/>
    <x v="2"/>
    <n v="2397.33"/>
    <s v="NEGATIVE SALES"/>
    <n v="0"/>
  </r>
  <r>
    <n v="1947"/>
    <s v="Devin"/>
    <s v="Monroe"/>
    <s v="Straight Cut"/>
    <n v="0"/>
    <n v="2710.1770000000001"/>
    <n v="0.2"/>
    <n v="0"/>
    <d v="2024-12-16T00:00:00"/>
    <x v="2"/>
    <x v="0"/>
    <n v="1608.36"/>
    <s v="NEGATIVE SALES"/>
    <n v="0"/>
  </r>
  <r>
    <n v="1948"/>
    <s v="Craig"/>
    <s v="Matthews"/>
    <s v="Slim Fit Jeans"/>
    <n v="0"/>
    <n v="2755.59"/>
    <n v="1.06"/>
    <n v="0"/>
    <d v="2025-03-06T00:00:00"/>
    <x v="1"/>
    <x v="0"/>
    <n v="1058.83"/>
    <s v="NEGATIVE SALES"/>
    <n v="0"/>
  </r>
  <r>
    <n v="1949"/>
    <s v="Michelle"/>
    <s v="Bennett"/>
    <s v="Slip-Ons"/>
    <n v="0"/>
    <n v="4000.18"/>
    <n v="0.89"/>
    <n v="0"/>
    <d v="2025-03-06T00:00:00"/>
    <x v="2"/>
    <x v="1"/>
    <n v="713.58"/>
    <s v="NEGATIVE SALES"/>
    <n v="0"/>
  </r>
  <r>
    <n v="1950"/>
    <s v="Justin"/>
    <s v="Forbes"/>
    <s v="Maxi Dress"/>
    <n v="0"/>
    <n v="2270.65"/>
    <n v="0"/>
    <n v="0"/>
    <d v="2024-05-01T00:00:00"/>
    <x v="1"/>
    <x v="0"/>
    <n v="2324.34"/>
    <s v="NEGATIVE SALES"/>
    <n v="0"/>
  </r>
  <r>
    <n v="1951"/>
    <s v="Anna"/>
    <s v="Rogers"/>
    <s v="Loafers"/>
    <n v="2"/>
    <n v="2390.4299999999998"/>
    <n v="0.35"/>
    <n v="3107.56"/>
    <d v="2024-10-05T00:00:00"/>
    <x v="0"/>
    <x v="1"/>
    <n v="-634.86"/>
    <s v="POSITIVE SALES"/>
    <n v="4780.8599999999997"/>
  </r>
  <r>
    <n v="1952"/>
    <s v="Aaron"/>
    <s v="Woods"/>
    <s v="Ripped Denim"/>
    <n v="5"/>
    <n v="2709.5041000000001"/>
    <n v="0.66045454545454496"/>
    <n v="0"/>
    <d v="2024-03-14T00:00:00"/>
    <x v="4"/>
    <x v="0"/>
    <n v="2835.63"/>
    <s v="NEGATIVE SALES"/>
    <n v="13547.520500000001"/>
  </r>
  <r>
    <n v="1953"/>
    <s v="Lisa"/>
    <s v="Lewis"/>
    <s v="Bomber Jacket"/>
    <n v="0"/>
    <n v="2709.9014000000002"/>
    <n v="0.66045454545454496"/>
    <n v="0"/>
    <d v="2024-12-16T00:00:00"/>
    <x v="2"/>
    <x v="2"/>
    <n v="1996.25"/>
    <s v="NEGATIVE SALES"/>
    <n v="0"/>
  </r>
  <r>
    <n v="1954"/>
    <s v="Miss"/>
    <s v="Angela"/>
    <s v="Ripped Denim"/>
    <n v="-2"/>
    <n v="2315.7800000000002"/>
    <n v="0.66045454545454496"/>
    <n v="0"/>
    <d v="2025-05-26T00:00:00"/>
    <x v="1"/>
    <x v="1"/>
    <n v="2501.64"/>
    <s v="NEGATIVE SALES"/>
    <n v="-4631.5600000000004"/>
  </r>
  <r>
    <n v="1955"/>
    <s v="Sean"/>
    <s v="Smith"/>
    <s v="Sneakers"/>
    <n v="1"/>
    <n v="2787.46"/>
    <n v="0.92"/>
    <n v="223"/>
    <d v="2025-01-11T00:00:00"/>
    <x v="2"/>
    <x v="2"/>
    <n v="2909.73"/>
    <s v="POSITIVE SALES"/>
    <n v="2787.46"/>
  </r>
  <r>
    <n v="1956"/>
    <s v="James"/>
    <s v="Brown"/>
    <s v="Puffer Coat"/>
    <n v="0"/>
    <n v="2710.3928000000001"/>
    <n v="0.65994059405940597"/>
    <n v="0"/>
    <d v="2025-01-04T00:00:00"/>
    <x v="3"/>
    <x v="2"/>
    <n v="-850.76"/>
    <s v="NEGATIVE SALES"/>
    <n v="0"/>
  </r>
  <r>
    <n v="1957"/>
    <s v="Paula"/>
    <s v="Robinson"/>
    <s v="Watches"/>
    <n v="0"/>
    <n v="494.81"/>
    <n v="0.65994059405940597"/>
    <n v="0"/>
    <d v="2023-11-26T00:00:00"/>
    <x v="5"/>
    <x v="1"/>
    <n v="-35.32"/>
    <s v="NEGATIVE SALES"/>
    <n v="0"/>
  </r>
  <r>
    <n v="1958"/>
    <s v="Jonathan"/>
    <s v="Melton"/>
    <s v="Crop Top"/>
    <n v="0"/>
    <n v="3068.38"/>
    <n v="0.65994059405940597"/>
    <n v="0"/>
    <d v="2024-07-29T00:00:00"/>
    <x v="3"/>
    <x v="1"/>
    <n v="2376.6799999999998"/>
    <s v="NEGATIVE SALES"/>
    <n v="0"/>
  </r>
  <r>
    <n v="1959"/>
    <s v="Deanna"/>
    <s v="Ortiz"/>
    <s v="Denim Jacket"/>
    <n v="0"/>
    <n v="3805.09"/>
    <n v="0.65994059405940597"/>
    <n v="0"/>
    <d v="2024-07-29T00:00:00"/>
    <x v="1"/>
    <x v="1"/>
    <n v="-476"/>
    <s v="NEGATIVE SALES"/>
    <n v="0"/>
  </r>
  <r>
    <n v="1960"/>
    <s v="Janet"/>
    <s v="Murray"/>
    <s v="Slip-Ons"/>
    <n v="2"/>
    <n v="1369.81"/>
    <n v="0.67"/>
    <n v="904.07"/>
    <d v="2024-11-16T00:00:00"/>
    <x v="4"/>
    <x v="2"/>
    <n v="1179.44"/>
    <s v="POSITIVE SALES"/>
    <n v="2739.62"/>
  </r>
  <r>
    <n v="1961"/>
    <s v="Megan"/>
    <s v="Scott"/>
    <s v="Denim Jacket"/>
    <n v="0"/>
    <n v="2204.39"/>
    <n v="0.65992063492063502"/>
    <n v="0"/>
    <d v="2024-03-23T00:00:00"/>
    <x v="4"/>
    <x v="2"/>
    <n v="-546.19000000000005"/>
    <s v="NEGATIVE SALES"/>
    <n v="0"/>
  </r>
  <r>
    <n v="1962"/>
    <s v="Spencer"/>
    <s v="Jacobs"/>
    <s v="Sneakers"/>
    <n v="-2"/>
    <n v="2712.9353999999998"/>
    <n v="0.65992063492063502"/>
    <n v="0"/>
    <d v="2023-12-07T00:00:00"/>
    <x v="0"/>
    <x v="2"/>
    <n v="1408.3"/>
    <s v="NEGATIVE SALES"/>
    <n v="-5425.8707999999997"/>
  </r>
  <r>
    <n v="1963"/>
    <s v="Isaac"/>
    <s v="Montgomery"/>
    <s v="Boots"/>
    <n v="0"/>
    <n v="1935.29"/>
    <n v="0.65992063492063502"/>
    <n v="0"/>
    <d v="2024-08-21T00:00:00"/>
    <x v="2"/>
    <x v="2"/>
    <n v="-114.47"/>
    <s v="NEGATIVE SALES"/>
    <n v="0"/>
  </r>
  <r>
    <n v="1964"/>
    <s v="Johnny"/>
    <s v="Walker"/>
    <s v="Oversized T-Shirt"/>
    <n v="-2"/>
    <n v="2713.5743000000002"/>
    <n v="0.65992063492063502"/>
    <n v="0"/>
    <d v="2024-08-21T00:00:00"/>
    <x v="3"/>
    <x v="2"/>
    <n v="2202.2800000000002"/>
    <s v="NEGATIVE SALES"/>
    <n v="-5427.1486000000004"/>
  </r>
  <r>
    <n v="1965"/>
    <s v="Dawn"/>
    <s v="Thompson"/>
    <s v="Bodycon"/>
    <n v="0"/>
    <n v="2714.5531999999998"/>
    <n v="0.65992063492063502"/>
    <n v="0"/>
    <d v="2025-02-01T00:00:00"/>
    <x v="4"/>
    <x v="2"/>
    <n v="2663.36"/>
    <s v="NEGATIVE SALES"/>
    <n v="0"/>
  </r>
  <r>
    <n v="1966"/>
    <s v="Amber"/>
    <s v="Fernandez"/>
    <s v="Loafers"/>
    <n v="0"/>
    <n v="2714.5531999999998"/>
    <n v="0.65992063492063502"/>
    <n v="0"/>
    <d v="2025-02-01T00:00:00"/>
    <x v="4"/>
    <x v="2"/>
    <n v="2887.5"/>
    <s v="NEGATIVE SALES"/>
    <n v="0"/>
  </r>
  <r>
    <n v="1967"/>
    <s v="Lisa"/>
    <s v="Hernandez"/>
    <s v="Graphic Tee"/>
    <n v="0"/>
    <n v="2714.5531999999998"/>
    <n v="0.65992063492063502"/>
    <n v="0"/>
    <d v="2025-02-01T00:00:00"/>
    <x v="1"/>
    <x v="2"/>
    <n v="1310.86"/>
    <s v="NEGATIVE SALES"/>
    <n v="0"/>
  </r>
  <r>
    <n v="1968"/>
    <s v="Luis"/>
    <s v="Vazquez"/>
    <s v="Puffer Coat"/>
    <n v="5"/>
    <n v="2714.5531999999998"/>
    <n v="0.65992063492063502"/>
    <n v="0"/>
    <d v="2025-07-17T00:00:00"/>
    <x v="3"/>
    <x v="1"/>
    <n v="-168.76"/>
    <s v="NEGATIVE SALES"/>
    <n v="13572.766"/>
  </r>
  <r>
    <n v="1969"/>
    <s v="Angelica"/>
    <s v="Hansen"/>
    <s v="Slim Fit Jeans"/>
    <n v="0"/>
    <n v="2153.5700000000002"/>
    <n v="0.65992063492063502"/>
    <n v="0"/>
    <d v="2024-11-16T00:00:00"/>
    <x v="2"/>
    <x v="0"/>
    <n v="1200.02"/>
    <s v="NEGATIVE SALES"/>
    <n v="0"/>
  </r>
  <r>
    <n v="1970"/>
    <s v="Tracey"/>
    <s v="Taylor"/>
    <s v="Denim Jacket"/>
    <n v="6"/>
    <n v="2714.5531999999998"/>
    <n v="0.65992063492063502"/>
    <n v="0"/>
    <d v="2024-11-16T00:00:00"/>
    <x v="4"/>
    <x v="1"/>
    <n v="1016.11"/>
    <s v="NEGATIVE SALES"/>
    <n v="16287.3192"/>
  </r>
  <r>
    <n v="1971"/>
    <s v="Stephanie"/>
    <s v="Wolfe"/>
    <s v="Sunglasses"/>
    <n v="0"/>
    <n v="4746.5200000000004"/>
    <n v="0.65992063492063502"/>
    <n v="0"/>
    <d v="2024-12-03T00:00:00"/>
    <x v="2"/>
    <x v="2"/>
    <n v="1981.22"/>
    <s v="NEGATIVE SALES"/>
    <n v="0"/>
  </r>
  <r>
    <n v="1972"/>
    <s v="Melissa"/>
    <s v="Weaver"/>
    <s v="Bomber Jacket"/>
    <n v="-1"/>
    <n v="2715.2597999999998"/>
    <n v="0.65992063492063502"/>
    <n v="0"/>
    <d v="2024-08-21T00:00:00"/>
    <x v="0"/>
    <x v="0"/>
    <n v="-161.86000000000001"/>
    <s v="NEGATIVE SALES"/>
    <n v="-2715.2597999999998"/>
  </r>
  <r>
    <n v="1973"/>
    <s v="Sarah"/>
    <s v="Gonzalez"/>
    <s v="Caps"/>
    <n v="0"/>
    <n v="2712.6983"/>
    <n v="0.65992063492063502"/>
    <n v="0"/>
    <d v="2025-03-29T00:00:00"/>
    <x v="4"/>
    <x v="0"/>
    <n v="838.06"/>
    <s v="NEGATIVE SALES"/>
    <n v="0"/>
  </r>
  <r>
    <n v="1974"/>
    <s v="Gregory"/>
    <s v="Munoz"/>
    <s v="Ripped Denim"/>
    <n v="0"/>
    <n v="3286.66"/>
    <n v="0.65992063492063502"/>
    <n v="0"/>
    <d v="2025-03-29T00:00:00"/>
    <x v="1"/>
    <x v="2"/>
    <n v="1019.91"/>
    <s v="NEGATIVE SALES"/>
    <n v="0"/>
  </r>
  <r>
    <n v="1975"/>
    <s v="Gregory"/>
    <s v="Wilson"/>
    <s v="Classic Tee"/>
    <n v="0"/>
    <n v="3853.49"/>
    <n v="0.65992063492063502"/>
    <n v="0"/>
    <d v="2025-03-29T00:00:00"/>
    <x v="2"/>
    <x v="2"/>
    <n v="77.2"/>
    <s v="NEGATIVE SALES"/>
    <n v="0"/>
  </r>
  <r>
    <n v="1976"/>
    <s v="Carla"/>
    <s v="Mcneil"/>
    <s v="Ripped Denim"/>
    <n v="0"/>
    <n v="4363.08"/>
    <n v="0.65992063492063502"/>
    <n v="0"/>
    <d v="2025-05-26T00:00:00"/>
    <x v="0"/>
    <x v="0"/>
    <n v="-16.09"/>
    <s v="NEGATIVE SALES"/>
    <n v="0"/>
  </r>
  <r>
    <n v="1977"/>
    <s v="Michael"/>
    <s v="Gray"/>
    <s v="Oversized T-Shirt"/>
    <n v="2"/>
    <n v="4126.29"/>
    <n v="0.65992063492063502"/>
    <n v="0"/>
    <d v="2025-05-26T00:00:00"/>
    <x v="2"/>
    <x v="1"/>
    <n v="-578.63"/>
    <s v="NEGATIVE SALES"/>
    <n v="8252.58"/>
  </r>
  <r>
    <n v="1978"/>
    <s v="Cody"/>
    <s v="Atkins"/>
    <s v="Classic Tee"/>
    <n v="4"/>
    <n v="2708.4386"/>
    <n v="0.65992063492063502"/>
    <n v="0"/>
    <d v="2024-08-18T00:00:00"/>
    <x v="2"/>
    <x v="1"/>
    <n v="-120.11"/>
    <s v="NEGATIVE SALES"/>
    <n v="10833.7544"/>
  </r>
  <r>
    <n v="1979"/>
    <s v="Thomas"/>
    <s v="Shepard"/>
    <s v="Bodycon"/>
    <n v="-2"/>
    <n v="4375.7"/>
    <n v="0.91"/>
    <n v="-787.63"/>
    <d v="2025-06-13T00:00:00"/>
    <x v="3"/>
    <x v="2"/>
    <n v="250.46"/>
    <s v="NEGATIVE SALES"/>
    <n v="-8751.4"/>
  </r>
  <r>
    <n v="1980"/>
    <s v="Mary"/>
    <s v="Hill"/>
    <s v="Caps"/>
    <n v="1"/>
    <n v="1426.73"/>
    <n v="0.65942345924453205"/>
    <n v="0"/>
    <d v="2023-10-08T00:00:00"/>
    <x v="4"/>
    <x v="0"/>
    <n v="2451.9899999999998"/>
    <s v="NEGATIVE SALES"/>
    <n v="1426.73"/>
  </r>
  <r>
    <n v="1981"/>
    <s v="Donna"/>
    <s v="Fisher"/>
    <s v="Maxi Dress"/>
    <n v="0"/>
    <n v="2704.5234999999998"/>
    <n v="0.65942345924453205"/>
    <n v="0"/>
    <d v="2023-10-08T00:00:00"/>
    <x v="0"/>
    <x v="2"/>
    <n v="1171.6500000000001"/>
    <s v="NEGATIVE SALES"/>
    <n v="0"/>
  </r>
  <r>
    <n v="1982"/>
    <s v="Christian"/>
    <s v="Johnson"/>
    <s v="Wrap Dress"/>
    <n v="0"/>
    <n v="3701.72"/>
    <n v="0.65942345924453205"/>
    <n v="0"/>
    <d v="2023-10-08T00:00:00"/>
    <x v="1"/>
    <x v="1"/>
    <n v="1936.33"/>
    <s v="NEGATIVE SALES"/>
    <n v="0"/>
  </r>
  <r>
    <n v="1983"/>
    <s v="Janet"/>
    <s v="Evans"/>
    <s v="Bomber Jacket"/>
    <n v="0"/>
    <n v="2348.2600000000002"/>
    <n v="0.65942345924453205"/>
    <n v="0"/>
    <d v="2025-04-09T00:00:00"/>
    <x v="3"/>
    <x v="2"/>
    <n v="358.59"/>
    <s v="NEGATIVE SALES"/>
    <n v="0"/>
  </r>
  <r>
    <n v="1984"/>
    <s v="Christopher"/>
    <s v="Martin"/>
    <s v="Maxi Dress"/>
    <n v="0"/>
    <n v="2704.8805000000002"/>
    <n v="1.25"/>
    <n v="0"/>
    <d v="2024-09-20T00:00:00"/>
    <x v="3"/>
    <x v="2"/>
    <n v="881.47"/>
    <s v="NEGATIVE SALES"/>
    <n v="0"/>
  </r>
  <r>
    <n v="1985"/>
    <s v="Melanie"/>
    <s v="Noble"/>
    <s v="Boots"/>
    <n v="0"/>
    <n v="1668.18"/>
    <n v="0.63"/>
    <n v="0"/>
    <d v="2024-12-12T00:00:00"/>
    <x v="0"/>
    <x v="1"/>
    <n v="-553.53"/>
    <s v="NEGATIVE SALES"/>
    <n v="0"/>
  </r>
  <r>
    <n v="1986"/>
    <s v="Leslie"/>
    <s v="White"/>
    <s v="Casual Midi"/>
    <n v="0"/>
    <n v="2705.3348000000001"/>
    <n v="0.06"/>
    <n v="0"/>
    <d v="2025-01-15T00:00:00"/>
    <x v="5"/>
    <x v="1"/>
    <n v="2806.51"/>
    <s v="NEGATIVE SALES"/>
    <n v="0"/>
  </r>
  <r>
    <n v="1987"/>
    <s v="Carolyn"/>
    <s v="Nicholson"/>
    <s v="Belts"/>
    <n v="0"/>
    <n v="2706.6577000000002"/>
    <n v="0.8"/>
    <n v="0"/>
    <d v="2025-01-10T00:00:00"/>
    <x v="5"/>
    <x v="1"/>
    <n v="2732.84"/>
    <s v="NEGATIVE SALES"/>
    <n v="0"/>
  </r>
  <r>
    <n v="1988"/>
    <s v="Victor"/>
    <s v="Hill"/>
    <s v="Boots"/>
    <n v="0"/>
    <n v="2706.6577000000002"/>
    <n v="0.65921843687374704"/>
    <n v="0"/>
    <d v="2025-03-25T00:00:00"/>
    <x v="3"/>
    <x v="2"/>
    <n v="-298.07"/>
    <s v="NEGATIVE SALES"/>
    <n v="0"/>
  </r>
  <r>
    <n v="1989"/>
    <s v="Dillon"/>
    <s v="Cruz"/>
    <s v="Crop Top"/>
    <n v="0"/>
    <n v="2706.6577000000002"/>
    <n v="0.65921843687374704"/>
    <n v="0"/>
    <d v="2025-03-24T00:00:00"/>
    <x v="1"/>
    <x v="1"/>
    <n v="2646.08"/>
    <s v="NEGATIVE SALES"/>
    <n v="0"/>
  </r>
  <r>
    <n v="1990"/>
    <s v="Danny"/>
    <s v="Ayers"/>
    <s v="Boyfriend Jeans"/>
    <n v="-1"/>
    <n v="1203.45"/>
    <n v="0.65921843687374704"/>
    <n v="0"/>
    <d v="2025-04-27T00:00:00"/>
    <x v="0"/>
    <x v="0"/>
    <n v="1184.3599999999999"/>
    <s v="NEGATIVE SALES"/>
    <n v="-1203.45"/>
  </r>
  <r>
    <n v="1991"/>
    <s v="Marcia"/>
    <s v="Moore"/>
    <s v="Leather Jacket"/>
    <n v="0"/>
    <n v="2808.46"/>
    <n v="0.67"/>
    <n v="0"/>
    <d v="2025-04-27T00:00:00"/>
    <x v="2"/>
    <x v="0"/>
    <n v="1592.37"/>
    <s v="NEGATIVE SALES"/>
    <n v="0"/>
  </r>
  <r>
    <n v="1992"/>
    <s v="Lori"/>
    <s v="Williams"/>
    <s v="Classic Tee"/>
    <n v="0"/>
    <n v="2708.5774999999999"/>
    <n v="0.72"/>
    <n v="0"/>
    <d v="2025-04-27T00:00:00"/>
    <x v="3"/>
    <x v="2"/>
    <n v="2416.37"/>
    <s v="NEGATIVE SALES"/>
    <n v="0"/>
  </r>
  <r>
    <n v="1993"/>
    <s v="Joanne"/>
    <s v="Mitchell"/>
    <s v="Boots"/>
    <n v="0"/>
    <n v="2708.4497999999999"/>
    <n v="0.65907444668007997"/>
    <n v="0"/>
    <d v="2023-10-14T00:00:00"/>
    <x v="4"/>
    <x v="0"/>
    <n v="937.22"/>
    <s v="NEGATIVE SALES"/>
    <n v="0"/>
  </r>
  <r>
    <n v="1994"/>
    <s v="Manuel"/>
    <s v="Carter"/>
    <s v="Ripped Denim"/>
    <n v="-1"/>
    <n v="1010.48"/>
    <n v="0.65907444668007997"/>
    <n v="0"/>
    <d v="2024-07-26T00:00:00"/>
    <x v="5"/>
    <x v="0"/>
    <n v="2321.5300000000002"/>
    <s v="NEGATIVE SALES"/>
    <n v="-1010.48"/>
  </r>
  <r>
    <n v="1995"/>
    <s v="Heather"/>
    <s v="Gardner"/>
    <s v="Leather Jacket"/>
    <n v="4"/>
    <n v="2708.4497999999999"/>
    <n v="0.65907444668007997"/>
    <n v="0"/>
    <d v="2025-03-05T00:00:00"/>
    <x v="0"/>
    <x v="0"/>
    <n v="1815.94"/>
    <s v="NEGATIVE SALES"/>
    <n v="10833.799199999999"/>
  </r>
  <r>
    <n v="1996"/>
    <s v="Julia"/>
    <s v="Crawford"/>
    <s v="Watches"/>
    <n v="0"/>
    <n v="2710.6239"/>
    <n v="0.65907444668007997"/>
    <n v="0"/>
    <d v="2025-04-30T00:00:00"/>
    <x v="2"/>
    <x v="1"/>
    <n v="1145.05"/>
    <s v="NEGATIVE SALES"/>
    <n v="0"/>
  </r>
  <r>
    <n v="1997"/>
    <s v="Vicki"/>
    <s v="Kennedy"/>
    <s v="Puffer Coat"/>
    <n v="4"/>
    <n v="2710.6239"/>
    <n v="0.53"/>
    <n v="0"/>
    <d v="2025-03-10T00:00:00"/>
    <x v="0"/>
    <x v="0"/>
    <n v="141.76"/>
    <s v="NEGATIVE SALES"/>
    <n v="10842.4956"/>
  </r>
  <r>
    <n v="1998"/>
    <s v="Thomas"/>
    <s v="Howard"/>
    <s v="Classic Tee"/>
    <n v="5"/>
    <n v="2567.59"/>
    <n v="0.65933467741935503"/>
    <n v="0"/>
    <d v="2023-10-04T00:00:00"/>
    <x v="0"/>
    <x v="0"/>
    <n v="-702.7"/>
    <s v="NEGATIVE SALES"/>
    <n v="12837.95"/>
  </r>
  <r>
    <n v="1999"/>
    <s v="Glenn"/>
    <s v="Blackwell"/>
    <s v="Slip-Ons"/>
    <n v="0"/>
    <n v="2710.6239"/>
    <n v="0.81"/>
    <n v="0"/>
    <d v="2025-04-26T00:00:00"/>
    <x v="5"/>
    <x v="0"/>
    <n v="938.71"/>
    <s v="NEGATIVE SALES"/>
    <n v="0"/>
  </r>
  <r>
    <n v="2000"/>
    <s v="Christopher"/>
    <s v="Ortiz"/>
    <s v="Leather Jacket"/>
    <n v="-1"/>
    <n v="1966.21"/>
    <n v="0.65903030303030297"/>
    <n v="0"/>
    <d v="2024-08-16T00:00:00"/>
    <x v="3"/>
    <x v="1"/>
    <n v="2035.1"/>
    <s v="NEGATIVE SALES"/>
    <n v="-1966.21"/>
  </r>
  <r>
    <n v="2001"/>
    <s v="Adam"/>
    <s v="Larson"/>
    <s v="Wrap Dress"/>
    <n v="1"/>
    <n v="2710.8072000000002"/>
    <n v="0.65903030303030297"/>
    <n v="0"/>
    <d v="2024-08-16T00:00:00"/>
    <x v="2"/>
    <x v="0"/>
    <n v="1592.62"/>
    <s v="NEGATIVE SALES"/>
    <n v="2710.8072000000002"/>
  </r>
  <r>
    <n v="2002"/>
    <s v="Jeffrey"/>
    <s v="Hess"/>
    <s v="Crop Top"/>
    <n v="0"/>
    <n v="1335.29"/>
    <n v="0.65903030303030297"/>
    <n v="0"/>
    <d v="2024-11-27T00:00:00"/>
    <x v="1"/>
    <x v="0"/>
    <n v="1372.9"/>
    <s v="NEGATIVE SALES"/>
    <n v="0"/>
  </r>
  <r>
    <n v="2003"/>
    <s v="Megan"/>
    <s v="Carter"/>
    <s v="Denim Jacket"/>
    <n v="0"/>
    <n v="2910.84"/>
    <n v="0.65903030303030297"/>
    <n v="0"/>
    <d v="2024-10-12T00:00:00"/>
    <x v="1"/>
    <x v="0"/>
    <n v="-304.63"/>
    <s v="NEGATIVE SALES"/>
    <n v="0"/>
  </r>
  <r>
    <n v="2004"/>
    <s v="Ryan"/>
    <s v="Schultz"/>
    <s v="Bomber Jacket"/>
    <n v="-1"/>
    <n v="2713.5322999999999"/>
    <n v="0.65903030303030297"/>
    <n v="0"/>
    <d v="2024-11-09T00:00:00"/>
    <x v="2"/>
    <x v="2"/>
    <n v="1452.85"/>
    <s v="NEGATIVE SALES"/>
    <n v="-2713.5322999999999"/>
  </r>
  <r>
    <n v="2005"/>
    <s v="Jennifer"/>
    <s v="Ruiz"/>
    <s v="Straight Cut"/>
    <n v="0"/>
    <n v="2713.2784000000001"/>
    <n v="0.65903030303030297"/>
    <n v="0"/>
    <d v="2024-09-24T00:00:00"/>
    <x v="0"/>
    <x v="1"/>
    <n v="559.6"/>
    <s v="NEGATIVE SALES"/>
    <n v="0"/>
  </r>
  <r>
    <n v="2006"/>
    <s v="Justin"/>
    <s v="Harvey"/>
    <s v="Caps"/>
    <n v="0"/>
    <n v="1283.6199999999999"/>
    <n v="0.65903030303030297"/>
    <n v="0"/>
    <d v="2024-09-24T00:00:00"/>
    <x v="1"/>
    <x v="0"/>
    <n v="541.27"/>
    <s v="NEGATIVE SALES"/>
    <n v="0"/>
  </r>
  <r>
    <n v="2007"/>
    <s v="Kristen"/>
    <s v="Martin"/>
    <s v="Leather Jacket"/>
    <n v="3"/>
    <n v="3413.11"/>
    <n v="0.9"/>
    <n v="1023.93"/>
    <d v="2024-09-24T00:00:00"/>
    <x v="5"/>
    <x v="2"/>
    <n v="-440.8"/>
    <s v="POSITIVE SALES"/>
    <n v="10239.33"/>
  </r>
  <r>
    <n v="2008"/>
    <s v="Carlos"/>
    <s v="Bishop"/>
    <s v="Maxi Dress"/>
    <n v="3"/>
    <n v="1284.3599999999999"/>
    <n v="0.65854251012145704"/>
    <n v="0"/>
    <d v="2024-09-24T00:00:00"/>
    <x v="1"/>
    <x v="0"/>
    <n v="108.58"/>
    <s v="NEGATIVE SALES"/>
    <n v="3853.08"/>
  </r>
  <r>
    <n v="2009"/>
    <s v="Brian"/>
    <s v="Garner"/>
    <s v="Straight Cut"/>
    <n v="0"/>
    <n v="3385.59"/>
    <n v="0.02"/>
    <n v="0"/>
    <d v="2024-08-16T00:00:00"/>
    <x v="3"/>
    <x v="2"/>
    <n v="-927.71"/>
    <s v="NEGATIVE SALES"/>
    <n v="0"/>
  </r>
  <r>
    <n v="2010"/>
    <s v="Casey"/>
    <s v="Mathews"/>
    <s v="Graphic Tee"/>
    <n v="-1"/>
    <n v="3630.24"/>
    <n v="0.65983772819472597"/>
    <n v="0"/>
    <d v="2024-10-17T00:00:00"/>
    <x v="1"/>
    <x v="1"/>
    <n v="-194.42"/>
    <s v="NEGATIVE SALES"/>
    <n v="-3630.24"/>
  </r>
  <r>
    <n v="2011"/>
    <s v="Heidi"/>
    <s v="Ward"/>
    <s v="Slip-Ons"/>
    <n v="1"/>
    <n v="3989.68"/>
    <n v="0.65983772819472597"/>
    <n v="0"/>
    <d v="2025-03-31T00:00:00"/>
    <x v="2"/>
    <x v="0"/>
    <n v="999.35"/>
    <s v="NEGATIVE SALES"/>
    <n v="3989.68"/>
  </r>
  <r>
    <n v="2012"/>
    <s v="Kayla"/>
    <s v="Andersen"/>
    <s v="Oversized T-Shirt"/>
    <n v="0"/>
    <n v="2674.79"/>
    <n v="0.8"/>
    <n v="0"/>
    <d v="2025-03-21T00:00:00"/>
    <x v="1"/>
    <x v="0"/>
    <n v="537.29999999999995"/>
    <s v="NEGATIVE SALES"/>
    <n v="0"/>
  </r>
  <r>
    <n v="2013"/>
    <s v="Alexandra"/>
    <s v="Park"/>
    <s v="Sneakers"/>
    <n v="0"/>
    <n v="2712.3615"/>
    <n v="0.65955284552845495"/>
    <n v="0"/>
    <d v="2025-05-19T00:00:00"/>
    <x v="2"/>
    <x v="0"/>
    <n v="644.41999999999996"/>
    <s v="NEGATIVE SALES"/>
    <n v="0"/>
  </r>
  <r>
    <n v="2014"/>
    <s v="Dennis"/>
    <s v="Morales"/>
    <s v="Leather Jacket"/>
    <n v="2"/>
    <n v="2712.4103"/>
    <n v="0.65955284552845495"/>
    <n v="0"/>
    <d v="2025-05-19T00:00:00"/>
    <x v="0"/>
    <x v="1"/>
    <n v="763.62"/>
    <s v="NEGATIVE SALES"/>
    <n v="5424.8206"/>
  </r>
  <r>
    <n v="2015"/>
    <s v="Emma"/>
    <s v="Chavez"/>
    <s v="Casual Midi"/>
    <n v="0"/>
    <n v="2712.4103"/>
    <n v="0.65955284552845495"/>
    <n v="0"/>
    <d v="2025-03-19T00:00:00"/>
    <x v="0"/>
    <x v="2"/>
    <n v="182.23"/>
    <s v="NEGATIVE SALES"/>
    <n v="0"/>
  </r>
  <r>
    <n v="2016"/>
    <s v="Susan"/>
    <s v="Davis"/>
    <s v="Boots"/>
    <n v="-2"/>
    <n v="1435.85"/>
    <n v="0.65955284552845495"/>
    <n v="0"/>
    <d v="2025-05-09T00:00:00"/>
    <x v="5"/>
    <x v="2"/>
    <n v="317.58"/>
    <s v="NEGATIVE SALES"/>
    <n v="-2871.7"/>
  </r>
  <r>
    <n v="2017"/>
    <s v="Stephanie"/>
    <s v="Baker"/>
    <s v="Ripped Denim"/>
    <n v="0"/>
    <n v="3549.93"/>
    <n v="0.65955284552845495"/>
    <n v="0"/>
    <d v="2025-05-09T00:00:00"/>
    <x v="1"/>
    <x v="0"/>
    <n v="652.09"/>
    <s v="NEGATIVE SALES"/>
    <n v="0"/>
  </r>
  <r>
    <n v="2018"/>
    <s v="Robert"/>
    <s v="Mcgrath"/>
    <s v="Ripped Denim"/>
    <n v="5"/>
    <n v="2714.0702999999999"/>
    <n v="0.91"/>
    <n v="0"/>
    <d v="2024-09-16T00:00:00"/>
    <x v="2"/>
    <x v="0"/>
    <n v="-730.39"/>
    <s v="NEGATIVE SALES"/>
    <n v="13570.351500000001"/>
  </r>
  <r>
    <n v="2019"/>
    <s v="Matthew"/>
    <s v="Gibson"/>
    <s v="Straight Cut"/>
    <n v="2"/>
    <n v="1797.91"/>
    <n v="0.65904276985743404"/>
    <n v="0"/>
    <d v="2025-01-23T00:00:00"/>
    <x v="1"/>
    <x v="0"/>
    <n v="2132.08"/>
    <s v="NEGATIVE SALES"/>
    <n v="3595.82"/>
  </r>
  <r>
    <n v="2020"/>
    <s v="Laura"/>
    <s v="Anderson"/>
    <s v="Straight Cut"/>
    <n v="-2"/>
    <n v="3954.73"/>
    <n v="0.3"/>
    <n v="-5536.62"/>
    <d v="2025-05-11T00:00:00"/>
    <x v="3"/>
    <x v="1"/>
    <n v="-78.22"/>
    <s v="NEGATIVE SALES"/>
    <n v="-7909.46"/>
  </r>
  <r>
    <n v="2021"/>
    <s v="David"/>
    <s v="Perry"/>
    <s v="Sneakers"/>
    <n v="0"/>
    <n v="4178.18"/>
    <n v="1.27"/>
    <n v="0"/>
    <d v="2023-08-15T00:00:00"/>
    <x v="2"/>
    <x v="1"/>
    <n v="2952.52"/>
    <s v="NEGATIVE SALES"/>
    <n v="0"/>
  </r>
  <r>
    <n v="2022"/>
    <s v="Gabriel"/>
    <s v="Brooks"/>
    <s v="Loafers"/>
    <n v="0"/>
    <n v="3094.77"/>
    <n v="0.65852760736196303"/>
    <n v="0"/>
    <d v="2025-06-09T00:00:00"/>
    <x v="4"/>
    <x v="2"/>
    <n v="2340.79"/>
    <s v="NEGATIVE SALES"/>
    <n v="0"/>
  </r>
  <r>
    <n v="2023"/>
    <s v="Adam"/>
    <s v="Villarreal"/>
    <s v="Boots"/>
    <n v="3"/>
    <n v="618.17999999999995"/>
    <n v="0.65852760736196303"/>
    <n v="0"/>
    <d v="2025-06-09T00:00:00"/>
    <x v="1"/>
    <x v="0"/>
    <n v="404.9"/>
    <s v="NEGATIVE SALES"/>
    <n v="1854.54"/>
  </r>
  <r>
    <n v="2024"/>
    <s v="Todd"/>
    <s v="Edwards"/>
    <s v="Casual Midi"/>
    <n v="4"/>
    <n v="4220.2"/>
    <n v="0.65852760736196303"/>
    <n v="0"/>
    <d v="2023-12-14T00:00:00"/>
    <x v="0"/>
    <x v="0"/>
    <n v="2488.92"/>
    <s v="NEGATIVE SALES"/>
    <n v="16880.8"/>
  </r>
  <r>
    <n v="2025"/>
    <s v="David"/>
    <s v="Hanson"/>
    <s v="Watches"/>
    <n v="4"/>
    <n v="2712.8786"/>
    <n v="0.65852760736196303"/>
    <n v="0"/>
    <d v="2025-04-03T00:00:00"/>
    <x v="0"/>
    <x v="2"/>
    <n v="1259.95"/>
    <s v="NEGATIVE SALES"/>
    <n v="10851.5144"/>
  </r>
  <r>
    <n v="2026"/>
    <s v="Tracy"/>
    <s v="Thomas"/>
    <s v="Sneakers"/>
    <n v="0"/>
    <n v="2710.9005000000002"/>
    <n v="0.65852760736196303"/>
    <n v="0"/>
    <d v="2025-06-04T00:00:00"/>
    <x v="1"/>
    <x v="1"/>
    <n v="83.33"/>
    <s v="NEGATIVE SALES"/>
    <n v="0"/>
  </r>
  <r>
    <n v="2027"/>
    <s v="Vanessa"/>
    <s v="Hale"/>
    <s v="Slip-Ons"/>
    <n v="5"/>
    <n v="2734.95"/>
    <n v="0.17"/>
    <n v="11350.04"/>
    <d v="2025-01-04T00:00:00"/>
    <x v="2"/>
    <x v="0"/>
    <n v="-657.03"/>
    <s v="POSITIVE SALES"/>
    <n v="13674.75"/>
  </r>
  <r>
    <n v="2028"/>
    <s v="Kelly"/>
    <s v="Scott"/>
    <s v="Leather Jacket"/>
    <n v="2"/>
    <n v="2710.9005000000002"/>
    <n v="0.65952868852459001"/>
    <n v="0"/>
    <d v="2024-09-14T00:00:00"/>
    <x v="3"/>
    <x v="2"/>
    <n v="2393.48"/>
    <s v="NEGATIVE SALES"/>
    <n v="5421.8010000000004"/>
  </r>
  <r>
    <n v="2029"/>
    <s v="Nicole"/>
    <s v="Adkins"/>
    <s v="Bomber Jacket"/>
    <n v="6"/>
    <n v="2710.8688999999999"/>
    <n v="0.65952868852459001"/>
    <n v="0"/>
    <d v="2024-11-29T00:00:00"/>
    <x v="3"/>
    <x v="2"/>
    <n v="2374.9"/>
    <s v="NEGATIVE SALES"/>
    <n v="16265.213400000001"/>
  </r>
  <r>
    <n v="2030"/>
    <s v="Larry"/>
    <s v="Kent"/>
    <s v="Wrap Dress"/>
    <n v="1"/>
    <n v="1354.69"/>
    <n v="0.65952868852459001"/>
    <n v="0"/>
    <d v="2024-12-11T00:00:00"/>
    <x v="5"/>
    <x v="0"/>
    <n v="-710.56"/>
    <s v="NEGATIVE SALES"/>
    <n v="1354.69"/>
  </r>
  <r>
    <n v="2031"/>
    <s v="Nicole"/>
    <s v="Munoz"/>
    <s v="Maxi Dress"/>
    <n v="0"/>
    <n v="2710.8688999999999"/>
    <n v="0.65952868852459001"/>
    <n v="0"/>
    <d v="2025-06-24T00:00:00"/>
    <x v="0"/>
    <x v="1"/>
    <n v="2655.01"/>
    <s v="NEGATIVE SALES"/>
    <n v="0"/>
  </r>
  <r>
    <n v="2032"/>
    <s v="Anna"/>
    <s v="Nguyen"/>
    <s v="Sunglasses"/>
    <n v="0"/>
    <n v="4910.91"/>
    <n v="1.1200000000000001"/>
    <n v="0"/>
    <d v="2023-08-15T00:00:00"/>
    <x v="5"/>
    <x v="2"/>
    <n v="1419.21"/>
    <s v="NEGATIVE SALES"/>
    <n v="0"/>
  </r>
  <r>
    <n v="2033"/>
    <s v="Christopher"/>
    <s v="Martinez"/>
    <s v="Casual Midi"/>
    <n v="6"/>
    <n v="2712.6532999999999"/>
    <n v="0.658583162217659"/>
    <n v="0"/>
    <d v="2023-08-15T00:00:00"/>
    <x v="5"/>
    <x v="2"/>
    <n v="63.41"/>
    <s v="NEGATIVE SALES"/>
    <n v="16275.9198"/>
  </r>
  <r>
    <n v="2034"/>
    <s v="Amanda"/>
    <s v="Jones"/>
    <s v="Sunglasses"/>
    <n v="6"/>
    <n v="3080.12"/>
    <n v="0.26"/>
    <n v="13675.73"/>
    <d v="2025-06-23T00:00:00"/>
    <x v="5"/>
    <x v="0"/>
    <n v="-678.89"/>
    <s v="POSITIVE SALES"/>
    <n v="18480.72"/>
  </r>
  <r>
    <n v="2035"/>
    <s v="Ronald"/>
    <s v="Black"/>
    <s v="Maxi Dress"/>
    <n v="0"/>
    <n v="2516.6"/>
    <n v="0.65940329218106997"/>
    <n v="0"/>
    <d v="2025-04-22T00:00:00"/>
    <x v="1"/>
    <x v="0"/>
    <n v="2860.05"/>
    <s v="NEGATIVE SALES"/>
    <n v="0"/>
  </r>
  <r>
    <n v="2036"/>
    <s v="John"/>
    <s v="White"/>
    <s v="Graphic Tee"/>
    <n v="-2"/>
    <n v="2709.2685000000001"/>
    <n v="0.72"/>
    <n v="0"/>
    <d v="2025-04-22T00:00:00"/>
    <x v="1"/>
    <x v="1"/>
    <n v="106.67"/>
    <s v="NEGATIVE SALES"/>
    <n v="-5418.5370000000003"/>
  </r>
  <r>
    <n v="2037"/>
    <s v="Robert"/>
    <s v="Fletcher"/>
    <s v="Boots"/>
    <n v="1"/>
    <n v="1120.52"/>
    <n v="0.65927835051546402"/>
    <n v="0"/>
    <d v="2025-07-11T00:00:00"/>
    <x v="5"/>
    <x v="2"/>
    <n v="-523.32000000000005"/>
    <s v="NEGATIVE SALES"/>
    <n v="1120.52"/>
  </r>
  <r>
    <n v="2038"/>
    <s v="Johnny"/>
    <s v="Powell"/>
    <s v="Oversized T-Shirt"/>
    <n v="0"/>
    <n v="2709.5230000000001"/>
    <n v="0.65927835051546402"/>
    <n v="0"/>
    <d v="2024-03-16T00:00:00"/>
    <x v="5"/>
    <x v="1"/>
    <n v="2548.6"/>
    <s v="NEGATIVE SALES"/>
    <n v="0"/>
  </r>
  <r>
    <n v="2039"/>
    <s v="Abigail"/>
    <s v="Wilson"/>
    <s v="Puffer Coat"/>
    <n v="0"/>
    <n v="1802.43"/>
    <n v="0.65927835051546402"/>
    <n v="0"/>
    <d v="2024-03-16T00:00:00"/>
    <x v="5"/>
    <x v="2"/>
    <n v="644.27"/>
    <s v="NEGATIVE SALES"/>
    <n v="0"/>
  </r>
  <r>
    <n v="2040"/>
    <s v="Lisa"/>
    <s v="Scott"/>
    <s v="Bodycon"/>
    <n v="0"/>
    <n v="2711.6248000000001"/>
    <n v="0.34"/>
    <n v="0"/>
    <d v="2024-08-27T00:00:00"/>
    <x v="5"/>
    <x v="0"/>
    <n v="-838.24"/>
    <s v="NEGATIVE SALES"/>
    <n v="0"/>
  </r>
  <r>
    <n v="2041"/>
    <s v="Brandon"/>
    <s v="Rodriguez"/>
    <s v="Bodycon"/>
    <n v="0"/>
    <n v="854.8"/>
    <n v="0.65993801652892603"/>
    <n v="0"/>
    <d v="2024-11-23T00:00:00"/>
    <x v="0"/>
    <x v="0"/>
    <n v="400.41"/>
    <s v="NEGATIVE SALES"/>
    <n v="0"/>
  </r>
  <r>
    <n v="2042"/>
    <s v="Amanda"/>
    <s v="Evans"/>
    <s v="Classic Tee"/>
    <n v="3"/>
    <n v="2712.8290999999999"/>
    <n v="0.65993801652892603"/>
    <n v="0"/>
    <d v="2024-11-23T00:00:00"/>
    <x v="2"/>
    <x v="0"/>
    <n v="80.86"/>
    <s v="NEGATIVE SALES"/>
    <n v="8138.4872999999998"/>
  </r>
  <r>
    <n v="2043"/>
    <s v="Amy"/>
    <s v="Gibson"/>
    <s v="Crop Top"/>
    <n v="0"/>
    <n v="2715.2932999999998"/>
    <n v="0.74"/>
    <n v="0"/>
    <d v="2025-05-24T00:00:00"/>
    <x v="3"/>
    <x v="0"/>
    <n v="647.80999999999995"/>
    <s v="NEGATIVE SALES"/>
    <n v="0"/>
  </r>
  <r>
    <n v="2044"/>
    <s v="Jessica"/>
    <s v="Stafford"/>
    <s v="Belts"/>
    <n v="0"/>
    <n v="2912.48"/>
    <n v="0.39"/>
    <n v="0"/>
    <d v="2025-05-09T00:00:00"/>
    <x v="2"/>
    <x v="0"/>
    <n v="565.53"/>
    <s v="NEGATIVE SALES"/>
    <n v="0"/>
  </r>
  <r>
    <n v="2045"/>
    <s v="Bryan"/>
    <s v="Jarvis"/>
    <s v="Puffer Coat"/>
    <n v="-1"/>
    <n v="473.68"/>
    <n v="0.66033195020746904"/>
    <n v="0"/>
    <d v="2025-05-09T00:00:00"/>
    <x v="5"/>
    <x v="0"/>
    <n v="-108.72"/>
    <s v="NEGATIVE SALES"/>
    <n v="-473.68"/>
  </r>
  <r>
    <n v="2046"/>
    <s v="Dylan"/>
    <s v="Salas"/>
    <s v="Watches"/>
    <n v="6"/>
    <n v="2715.0313999999998"/>
    <n v="0.6"/>
    <n v="0"/>
    <d v="2023-11-12T00:00:00"/>
    <x v="2"/>
    <x v="0"/>
    <n v="1657.74"/>
    <s v="NEGATIVE SALES"/>
    <n v="16290.188399999999"/>
  </r>
  <r>
    <n v="2047"/>
    <s v="Blake"/>
    <s v="Holland"/>
    <s v="Boyfriend Jeans"/>
    <n v="0"/>
    <n v="2718.0119"/>
    <n v="0.66045738045738001"/>
    <n v="0"/>
    <d v="2025-04-20T00:00:00"/>
    <x v="2"/>
    <x v="0"/>
    <n v="238.33"/>
    <s v="NEGATIVE SALES"/>
    <n v="0"/>
  </r>
  <r>
    <n v="2048"/>
    <s v="George"/>
    <s v="Nelson"/>
    <s v="Slip-Ons"/>
    <n v="0"/>
    <n v="1469.13"/>
    <n v="0.11"/>
    <n v="0"/>
    <d v="2024-10-04T00:00:00"/>
    <x v="1"/>
    <x v="0"/>
    <n v="665.1"/>
    <s v="NEGATIVE SALES"/>
    <n v="0"/>
  </r>
  <r>
    <n v="2049"/>
    <s v="Victoria"/>
    <s v="Lee"/>
    <s v="Loafers"/>
    <n v="-1"/>
    <n v="2462.92"/>
    <n v="0.66160416666666699"/>
    <n v="0"/>
    <d v="2024-10-04T00:00:00"/>
    <x v="0"/>
    <x v="2"/>
    <n v="825.06"/>
    <s v="NEGATIVE SALES"/>
    <n v="-2462.92"/>
  </r>
  <r>
    <n v="2050"/>
    <s v="Garrett"/>
    <s v="Dudley"/>
    <s v="Oversized T-Shirt"/>
    <n v="1"/>
    <n v="4234.28"/>
    <n v="1.03"/>
    <n v="-127.03"/>
    <d v="2024-06-14T00:00:00"/>
    <x v="2"/>
    <x v="2"/>
    <n v="2931.9"/>
    <s v="NEGATIVE SALES"/>
    <n v="4234.28"/>
  </r>
  <r>
    <n v="2051"/>
    <s v="Eric"/>
    <s v="Armstrong"/>
    <s v="Sunglasses"/>
    <n v="2"/>
    <n v="1234.27"/>
    <n v="0.660835073068893"/>
    <n v="0"/>
    <d v="2025-02-28T00:00:00"/>
    <x v="4"/>
    <x v="2"/>
    <n v="-911.71"/>
    <s v="NEGATIVE SALES"/>
    <n v="2468.54"/>
  </r>
  <r>
    <n v="2052"/>
    <s v="Mr."/>
    <s v="John"/>
    <s v="Maxi Dress"/>
    <n v="3"/>
    <n v="4971.74"/>
    <n v="0.660835073068893"/>
    <n v="0"/>
    <d v="2024-05-31T00:00:00"/>
    <x v="3"/>
    <x v="1"/>
    <n v="1386.13"/>
    <s v="NEGATIVE SALES"/>
    <n v="14915.22"/>
  </r>
  <r>
    <n v="2053"/>
    <s v="Amy"/>
    <s v="Khan"/>
    <s v="Belts"/>
    <n v="0"/>
    <n v="2719.9791"/>
    <n v="0.660835073068893"/>
    <n v="0"/>
    <d v="2024-07-28T00:00:00"/>
    <x v="4"/>
    <x v="2"/>
    <n v="-940.51"/>
    <s v="NEGATIVE SALES"/>
    <n v="0"/>
  </r>
  <r>
    <n v="2054"/>
    <s v="Carla"/>
    <s v="Hernandez"/>
    <s v="Boyfriend Jeans"/>
    <n v="1"/>
    <n v="1254.77"/>
    <n v="0.62"/>
    <n v="476.81"/>
    <d v="2024-07-28T00:00:00"/>
    <x v="5"/>
    <x v="2"/>
    <n v="2605.15"/>
    <s v="POSITIVE SALES"/>
    <n v="1254.77"/>
  </r>
  <r>
    <n v="2055"/>
    <s v="Charles"/>
    <s v="Brown"/>
    <s v="Slim Fit Jeans"/>
    <n v="0"/>
    <n v="677.9"/>
    <n v="0.15"/>
    <n v="0"/>
    <d v="2024-07-28T00:00:00"/>
    <x v="5"/>
    <x v="1"/>
    <n v="-503.02"/>
    <s v="NEGATIVE SALES"/>
    <n v="0"/>
  </r>
  <r>
    <n v="2056"/>
    <s v="Samuel"/>
    <s v="Schroeder"/>
    <s v="Wrap Dress"/>
    <n v="0"/>
    <n v="2718.9247999999998"/>
    <n v="0.7"/>
    <n v="0"/>
    <d v="2023-09-15T00:00:00"/>
    <x v="1"/>
    <x v="2"/>
    <n v="2544.92"/>
    <s v="NEGATIVE SALES"/>
    <n v="0"/>
  </r>
  <r>
    <n v="2057"/>
    <s v="Matthew"/>
    <s v="Hester"/>
    <s v="Ripped Denim"/>
    <n v="-1"/>
    <n v="2721.6644000000001"/>
    <n v="0.66191176470588198"/>
    <n v="0"/>
    <d v="2024-10-31T00:00:00"/>
    <x v="2"/>
    <x v="2"/>
    <n v="17.96"/>
    <s v="NEGATIVE SALES"/>
    <n v="-2721.6644000000001"/>
  </r>
  <r>
    <n v="2058"/>
    <s v="Adam"/>
    <s v="Barnes"/>
    <s v="Classic Tee"/>
    <n v="6"/>
    <n v="2721.6644000000001"/>
    <n v="0.66191176470588198"/>
    <n v="0"/>
    <d v="2024-10-08T00:00:00"/>
    <x v="1"/>
    <x v="2"/>
    <n v="-248.49"/>
    <s v="NEGATIVE SALES"/>
    <n v="16329.9864"/>
  </r>
  <r>
    <n v="2059"/>
    <s v="Christopher"/>
    <s v="Taylor"/>
    <s v="Sunglasses"/>
    <n v="3"/>
    <n v="1193.03"/>
    <n v="0.66191176470588198"/>
    <n v="0"/>
    <d v="2025-03-07T00:00:00"/>
    <x v="2"/>
    <x v="2"/>
    <n v="-876.83"/>
    <s v="NEGATIVE SALES"/>
    <n v="3579.09"/>
  </r>
  <r>
    <n v="2060"/>
    <s v="Samuel"/>
    <s v="Jordan"/>
    <s v="Oversized T-Shirt"/>
    <n v="0"/>
    <n v="3725.58"/>
    <n v="0.66191176470588198"/>
    <n v="0"/>
    <d v="2024-10-16T00:00:00"/>
    <x v="4"/>
    <x v="1"/>
    <n v="2544.5500000000002"/>
    <s v="NEGATIVE SALES"/>
    <n v="0"/>
  </r>
  <r>
    <n v="2061"/>
    <s v="Desiree"/>
    <s v="Jacobs"/>
    <s v="Boots"/>
    <n v="0"/>
    <n v="2077.8200000000002"/>
    <n v="0.66191176470588198"/>
    <n v="0"/>
    <d v="2025-03-06T00:00:00"/>
    <x v="4"/>
    <x v="1"/>
    <n v="2769.01"/>
    <s v="NEGATIVE SALES"/>
    <n v="0"/>
  </r>
  <r>
    <n v="2062"/>
    <s v="John"/>
    <s v="Sanchez"/>
    <s v="Casual Midi"/>
    <n v="4"/>
    <n v="2975.64"/>
    <n v="0.66191176470588198"/>
    <n v="0"/>
    <d v="2024-07-29T00:00:00"/>
    <x v="5"/>
    <x v="1"/>
    <n v="-644.20000000000005"/>
    <s v="NEGATIVE SALES"/>
    <n v="11902.56"/>
  </r>
  <r>
    <n v="2063"/>
    <s v="Rebecca"/>
    <s v="Flowers"/>
    <s v="Oversized T-Shirt"/>
    <n v="5"/>
    <n v="2723.2393000000002"/>
    <n v="0.66191176470588198"/>
    <n v="0"/>
    <d v="2024-10-22T00:00:00"/>
    <x v="4"/>
    <x v="1"/>
    <n v="2549.09"/>
    <s v="NEGATIVE SALES"/>
    <n v="13616.1965"/>
  </r>
  <r>
    <n v="2064"/>
    <s v="Tracy"/>
    <s v="Santana"/>
    <s v="Sunglasses"/>
    <n v="0"/>
    <n v="702.86"/>
    <n v="0.66191176470588198"/>
    <n v="0"/>
    <d v="2024-10-31T00:00:00"/>
    <x v="4"/>
    <x v="0"/>
    <n v="577.70000000000005"/>
    <s v="NEGATIVE SALES"/>
    <n v="0"/>
  </r>
  <r>
    <n v="2065"/>
    <s v="Andrea"/>
    <s v="Jones"/>
    <s v="Crop Top"/>
    <n v="4"/>
    <n v="3590.4"/>
    <n v="0.66191176470588198"/>
    <n v="0"/>
    <d v="2024-08-22T00:00:00"/>
    <x v="3"/>
    <x v="1"/>
    <n v="-86.57"/>
    <s v="NEGATIVE SALES"/>
    <n v="14361.6"/>
  </r>
  <r>
    <n v="2066"/>
    <s v="Patricia"/>
    <s v="Robinson"/>
    <s v="Straight Cut"/>
    <n v="0"/>
    <n v="2725.6284000000001"/>
    <n v="0.66191176470588198"/>
    <n v="0"/>
    <d v="2024-08-22T00:00:00"/>
    <x v="2"/>
    <x v="0"/>
    <n v="2532.65"/>
    <s v="NEGATIVE SALES"/>
    <n v="0"/>
  </r>
  <r>
    <n v="2067"/>
    <s v="Michael"/>
    <s v="Smith"/>
    <s v="Wrap Dress"/>
    <n v="0"/>
    <n v="2975.33"/>
    <n v="0.66191176470588198"/>
    <n v="0"/>
    <d v="2025-04-02T00:00:00"/>
    <x v="5"/>
    <x v="1"/>
    <n v="1035.45"/>
    <s v="NEGATIVE SALES"/>
    <n v="0"/>
  </r>
  <r>
    <n v="2068"/>
    <s v="Amanda"/>
    <s v="Gray"/>
    <s v="Slip-Ons"/>
    <n v="0"/>
    <n v="2724.4582"/>
    <n v="1"/>
    <n v="0"/>
    <d v="2024-01-04T00:00:00"/>
    <x v="0"/>
    <x v="1"/>
    <n v="999.95"/>
    <s v="NEGATIVE SALES"/>
    <n v="0"/>
  </r>
  <r>
    <n v="2069"/>
    <s v="Bruce"/>
    <s v="Chavez"/>
    <s v="Graphic Tee"/>
    <n v="0"/>
    <n v="3266.05"/>
    <n v="0.66120000000000001"/>
    <n v="0"/>
    <d v="2024-07-27T00:00:00"/>
    <x v="2"/>
    <x v="0"/>
    <n v="1188.8900000000001"/>
    <s v="NEGATIVE SALES"/>
    <n v="0"/>
  </r>
  <r>
    <n v="2070"/>
    <s v="Michelle"/>
    <s v="Palmer"/>
    <s v="Sunglasses"/>
    <n v="-1"/>
    <n v="2724.1183000000001"/>
    <n v="0.66120000000000001"/>
    <n v="0"/>
    <d v="2025-03-10T00:00:00"/>
    <x v="2"/>
    <x v="2"/>
    <n v="614.38"/>
    <s v="NEGATIVE SALES"/>
    <n v="-2724.1183000000001"/>
  </r>
  <r>
    <n v="2071"/>
    <s v="Zachary"/>
    <s v="Bowers"/>
    <s v="Slip-Ons"/>
    <n v="0"/>
    <n v="2723.3829999999998"/>
    <n v="0.98"/>
    <n v="0"/>
    <d v="2025-06-26T00:00:00"/>
    <x v="2"/>
    <x v="0"/>
    <n v="1522.69"/>
    <s v="NEGATIVE SALES"/>
    <n v="0"/>
  </r>
  <r>
    <n v="2072"/>
    <s v="Lisa"/>
    <s v="Sanders"/>
    <s v="Casual Midi"/>
    <n v="0"/>
    <n v="2723.3829999999998"/>
    <n v="0.66052742616033799"/>
    <n v="0"/>
    <d v="2025-05-01T00:00:00"/>
    <x v="5"/>
    <x v="1"/>
    <n v="-670.22"/>
    <s v="NEGATIVE SALES"/>
    <n v="0"/>
  </r>
  <r>
    <n v="2073"/>
    <s v="Joseph"/>
    <s v="Carney"/>
    <s v="Slip-Ons"/>
    <n v="3"/>
    <n v="1596.02"/>
    <n v="0.66052742616033799"/>
    <n v="0"/>
    <d v="2025-05-01T00:00:00"/>
    <x v="1"/>
    <x v="0"/>
    <n v="-217.87"/>
    <s v="NEGATIVE SALES"/>
    <n v="4788.0600000000004"/>
  </r>
  <r>
    <n v="2074"/>
    <s v="Crystal"/>
    <s v="Ferguson"/>
    <s v="Caps"/>
    <n v="4"/>
    <n v="2723.3829999999998"/>
    <n v="0.66052742616033799"/>
    <n v="0"/>
    <d v="2024-10-08T00:00:00"/>
    <x v="3"/>
    <x v="0"/>
    <n v="2628.09"/>
    <s v="NEGATIVE SALES"/>
    <n v="10893.531999999999"/>
  </r>
  <r>
    <n v="2075"/>
    <s v="James"/>
    <s v="Keller"/>
    <s v="Puffer Coat"/>
    <n v="0"/>
    <n v="2724.9146999999998"/>
    <n v="0.66052742616033799"/>
    <n v="0"/>
    <d v="2024-10-08T00:00:00"/>
    <x v="3"/>
    <x v="2"/>
    <n v="1501.9"/>
    <s v="NEGATIVE SALES"/>
    <n v="0"/>
  </r>
  <r>
    <n v="2076"/>
    <s v="Taylor"/>
    <s v="Martin"/>
    <s v="Sneakers"/>
    <n v="0"/>
    <n v="1151.07"/>
    <n v="0.66052742616033799"/>
    <n v="0"/>
    <d v="2025-05-21T00:00:00"/>
    <x v="3"/>
    <x v="2"/>
    <n v="854.02"/>
    <s v="NEGATIVE SALES"/>
    <n v="0"/>
  </r>
  <r>
    <n v="2077"/>
    <s v="Joshua"/>
    <s v="Roberts"/>
    <s v="Oversized T-Shirt"/>
    <n v="0"/>
    <n v="2724.9146999999998"/>
    <n v="0.66052742616033799"/>
    <n v="0"/>
    <d v="2025-05-21T00:00:00"/>
    <x v="4"/>
    <x v="0"/>
    <n v="1082.3599999999999"/>
    <s v="NEGATIVE SALES"/>
    <n v="0"/>
  </r>
  <r>
    <n v="2078"/>
    <s v="Charles"/>
    <s v="Warner"/>
    <s v="Classic Tee"/>
    <n v="0"/>
    <n v="1760.85"/>
    <n v="0.66052742616033799"/>
    <n v="0"/>
    <d v="2025-05-31T00:00:00"/>
    <x v="4"/>
    <x v="1"/>
    <n v="-542.71"/>
    <s v="NEGATIVE SALES"/>
    <n v="0"/>
  </r>
  <r>
    <n v="2079"/>
    <s v="Debra"/>
    <s v="Gibson"/>
    <s v="Belts"/>
    <n v="2"/>
    <n v="2778.14"/>
    <n v="1.21"/>
    <n v="-1166.82"/>
    <d v="2025-05-31T00:00:00"/>
    <x v="1"/>
    <x v="2"/>
    <n v="516.66"/>
    <s v="NEGATIVE SALES"/>
    <n v="5556.28"/>
  </r>
  <r>
    <n v="2080"/>
    <s v="Jeff"/>
    <s v="Gordon"/>
    <s v="Watches"/>
    <n v="3"/>
    <n v="4672.3500000000004"/>
    <n v="0.65936575052854096"/>
    <n v="0"/>
    <d v="2025-05-31T00:00:00"/>
    <x v="0"/>
    <x v="2"/>
    <n v="991.5"/>
    <s v="NEGATIVE SALES"/>
    <n v="14017.05"/>
  </r>
  <r>
    <n v="2081"/>
    <s v="Jesus"/>
    <s v="Swanson"/>
    <s v="Crop Top"/>
    <n v="0"/>
    <n v="2809.88"/>
    <n v="0.65936575052854096"/>
    <n v="0"/>
    <d v="2025-07-12T00:00:00"/>
    <x v="1"/>
    <x v="2"/>
    <n v="1063.07"/>
    <s v="NEGATIVE SALES"/>
    <n v="0"/>
  </r>
  <r>
    <n v="2082"/>
    <s v="David"/>
    <s v="Hodges"/>
    <s v="Leather Jacket"/>
    <n v="5"/>
    <n v="2725.6487000000002"/>
    <n v="1.1499999999999999"/>
    <n v="0"/>
    <d v="2024-04-29T00:00:00"/>
    <x v="2"/>
    <x v="1"/>
    <n v="-208.43"/>
    <s v="NEGATIVE SALES"/>
    <n v="13628.2435"/>
  </r>
  <r>
    <n v="2083"/>
    <s v="Daniel"/>
    <s v="Mills"/>
    <s v="Slip-Ons"/>
    <n v="0"/>
    <n v="2105.7399999999998"/>
    <n v="0.34"/>
    <n v="0"/>
    <d v="2025-02-22T00:00:00"/>
    <x v="0"/>
    <x v="0"/>
    <n v="-907.84"/>
    <s v="NEGATIVE SALES"/>
    <n v="0"/>
  </r>
  <r>
    <n v="2084"/>
    <s v="Frank"/>
    <s v="Garcia"/>
    <s v="Puffer Coat"/>
    <n v="6"/>
    <n v="4068.82"/>
    <n v="0.65900212314225004"/>
    <n v="0"/>
    <d v="2025-04-03T00:00:00"/>
    <x v="1"/>
    <x v="2"/>
    <n v="719.55"/>
    <s v="NEGATIVE SALES"/>
    <n v="24412.92"/>
  </r>
  <r>
    <n v="2085"/>
    <s v="Steven"/>
    <s v="Gutierrez"/>
    <s v="Denim Jacket"/>
    <n v="0"/>
    <n v="2726.3825000000002"/>
    <n v="0.65900212314225004"/>
    <n v="0"/>
    <d v="2024-09-19T00:00:00"/>
    <x v="5"/>
    <x v="1"/>
    <n v="212.87"/>
    <s v="NEGATIVE SALES"/>
    <n v="0"/>
  </r>
  <r>
    <n v="2087"/>
    <s v="Kimberly"/>
    <s v="Morgan"/>
    <s v="Wrap Dress"/>
    <n v="0"/>
    <n v="2610.84"/>
    <n v="0.65900212314225004"/>
    <n v="0"/>
    <d v="2024-07-28T00:00:00"/>
    <x v="3"/>
    <x v="0"/>
    <n v="-904.51"/>
    <s v="NEGATIVE SALES"/>
    <n v="0"/>
  </r>
  <r>
    <n v="2088"/>
    <s v="Matthew"/>
    <s v="Mcgee"/>
    <s v="Sneakers"/>
    <n v="0"/>
    <n v="2724.5410000000002"/>
    <n v="0.65900212314225004"/>
    <n v="0"/>
    <d v="2025-01-13T00:00:00"/>
    <x v="2"/>
    <x v="0"/>
    <n v="1353.01"/>
    <s v="NEGATIVE SALES"/>
    <n v="0"/>
  </r>
  <r>
    <n v="2089"/>
    <s v="Monica"/>
    <s v="Jackson"/>
    <s v="Caps"/>
    <n v="0"/>
    <n v="1571.58"/>
    <n v="1.17"/>
    <n v="0"/>
    <d v="2023-09-23T00:00:00"/>
    <x v="5"/>
    <x v="2"/>
    <n v="1195.3399999999999"/>
    <s v="NEGATIVE SALES"/>
    <n v="0"/>
  </r>
  <r>
    <n v="2090"/>
    <s v="Richard"/>
    <s v="Chandler"/>
    <s v="Caps"/>
    <n v="0"/>
    <n v="940.71"/>
    <n v="0.65791489361702105"/>
    <n v="0"/>
    <d v="2025-03-20T00:00:00"/>
    <x v="0"/>
    <x v="1"/>
    <n v="1317.26"/>
    <s v="NEGATIVE SALES"/>
    <n v="0"/>
  </r>
  <r>
    <n v="2091"/>
    <s v="Ricardo"/>
    <s v="Jordan"/>
    <s v="Casual Midi"/>
    <n v="0"/>
    <n v="1323.61"/>
    <n v="0.65791489361702105"/>
    <n v="0"/>
    <d v="2025-05-04T00:00:00"/>
    <x v="0"/>
    <x v="0"/>
    <n v="-63.42"/>
    <s v="NEGATIVE SALES"/>
    <n v="0"/>
  </r>
  <r>
    <n v="2092"/>
    <s v="Ashley"/>
    <s v="Nielsen"/>
    <s v="Boots"/>
    <n v="0"/>
    <n v="4459.2"/>
    <n v="0.65791489361702105"/>
    <n v="0"/>
    <d v="2025-03-23T00:00:00"/>
    <x v="0"/>
    <x v="1"/>
    <n v="1008.2"/>
    <s v="NEGATIVE SALES"/>
    <n v="0"/>
  </r>
  <r>
    <n v="2093"/>
    <s v="Stephen"/>
    <s v="Lynn"/>
    <s v="Classic Tee"/>
    <n v="0"/>
    <n v="3163.95"/>
    <n v="0.65791489361702105"/>
    <n v="0"/>
    <d v="2025-01-20T00:00:00"/>
    <x v="2"/>
    <x v="1"/>
    <n v="1267.01"/>
    <s v="NEGATIVE SALES"/>
    <n v="0"/>
  </r>
  <r>
    <n v="2094"/>
    <s v="Mr."/>
    <s v="Anthony"/>
    <s v="Bodycon"/>
    <n v="5"/>
    <n v="2728.2934"/>
    <n v="0.65791489361702105"/>
    <n v="0"/>
    <d v="2025-01-20T00:00:00"/>
    <x v="2"/>
    <x v="0"/>
    <n v="-769.25"/>
    <s v="NEGATIVE SALES"/>
    <n v="13641.467000000001"/>
  </r>
  <r>
    <n v="2095"/>
    <s v="Heather"/>
    <s v="Zimmerman"/>
    <s v="Classic Tee"/>
    <n v="0"/>
    <n v="3809.95"/>
    <n v="1.29"/>
    <n v="0"/>
    <d v="2024-10-07T00:00:00"/>
    <x v="3"/>
    <x v="2"/>
    <n v="1252.0999999999999"/>
    <s v="NEGATIVE SALES"/>
    <n v="0"/>
  </r>
  <r>
    <n v="2096"/>
    <s v="Amy"/>
    <s v="Cook"/>
    <s v="Ripped Denim"/>
    <n v="0"/>
    <n v="3906.15"/>
    <n v="1.19"/>
    <n v="0"/>
    <d v="2024-10-07T00:00:00"/>
    <x v="3"/>
    <x v="2"/>
    <n v="2500.02"/>
    <s v="NEGATIVE SALES"/>
    <n v="0"/>
  </r>
  <r>
    <n v="2097"/>
    <s v="Courtney"/>
    <s v="Brown"/>
    <s v="Classic Tee"/>
    <n v="3"/>
    <n v="2726.1918999999998"/>
    <n v="0.64"/>
    <n v="0"/>
    <d v="2025-04-09T00:00:00"/>
    <x v="2"/>
    <x v="0"/>
    <n v="2870.13"/>
    <s v="NEGATIVE SALES"/>
    <n v="8178.5757000000003"/>
  </r>
  <r>
    <n v="2098"/>
    <s v="Willie"/>
    <s v="Barron"/>
    <s v="Bomber Jacket"/>
    <n v="0"/>
    <n v="431.18"/>
    <n v="0.655460385438972"/>
    <n v="0"/>
    <d v="2025-02-20T00:00:00"/>
    <x v="4"/>
    <x v="1"/>
    <n v="-183.75"/>
    <s v="NEGATIVE SALES"/>
    <n v="0"/>
  </r>
  <r>
    <n v="2099"/>
    <s v="Dr."/>
    <s v="Joseph"/>
    <s v="Crop Top"/>
    <n v="0"/>
    <n v="1806.81"/>
    <n v="1.1000000000000001"/>
    <n v="0"/>
    <d v="2024-10-16T00:00:00"/>
    <x v="1"/>
    <x v="1"/>
    <n v="591.13"/>
    <s v="NEGATIVE SALES"/>
    <n v="0"/>
  </r>
  <r>
    <n v="2100"/>
    <s v="Amy"/>
    <s v="Parker"/>
    <s v="Slip-Ons"/>
    <n v="-1"/>
    <n v="1528.94"/>
    <n v="0.67"/>
    <n v="-504.55"/>
    <d v="2025-01-26T00:00:00"/>
    <x v="0"/>
    <x v="2"/>
    <n v="2294.33"/>
    <s v="NEGATIVE SALES"/>
    <n v="-1528.94"/>
  </r>
  <r>
    <n v="2101"/>
    <s v="Justin"/>
    <s v="Dougherty"/>
    <s v="Boyfriend Jeans"/>
    <n v="0"/>
    <n v="1020.85"/>
    <n v="0.65447311827957"/>
    <n v="0"/>
    <d v="2024-06-22T00:00:00"/>
    <x v="1"/>
    <x v="2"/>
    <n v="-881.4"/>
    <s v="NEGATIVE SALES"/>
    <n v="0"/>
  </r>
  <r>
    <n v="2102"/>
    <s v="Luis"/>
    <s v="Turner"/>
    <s v="Maxi Dress"/>
    <n v="0"/>
    <n v="2581.29"/>
    <n v="0.65447311827957"/>
    <n v="0"/>
    <d v="2024-11-21T00:00:00"/>
    <x v="5"/>
    <x v="2"/>
    <n v="2300.14"/>
    <s v="NEGATIVE SALES"/>
    <n v="0"/>
  </r>
  <r>
    <n v="2103"/>
    <s v="Cindy"/>
    <s v="Marsh"/>
    <s v="Slim Fit Jeans"/>
    <n v="3"/>
    <n v="2733.0776000000001"/>
    <n v="0.56000000000000005"/>
    <n v="0"/>
    <d v="2024-11-21T00:00:00"/>
    <x v="1"/>
    <x v="1"/>
    <n v="-244.29"/>
    <s v="NEGATIVE SALES"/>
    <n v="8199.2327999999998"/>
  </r>
  <r>
    <n v="2104"/>
    <s v="Eduardo"/>
    <s v="Hardy"/>
    <s v="Graphic Tee"/>
    <n v="0"/>
    <n v="2211.06"/>
    <n v="0.26"/>
    <n v="0"/>
    <d v="2025-06-29T00:00:00"/>
    <x v="5"/>
    <x v="1"/>
    <n v="2143.54"/>
    <s v="NEGATIVE SALES"/>
    <n v="0"/>
  </r>
  <r>
    <n v="2105"/>
    <s v="Brandon"/>
    <s v="Mccormick"/>
    <s v="Slip-Ons"/>
    <n v="-1"/>
    <n v="3643.63"/>
    <n v="0.19"/>
    <n v="-2951.34"/>
    <d v="2025-04-07T00:00:00"/>
    <x v="2"/>
    <x v="0"/>
    <n v="375.4"/>
    <s v="NEGATIVE SALES"/>
    <n v="-3643.63"/>
  </r>
  <r>
    <n v="2106"/>
    <s v="Brenda"/>
    <s v="Graham"/>
    <s v="Wrap Dress"/>
    <n v="4"/>
    <n v="4312.21"/>
    <n v="0.65653679653679597"/>
    <n v="0"/>
    <d v="2024-04-22T00:00:00"/>
    <x v="0"/>
    <x v="0"/>
    <n v="552.97"/>
    <s v="NEGATIVE SALES"/>
    <n v="17248.84"/>
  </r>
  <r>
    <n v="2107"/>
    <s v="Rhonda"/>
    <s v="Patterson"/>
    <s v="Wrap Dress"/>
    <n v="0"/>
    <n v="2686.05"/>
    <n v="0.65653679653679597"/>
    <n v="0"/>
    <d v="2025-01-04T00:00:00"/>
    <x v="5"/>
    <x v="0"/>
    <n v="2643.46"/>
    <s v="NEGATIVE SALES"/>
    <n v="0"/>
  </r>
  <r>
    <n v="2108"/>
    <s v="Cassandra"/>
    <s v="Wright"/>
    <s v="Straight Cut"/>
    <n v="0"/>
    <n v="2538.3000000000002"/>
    <n v="0.65653679653679597"/>
    <n v="0"/>
    <d v="2025-05-18T00:00:00"/>
    <x v="2"/>
    <x v="2"/>
    <n v="-820.5"/>
    <s v="NEGATIVE SALES"/>
    <n v="0"/>
  </r>
  <r>
    <n v="2109"/>
    <s v="Andre"/>
    <s v="Jefferson"/>
    <s v="Boyfriend Jeans"/>
    <n v="0"/>
    <n v="1901.86"/>
    <n v="0.65653679653679597"/>
    <n v="0"/>
    <d v="2025-05-18T00:00:00"/>
    <x v="4"/>
    <x v="0"/>
    <n v="-906.34"/>
    <s v="NEGATIVE SALES"/>
    <n v="0"/>
  </r>
  <r>
    <n v="2110"/>
    <s v="Chelsey"/>
    <s v="Morales"/>
    <s v="Classic Tee"/>
    <n v="0"/>
    <n v="2730.8636999999999"/>
    <n v="1.21"/>
    <n v="0"/>
    <d v="2025-05-18T00:00:00"/>
    <x v="2"/>
    <x v="1"/>
    <n v="2891.52"/>
    <s v="NEGATIVE SALES"/>
    <n v="0"/>
  </r>
  <r>
    <n v="2111"/>
    <s v="Jennifer"/>
    <s v="Ayala"/>
    <s v="Boots"/>
    <n v="0"/>
    <n v="1934.02"/>
    <n v="0.65533622559652904"/>
    <n v="0"/>
    <d v="2025-07-16T00:00:00"/>
    <x v="0"/>
    <x v="2"/>
    <n v="897.11"/>
    <s v="NEGATIVE SALES"/>
    <n v="0"/>
  </r>
  <r>
    <n v="2112"/>
    <s v="Lisa"/>
    <s v="Gomez"/>
    <s v="Ripped Denim"/>
    <n v="0"/>
    <n v="3248.14"/>
    <n v="0.18"/>
    <n v="0"/>
    <d v="2025-07-16T00:00:00"/>
    <x v="4"/>
    <x v="2"/>
    <n v="1536.06"/>
    <s v="NEGATIVE SALES"/>
    <n v="0"/>
  </r>
  <r>
    <n v="2113"/>
    <s v="Michael"/>
    <s v="Dillon"/>
    <s v="Casual Midi"/>
    <n v="0"/>
    <n v="2733.1568000000002"/>
    <n v="0.65636956521739098"/>
    <n v="0"/>
    <d v="2025-07-16T00:00:00"/>
    <x v="0"/>
    <x v="2"/>
    <n v="2500.56"/>
    <s v="NEGATIVE SALES"/>
    <n v="0"/>
  </r>
  <r>
    <n v="2114"/>
    <s v="Thomas"/>
    <s v="Robertson"/>
    <s v="Maxi Dress"/>
    <n v="0"/>
    <n v="2732.4295000000002"/>
    <n v="0.65636956521739098"/>
    <n v="0"/>
    <d v="2025-03-03T00:00:00"/>
    <x v="2"/>
    <x v="1"/>
    <n v="1393.12"/>
    <s v="NEGATIVE SALES"/>
    <n v="0"/>
  </r>
  <r>
    <n v="2115"/>
    <s v="Colleen"/>
    <s v="Wallace"/>
    <s v="Straight Cut"/>
    <n v="0"/>
    <n v="2732.4295000000002"/>
    <n v="0.65636956521739098"/>
    <n v="0"/>
    <d v="2025-02-22T00:00:00"/>
    <x v="1"/>
    <x v="0"/>
    <n v="2100.4"/>
    <s v="NEGATIVE SALES"/>
    <n v="0"/>
  </r>
  <r>
    <n v="2116"/>
    <s v="Jordan"/>
    <s v="Hamilton"/>
    <s v="Caps"/>
    <n v="2"/>
    <n v="2732.4295000000002"/>
    <n v="0.65636956521739098"/>
    <n v="0"/>
    <d v="2024-09-15T00:00:00"/>
    <x v="1"/>
    <x v="2"/>
    <n v="87.1"/>
    <s v="NEGATIVE SALES"/>
    <n v="5464.8590000000004"/>
  </r>
  <r>
    <n v="2117"/>
    <s v="Kevin"/>
    <s v="Flores"/>
    <s v="Maxi Dress"/>
    <n v="0"/>
    <n v="4767.37"/>
    <n v="0.65636956521739098"/>
    <n v="0"/>
    <d v="2024-09-18T00:00:00"/>
    <x v="0"/>
    <x v="2"/>
    <n v="2319.14"/>
    <s v="NEGATIVE SALES"/>
    <n v="0"/>
  </r>
  <r>
    <n v="2118"/>
    <s v="Jacob"/>
    <s v="Morris"/>
    <s v="Wrap Dress"/>
    <n v="3"/>
    <n v="3952.46"/>
    <n v="0.82"/>
    <n v="2134.33"/>
    <d v="2025-04-20T00:00:00"/>
    <x v="3"/>
    <x v="0"/>
    <n v="836.99"/>
    <s v="POSITIVE SALES"/>
    <n v="11857.38"/>
  </r>
  <r>
    <n v="2119"/>
    <s v="Mikayla"/>
    <s v="Smith"/>
    <s v="Loafers"/>
    <n v="0"/>
    <n v="537.77"/>
    <n v="0.05"/>
    <n v="0"/>
    <d v="2024-11-16T00:00:00"/>
    <x v="3"/>
    <x v="0"/>
    <n v="2205.16"/>
    <s v="NEGATIVE SALES"/>
    <n v="0"/>
  </r>
  <r>
    <n v="2120"/>
    <s v="Angela"/>
    <s v="Wheeler"/>
    <s v="Watches"/>
    <n v="0"/>
    <n v="3321.05"/>
    <n v="1.05"/>
    <n v="0"/>
    <d v="2024-05-07T00:00:00"/>
    <x v="5"/>
    <x v="1"/>
    <n v="-196.89"/>
    <s v="NEGATIVE SALES"/>
    <n v="0"/>
  </r>
  <r>
    <n v="2121"/>
    <s v="Kristen"/>
    <s v="Gutierrez"/>
    <s v="Boyfriend Jeans"/>
    <n v="2"/>
    <n v="1209.8"/>
    <n v="0.65647702407002195"/>
    <n v="0"/>
    <d v="2024-03-12T00:00:00"/>
    <x v="3"/>
    <x v="1"/>
    <n v="959.68"/>
    <s v="NEGATIVE SALES"/>
    <n v="2419.6"/>
  </r>
  <r>
    <n v="2122"/>
    <s v="Michael"/>
    <s v="Kennedy"/>
    <s v="Straight Cut"/>
    <n v="0"/>
    <n v="2730.0871999999999"/>
    <n v="0.17"/>
    <n v="0"/>
    <d v="2024-03-12T00:00:00"/>
    <x v="0"/>
    <x v="0"/>
    <n v="1823.39"/>
    <s v="NEGATIVE SALES"/>
    <n v="0"/>
  </r>
  <r>
    <n v="2123"/>
    <s v="Andrea"/>
    <s v="Ryan"/>
    <s v="Bomber Jacket"/>
    <n v="0"/>
    <n v="2732.2498000000001"/>
    <n v="1.05"/>
    <n v="0"/>
    <d v="2025-02-20T00:00:00"/>
    <x v="0"/>
    <x v="0"/>
    <n v="36.15"/>
    <s v="NEGATIVE SALES"/>
    <n v="0"/>
  </r>
  <r>
    <n v="2124"/>
    <s v="Stephanie"/>
    <s v="Mccormick"/>
    <s v="Graphic Tee"/>
    <n v="0"/>
    <n v="3881.17"/>
    <n v="0.65668131868131896"/>
    <n v="0"/>
    <d v="2023-12-24T00:00:00"/>
    <x v="2"/>
    <x v="2"/>
    <n v="339.88"/>
    <s v="NEGATIVE SALES"/>
    <n v="0"/>
  </r>
  <r>
    <n v="2125"/>
    <s v="Jennifer"/>
    <s v="Rich"/>
    <s v="Slim Fit Jeans"/>
    <n v="0"/>
    <n v="2732.2498000000001"/>
    <n v="0.93"/>
    <n v="0"/>
    <d v="2024-10-12T00:00:00"/>
    <x v="5"/>
    <x v="2"/>
    <n v="301.27999999999997"/>
    <s v="NEGATIVE SALES"/>
    <n v="0"/>
  </r>
  <r>
    <n v="2126"/>
    <s v="George"/>
    <s v="Bonilla"/>
    <s v="Sunglasses"/>
    <n v="0"/>
    <n v="820.88"/>
    <n v="0.01"/>
    <n v="0"/>
    <d v="2024-10-12T00:00:00"/>
    <x v="1"/>
    <x v="0"/>
    <n v="597.78"/>
    <s v="NEGATIVE SALES"/>
    <n v="0"/>
  </r>
  <r>
    <n v="2127"/>
    <s v="Laurie"/>
    <s v="Stephens"/>
    <s v="Sunglasses"/>
    <n v="6"/>
    <n v="2730.6131999999998"/>
    <n v="0.94"/>
    <n v="0"/>
    <d v="2024-10-12T00:00:00"/>
    <x v="0"/>
    <x v="2"/>
    <n v="2427.9499999999998"/>
    <s v="NEGATIVE SALES"/>
    <n v="16383.6792"/>
  </r>
  <r>
    <n v="2128"/>
    <s v="Randall"/>
    <s v="Chapman"/>
    <s v="Watches"/>
    <n v="0"/>
    <n v="2733.3375000000001"/>
    <n v="0.08"/>
    <n v="0"/>
    <d v="2024-10-02T00:00:00"/>
    <x v="3"/>
    <x v="0"/>
    <n v="-237.66"/>
    <s v="NEGATIVE SALES"/>
    <n v="0"/>
  </r>
  <r>
    <n v="2130"/>
    <s v="Amanda"/>
    <s v="Williams"/>
    <s v="Bomber Jacket"/>
    <n v="0"/>
    <n v="2733.3375000000001"/>
    <n v="0.36"/>
    <n v="0"/>
    <d v="2025-06-02T00:00:00"/>
    <x v="4"/>
    <x v="0"/>
    <n v="1132.58"/>
    <s v="NEGATIVE SALES"/>
    <n v="0"/>
  </r>
  <r>
    <n v="2131"/>
    <s v="Michael"/>
    <s v="Logan"/>
    <s v="Slip-Ons"/>
    <n v="1"/>
    <n v="2734.8339000000001"/>
    <n v="0.65882222222222198"/>
    <n v="0"/>
    <d v="2025-06-11T00:00:00"/>
    <x v="4"/>
    <x v="1"/>
    <n v="1004.43"/>
    <s v="NEGATIVE SALES"/>
    <n v="2734.8339000000001"/>
  </r>
  <r>
    <n v="2132"/>
    <s v="James"/>
    <s v="Gilbert"/>
    <s v="Slim Fit Jeans"/>
    <n v="4"/>
    <n v="2734.8339000000001"/>
    <n v="0.65882222222222198"/>
    <n v="0"/>
    <d v="2025-03-13T00:00:00"/>
    <x v="2"/>
    <x v="2"/>
    <n v="680.91"/>
    <s v="NEGATIVE SALES"/>
    <n v="10939.3356"/>
  </r>
  <r>
    <n v="2133"/>
    <s v="Cynthia"/>
    <s v="Hopkins"/>
    <s v="Classic Tee"/>
    <n v="5"/>
    <n v="2734.8339000000001"/>
    <n v="0.65882222222222198"/>
    <n v="0"/>
    <d v="2025-03-13T00:00:00"/>
    <x v="4"/>
    <x v="2"/>
    <n v="1700.16"/>
    <s v="NEGATIVE SALES"/>
    <n v="13674.1695"/>
  </r>
  <r>
    <n v="2134"/>
    <s v="Sandra"/>
    <s v="Simmons"/>
    <s v="Sunglasses"/>
    <n v="2"/>
    <n v="2734.8339000000001"/>
    <n v="0.28999999999999998"/>
    <n v="0"/>
    <d v="2024-12-30T00:00:00"/>
    <x v="3"/>
    <x v="0"/>
    <n v="-986.66"/>
    <s v="NEGATIVE SALES"/>
    <n v="5469.6678000000002"/>
  </r>
  <r>
    <n v="2135"/>
    <s v="Lori"/>
    <s v="Bush"/>
    <s v="Casual Midi"/>
    <n v="0"/>
    <n v="857.22"/>
    <n v="0.65964365256124702"/>
    <n v="0"/>
    <d v="2023-08-20T00:00:00"/>
    <x v="0"/>
    <x v="2"/>
    <n v="-806.63"/>
    <s v="NEGATIVE SALES"/>
    <n v="0"/>
  </r>
  <r>
    <n v="2136"/>
    <s v="Sarah"/>
    <s v="Ortiz"/>
    <s v="Graphic Tee"/>
    <n v="0"/>
    <n v="2734.8339000000001"/>
    <n v="0.65964365256124702"/>
    <n v="0"/>
    <d v="2025-06-24T00:00:00"/>
    <x v="5"/>
    <x v="1"/>
    <n v="1627.8"/>
    <s v="NEGATIVE SALES"/>
    <n v="0"/>
  </r>
  <r>
    <n v="2137"/>
    <s v="Sheila"/>
    <s v="Miller"/>
    <s v="Classic Tee"/>
    <n v="0"/>
    <n v="2737.52"/>
    <n v="1.01"/>
    <n v="0"/>
    <d v="2025-04-25T00:00:00"/>
    <x v="4"/>
    <x v="1"/>
    <n v="1626.26"/>
    <s v="NEGATIVE SALES"/>
    <n v="0"/>
  </r>
  <r>
    <n v="2138"/>
    <s v="Sara"/>
    <s v="Dillon"/>
    <s v="Boots"/>
    <n v="-2"/>
    <n v="2426.77"/>
    <n v="0.65886160714285702"/>
    <n v="0"/>
    <d v="2025-04-25T00:00:00"/>
    <x v="0"/>
    <x v="2"/>
    <n v="1446.08"/>
    <s v="NEGATIVE SALES"/>
    <n v="-4853.54"/>
  </r>
  <r>
    <n v="2140"/>
    <s v="Annette"/>
    <s v="Campbell"/>
    <s v="Loafers"/>
    <n v="0"/>
    <n v="2191.65"/>
    <n v="0.65886160714285702"/>
    <n v="0"/>
    <d v="2024-12-06T00:00:00"/>
    <x v="2"/>
    <x v="1"/>
    <n v="2424.2399999999998"/>
    <s v="NEGATIVE SALES"/>
    <n v="0"/>
  </r>
  <r>
    <n v="2141"/>
    <s v="Cheryl"/>
    <s v="Roberts"/>
    <s v="Leather Jacket"/>
    <n v="0"/>
    <n v="1762.28"/>
    <n v="0.65886160714285702"/>
    <n v="0"/>
    <d v="2024-10-01T00:00:00"/>
    <x v="0"/>
    <x v="2"/>
    <n v="2590.56"/>
    <s v="NEGATIVE SALES"/>
    <n v="0"/>
  </r>
  <r>
    <n v="2142"/>
    <s v="Darlene"/>
    <s v="Cervantes"/>
    <s v="Wrap Dress"/>
    <n v="0"/>
    <n v="2736.7321000000002"/>
    <n v="0.65886160714285702"/>
    <n v="0"/>
    <d v="2023-08-17T00:00:00"/>
    <x v="3"/>
    <x v="1"/>
    <n v="-780.6"/>
    <s v="NEGATIVE SALES"/>
    <n v="0"/>
  </r>
  <r>
    <n v="2143"/>
    <s v="Emily"/>
    <s v="Chambers"/>
    <s v="Wrap Dress"/>
    <n v="3"/>
    <n v="662.52"/>
    <n v="0.96"/>
    <n v="79.5"/>
    <d v="2025-01-23T00:00:00"/>
    <x v="3"/>
    <x v="2"/>
    <n v="2079.0700000000002"/>
    <s v="POSITIVE SALES"/>
    <n v="1987.56"/>
  </r>
  <r>
    <n v="2144"/>
    <s v="Jacob"/>
    <s v="Curry"/>
    <s v="Bomber Jacket"/>
    <n v="-1"/>
    <n v="906.82"/>
    <n v="0.92"/>
    <n v="-72.55"/>
    <d v="2025-01-04T00:00:00"/>
    <x v="1"/>
    <x v="1"/>
    <n v="2348.39"/>
    <s v="NEGATIVE SALES"/>
    <n v="-906.82"/>
  </r>
  <r>
    <n v="2145"/>
    <s v="Sandra"/>
    <s v="Fernandez"/>
    <s v="Oversized T-Shirt"/>
    <n v="0"/>
    <n v="3981.39"/>
    <n v="0.657600896860986"/>
    <n v="0"/>
    <d v="2024-11-15T00:00:00"/>
    <x v="4"/>
    <x v="0"/>
    <n v="1764.19"/>
    <s v="NEGATIVE SALES"/>
    <n v="0"/>
  </r>
  <r>
    <n v="2146"/>
    <s v="Billy"/>
    <s v="Smith"/>
    <s v="Watches"/>
    <n v="0"/>
    <n v="2743.7719000000002"/>
    <n v="0.65"/>
    <n v="0"/>
    <d v="2024-11-28T00:00:00"/>
    <x v="2"/>
    <x v="2"/>
    <n v="2062.9699999999998"/>
    <s v="NEGATIVE SALES"/>
    <n v="0"/>
  </r>
  <r>
    <n v="2147"/>
    <s v="Douglas"/>
    <s v="Rhodes"/>
    <s v="Bodycon"/>
    <n v="0"/>
    <n v="2741.9834000000001"/>
    <n v="0.27"/>
    <n v="0"/>
    <d v="2023-09-13T00:00:00"/>
    <x v="1"/>
    <x v="0"/>
    <n v="2299.86"/>
    <s v="NEGATIVE SALES"/>
    <n v="0"/>
  </r>
  <r>
    <n v="2148"/>
    <s v="Paul"/>
    <s v="Kennedy"/>
    <s v="Oversized T-Shirt"/>
    <n v="0"/>
    <n v="2741.9834000000001"/>
    <n v="0.65849099099099095"/>
    <n v="0"/>
    <d v="2023-09-13T00:00:00"/>
    <x v="5"/>
    <x v="0"/>
    <n v="-771.3"/>
    <s v="NEGATIVE SALES"/>
    <n v="0"/>
  </r>
  <r>
    <n v="2149"/>
    <s v="James"/>
    <s v="Spencer"/>
    <s v="Leather Jacket"/>
    <n v="0"/>
    <n v="2865.62"/>
    <n v="0.8"/>
    <n v="0"/>
    <d v="2024-11-16T00:00:00"/>
    <x v="1"/>
    <x v="2"/>
    <n v="-660.8"/>
    <s v="NEGATIVE SALES"/>
    <n v="0"/>
  </r>
  <r>
    <n v="2151"/>
    <s v="Kayla"/>
    <s v="Mclaughlin"/>
    <s v="Maxi Dress"/>
    <n v="0"/>
    <n v="927.64"/>
    <n v="0.65817155756207602"/>
    <n v="0"/>
    <d v="2024-08-08T00:00:00"/>
    <x v="4"/>
    <x v="1"/>
    <n v="-742.69"/>
    <s v="NEGATIVE SALES"/>
    <n v="0"/>
  </r>
  <r>
    <n v="2152"/>
    <s v="Kayla"/>
    <s v="Marshall"/>
    <s v="Loafers"/>
    <n v="0"/>
    <n v="2741.8045000000002"/>
    <n v="0.65817155756207602"/>
    <n v="0"/>
    <d v="2024-08-08T00:00:00"/>
    <x v="1"/>
    <x v="2"/>
    <n v="-865.58"/>
    <s v="NEGATIVE SALES"/>
    <n v="0"/>
  </r>
  <r>
    <n v="2153"/>
    <s v="Heather"/>
    <s v="Mitchell"/>
    <s v="Leather Jacket"/>
    <n v="0"/>
    <n v="3131.57"/>
    <n v="0.65817155756207602"/>
    <n v="0"/>
    <d v="2024-11-18T00:00:00"/>
    <x v="1"/>
    <x v="0"/>
    <n v="517.22"/>
    <s v="NEGATIVE SALES"/>
    <n v="0"/>
  </r>
  <r>
    <n v="2154"/>
    <s v="Veronica"/>
    <s v="Everett"/>
    <s v="Belts"/>
    <n v="0"/>
    <n v="2744.4337"/>
    <n v="0.65817155756207602"/>
    <n v="0"/>
    <d v="2025-05-16T00:00:00"/>
    <x v="4"/>
    <x v="2"/>
    <n v="2141.81"/>
    <s v="NEGATIVE SALES"/>
    <n v="0"/>
  </r>
  <r>
    <n v="2155"/>
    <s v="Samuel"/>
    <s v="Mitchell"/>
    <s v="Graphic Tee"/>
    <n v="-2"/>
    <n v="2743.8717999999999"/>
    <n v="0.65817155756207602"/>
    <n v="0"/>
    <d v="2025-02-03T00:00:00"/>
    <x v="3"/>
    <x v="0"/>
    <n v="-972.74"/>
    <s v="NEGATIVE SALES"/>
    <n v="-5487.7435999999998"/>
  </r>
  <r>
    <n v="2156"/>
    <s v="Lisa"/>
    <s v="Saunders"/>
    <s v="Slip-Ons"/>
    <n v="0"/>
    <n v="2743.8717999999999"/>
    <n v="0.65817155756207602"/>
    <n v="0"/>
    <d v="2025-02-03T00:00:00"/>
    <x v="1"/>
    <x v="1"/>
    <n v="1648.67"/>
    <s v="NEGATIVE SALES"/>
    <n v="0"/>
  </r>
  <r>
    <n v="2157"/>
    <s v="Veronica"/>
    <s v="Long"/>
    <s v="Sneakers"/>
    <n v="0"/>
    <n v="2830.24"/>
    <n v="0.97"/>
    <n v="0"/>
    <d v="2025-02-03T00:00:00"/>
    <x v="2"/>
    <x v="2"/>
    <n v="2612.9699999999998"/>
    <s v="NEGATIVE SALES"/>
    <n v="0"/>
  </r>
  <r>
    <n v="2158"/>
    <s v="Donna"/>
    <s v="Mendoza"/>
    <s v="Sneakers"/>
    <n v="0"/>
    <n v="3270.68"/>
    <n v="0.65746606334841595"/>
    <n v="0"/>
    <d v="2025-02-03T00:00:00"/>
    <x v="2"/>
    <x v="1"/>
    <n v="-437.06"/>
    <s v="NEGATIVE SALES"/>
    <n v="0"/>
  </r>
  <r>
    <n v="2159"/>
    <s v="Dennis"/>
    <s v="Harris"/>
    <s v="Casual Midi"/>
    <n v="0"/>
    <n v="2743.7462999999998"/>
    <n v="0.65746606334841595"/>
    <n v="0"/>
    <d v="2024-12-13T00:00:00"/>
    <x v="2"/>
    <x v="2"/>
    <n v="-420.95"/>
    <s v="NEGATIVE SALES"/>
    <n v="0"/>
  </r>
  <r>
    <n v="2160"/>
    <s v="Angela"/>
    <s v="Warren"/>
    <s v="Boots"/>
    <n v="0"/>
    <n v="2119.66"/>
    <n v="0.65746606334841595"/>
    <n v="0"/>
    <d v="2024-11-02T00:00:00"/>
    <x v="4"/>
    <x v="0"/>
    <n v="-203.89"/>
    <s v="NEGATIVE SALES"/>
    <n v="0"/>
  </r>
  <r>
    <n v="2161"/>
    <s v="Jeremy"/>
    <s v="Phillips"/>
    <s v="Watches"/>
    <n v="0"/>
    <n v="4376.41"/>
    <n v="0.65746606334841595"/>
    <n v="0"/>
    <d v="2025-04-07T00:00:00"/>
    <x v="2"/>
    <x v="0"/>
    <n v="1713.03"/>
    <s v="NEGATIVE SALES"/>
    <n v="0"/>
  </r>
  <r>
    <n v="2162"/>
    <s v="Karen"/>
    <s v="Patterson"/>
    <s v="Watches"/>
    <n v="1"/>
    <n v="2743.8879000000002"/>
    <n v="0.71"/>
    <n v="0"/>
    <d v="2025-06-24T00:00:00"/>
    <x v="1"/>
    <x v="1"/>
    <n v="54.58"/>
    <s v="NEGATIVE SALES"/>
    <n v="2743.8879000000002"/>
  </r>
  <r>
    <n v="2163"/>
    <s v="Kristen"/>
    <s v="Barnes"/>
    <s v="Maxi Dress"/>
    <n v="0"/>
    <n v="2741.5047"/>
    <n v="0.65734693877550998"/>
    <n v="0"/>
    <d v="2024-09-24T00:00:00"/>
    <x v="2"/>
    <x v="0"/>
    <n v="1205.3800000000001"/>
    <s v="NEGATIVE SALES"/>
    <n v="0"/>
  </r>
  <r>
    <n v="2164"/>
    <s v="Bobby"/>
    <s v="Brock"/>
    <s v="Puffer Coat"/>
    <n v="0"/>
    <n v="1498.8"/>
    <n v="0.65734693877550998"/>
    <n v="0"/>
    <d v="2024-08-12T00:00:00"/>
    <x v="0"/>
    <x v="2"/>
    <n v="-548.47"/>
    <s v="NEGATIVE SALES"/>
    <n v="0"/>
  </r>
  <r>
    <n v="2165"/>
    <s v="Jeffrey"/>
    <s v="Lewis"/>
    <s v="Slip-Ons"/>
    <n v="0"/>
    <n v="2741.5047"/>
    <n v="0.65734693877550998"/>
    <n v="0"/>
    <d v="2025-01-21T00:00:00"/>
    <x v="4"/>
    <x v="2"/>
    <n v="-609.52"/>
    <s v="NEGATIVE SALES"/>
    <n v="0"/>
  </r>
  <r>
    <n v="2166"/>
    <s v="Deborah"/>
    <s v="Gordon"/>
    <s v="Leather Jacket"/>
    <n v="0"/>
    <n v="2743.3215"/>
    <n v="1.08"/>
    <n v="0"/>
    <d v="2025-01-21T00:00:00"/>
    <x v="2"/>
    <x v="1"/>
    <n v="-845.69"/>
    <s v="NEGATIVE SALES"/>
    <n v="0"/>
  </r>
  <r>
    <n v="2167"/>
    <s v="Heather"/>
    <s v="Taylor"/>
    <s v="Casual Midi"/>
    <n v="0"/>
    <n v="2743.3215"/>
    <n v="1.1200000000000001"/>
    <n v="0"/>
    <d v="2025-01-21T00:00:00"/>
    <x v="2"/>
    <x v="0"/>
    <n v="-258.89"/>
    <s v="NEGATIVE SALES"/>
    <n v="0"/>
  </r>
  <r>
    <n v="2168"/>
    <s v="Brian"/>
    <s v="Kim"/>
    <s v="Caps"/>
    <n v="-1"/>
    <n v="4446.09"/>
    <n v="0.47"/>
    <n v="-2356.4299999999998"/>
    <d v="2025-01-21T00:00:00"/>
    <x v="1"/>
    <x v="2"/>
    <n v="784.1"/>
    <s v="NEGATIVE SALES"/>
    <n v="-4446.09"/>
  </r>
  <r>
    <n v="2169"/>
    <s v="Wendy"/>
    <s v="Rodriguez"/>
    <s v="Straight Cut"/>
    <n v="2"/>
    <n v="2743.3215"/>
    <n v="0.65575342465753395"/>
    <n v="0"/>
    <d v="2024-10-22T00:00:00"/>
    <x v="1"/>
    <x v="0"/>
    <n v="1870.24"/>
    <s v="NEGATIVE SALES"/>
    <n v="5486.643"/>
  </r>
  <r>
    <n v="2170"/>
    <s v="Jade"/>
    <s v="Dawson"/>
    <s v="Belts"/>
    <n v="0"/>
    <n v="826.11"/>
    <n v="0.99"/>
    <n v="0"/>
    <d v="2024-10-22T00:00:00"/>
    <x v="0"/>
    <x v="2"/>
    <n v="2666.62"/>
    <s v="NEGATIVE SALES"/>
    <n v="0"/>
  </r>
  <r>
    <n v="2171"/>
    <s v="Crystal"/>
    <s v="Mcneil"/>
    <s v="Classic Tee"/>
    <n v="0"/>
    <n v="630.28"/>
    <n v="0.65498855835240299"/>
    <n v="0"/>
    <d v="2025-07-22T00:00:00"/>
    <x v="0"/>
    <x v="2"/>
    <n v="2988.11"/>
    <s v="NEGATIVE SALES"/>
    <n v="0"/>
  </r>
  <r>
    <n v="2172"/>
    <s v="Matthew"/>
    <s v="Gross"/>
    <s v="Classic Tee"/>
    <n v="-1"/>
    <n v="2743.6359000000002"/>
    <n v="1.08"/>
    <n v="0"/>
    <d v="2025-07-22T00:00:00"/>
    <x v="0"/>
    <x v="0"/>
    <n v="2497.36"/>
    <s v="NEGATIVE SALES"/>
    <n v="-2743.6359000000002"/>
  </r>
  <r>
    <n v="2173"/>
    <s v="Dennis"/>
    <s v="Brown"/>
    <s v="Loafers"/>
    <n v="0"/>
    <n v="2679.07"/>
    <n v="0.65401376146789003"/>
    <n v="0"/>
    <d v="2025-07-22T00:00:00"/>
    <x v="2"/>
    <x v="1"/>
    <n v="2156.1"/>
    <s v="NEGATIVE SALES"/>
    <n v="0"/>
  </r>
  <r>
    <n v="2174"/>
    <s v="Stephanie"/>
    <s v="Williams"/>
    <s v="Belts"/>
    <n v="0"/>
    <n v="810.62"/>
    <n v="0.65401376146789003"/>
    <n v="0"/>
    <d v="2024-12-23T00:00:00"/>
    <x v="3"/>
    <x v="0"/>
    <n v="-69.8"/>
    <s v="NEGATIVE SALES"/>
    <n v="0"/>
  </r>
  <r>
    <n v="2175"/>
    <s v="Paul"/>
    <s v="Estrada"/>
    <s v="Loafers"/>
    <n v="0"/>
    <n v="2746.8388"/>
    <n v="0.65401376146789003"/>
    <n v="0"/>
    <d v="2023-09-02T00:00:00"/>
    <x v="5"/>
    <x v="0"/>
    <n v="1022.04"/>
    <s v="NEGATIVE SALES"/>
    <n v="0"/>
  </r>
  <r>
    <n v="2176"/>
    <s v="Michelle"/>
    <s v="Anderson"/>
    <s v="Puffer Coat"/>
    <n v="6"/>
    <n v="4954.67"/>
    <n v="0.65401376146789003"/>
    <n v="0"/>
    <d v="2025-07-14T00:00:00"/>
    <x v="5"/>
    <x v="1"/>
    <n v="2176.54"/>
    <s v="NEGATIVE SALES"/>
    <n v="29728.02"/>
  </r>
  <r>
    <n v="2177"/>
    <s v="Steven"/>
    <s v="Kelly"/>
    <s v="Boots"/>
    <n v="3"/>
    <n v="2749.6903000000002"/>
    <n v="0.65401376146789003"/>
    <n v="0"/>
    <d v="2025-01-15T00:00:00"/>
    <x v="1"/>
    <x v="2"/>
    <n v="-723.01"/>
    <s v="NEGATIVE SALES"/>
    <n v="8249.0709000000006"/>
  </r>
  <r>
    <n v="2178"/>
    <s v="Matthew"/>
    <s v="Hicks"/>
    <s v="Sneakers"/>
    <n v="0"/>
    <n v="2746.4380999999998"/>
    <n v="0.89"/>
    <n v="0"/>
    <d v="2025-01-15T00:00:00"/>
    <x v="3"/>
    <x v="0"/>
    <n v="2438.98"/>
    <s v="NEGATIVE SALES"/>
    <n v="0"/>
  </r>
  <r>
    <n v="2179"/>
    <s v="Natalie"/>
    <s v="Adams"/>
    <s v="Belts"/>
    <n v="0"/>
    <n v="466.37"/>
    <n v="0.653471264367816"/>
    <n v="0"/>
    <d v="2025-01-15T00:00:00"/>
    <x v="5"/>
    <x v="1"/>
    <n v="2807.92"/>
    <s v="NEGATIVE SALES"/>
    <n v="0"/>
  </r>
  <r>
    <n v="2180"/>
    <s v="Jacob"/>
    <s v="Kline"/>
    <s v="Loafers"/>
    <n v="6"/>
    <n v="2746.4380999999998"/>
    <n v="1.06"/>
    <n v="0"/>
    <d v="2025-02-06T00:00:00"/>
    <x v="0"/>
    <x v="1"/>
    <n v="28.77"/>
    <s v="NEGATIVE SALES"/>
    <n v="16478.6286"/>
  </r>
  <r>
    <n v="2181"/>
    <s v="David"/>
    <s v="Brown"/>
    <s v="Graphic Tee"/>
    <n v="0"/>
    <n v="2749.806"/>
    <n v="0.65253456221198103"/>
    <n v="0"/>
    <d v="2025-01-22T00:00:00"/>
    <x v="2"/>
    <x v="2"/>
    <n v="-24.93"/>
    <s v="NEGATIVE SALES"/>
    <n v="0"/>
  </r>
  <r>
    <n v="2182"/>
    <s v="Kristopher"/>
    <s v="Gregory"/>
    <s v="Caps"/>
    <n v="2"/>
    <n v="2749.806"/>
    <n v="0.53"/>
    <n v="0"/>
    <d v="2025-06-23T00:00:00"/>
    <x v="5"/>
    <x v="2"/>
    <n v="2192.44"/>
    <s v="NEGATIVE SALES"/>
    <n v="5499.6120000000001"/>
  </r>
  <r>
    <n v="2183"/>
    <s v="Barry"/>
    <s v="Ali"/>
    <s v="Boyfriend Jeans"/>
    <n v="-2"/>
    <n v="1332.39"/>
    <n v="1.0900000000000001"/>
    <n v="239.83"/>
    <d v="2024-05-21T00:00:00"/>
    <x v="3"/>
    <x v="1"/>
    <n v="707.79"/>
    <s v="POSITIVE SALES"/>
    <n v="-2664.78"/>
  </r>
  <r>
    <n v="2184"/>
    <s v="Kenneth"/>
    <s v="Bryant"/>
    <s v="Sneakers"/>
    <n v="0"/>
    <n v="1001.57"/>
    <n v="0.65180555555555597"/>
    <n v="0"/>
    <d v="2025-07-08T00:00:00"/>
    <x v="5"/>
    <x v="0"/>
    <n v="2285.61"/>
    <s v="NEGATIVE SALES"/>
    <n v="0"/>
  </r>
  <r>
    <n v="2185"/>
    <s v="Lindsey"/>
    <s v="Walker"/>
    <s v="Denim Jacket"/>
    <n v="0"/>
    <n v="2751.9027999999998"/>
    <n v="0.14000000000000001"/>
    <n v="0"/>
    <d v="2025-07-08T00:00:00"/>
    <x v="4"/>
    <x v="1"/>
    <n v="-810.97"/>
    <s v="NEGATIVE SALES"/>
    <n v="0"/>
  </r>
  <r>
    <n v="2186"/>
    <s v="Joel"/>
    <s v="Wright"/>
    <s v="Belts"/>
    <n v="0"/>
    <n v="2036.71"/>
    <n v="0.65299303944315501"/>
    <n v="0"/>
    <d v="2025-07-08T00:00:00"/>
    <x v="0"/>
    <x v="2"/>
    <n v="1586.84"/>
    <s v="NEGATIVE SALES"/>
    <n v="0"/>
  </r>
  <r>
    <n v="2187"/>
    <s v="Judith"/>
    <s v="Graves"/>
    <s v="Watches"/>
    <n v="0"/>
    <n v="2709.1"/>
    <n v="0.82"/>
    <n v="0"/>
    <d v="2025-03-17T00:00:00"/>
    <x v="0"/>
    <x v="1"/>
    <n v="1386.25"/>
    <s v="NEGATIVE SALES"/>
    <n v="0"/>
  </r>
  <r>
    <n v="2188"/>
    <s v="Shannon"/>
    <s v="White"/>
    <s v="Oversized T-Shirt"/>
    <n v="0"/>
    <n v="3027.66"/>
    <n v="1.21"/>
    <n v="0"/>
    <d v="2025-06-19T00:00:00"/>
    <x v="1"/>
    <x v="2"/>
    <n v="1971.23"/>
    <s v="NEGATIVE SALES"/>
    <n v="0"/>
  </r>
  <r>
    <n v="2189"/>
    <s v="Ronnie"/>
    <s v="Perry"/>
    <s v="Denim Jacket"/>
    <n v="0"/>
    <n v="968.53"/>
    <n v="0.3"/>
    <n v="0"/>
    <d v="2025-06-12T00:00:00"/>
    <x v="0"/>
    <x v="0"/>
    <n v="-39.14"/>
    <s v="NEGATIVE SALES"/>
    <n v="0"/>
  </r>
  <r>
    <n v="2190"/>
    <s v="Courtney"/>
    <s v="Wright"/>
    <s v="Boyfriend Jeans"/>
    <n v="3"/>
    <n v="3887.5"/>
    <n v="0.65212616822429903"/>
    <n v="0"/>
    <d v="2024-12-07T00:00:00"/>
    <x v="0"/>
    <x v="1"/>
    <n v="1787.25"/>
    <s v="NEGATIVE SALES"/>
    <n v="11662.5"/>
  </r>
  <r>
    <n v="2191"/>
    <s v="Martin"/>
    <s v="Alvarez"/>
    <s v="Leather Jacket"/>
    <n v="0"/>
    <n v="2267.7199999999998"/>
    <n v="0.65212616822429903"/>
    <n v="0"/>
    <d v="2025-01-02T00:00:00"/>
    <x v="2"/>
    <x v="0"/>
    <n v="-459.62"/>
    <s v="NEGATIVE SALES"/>
    <n v="0"/>
  </r>
  <r>
    <n v="2192"/>
    <s v="Jennifer"/>
    <s v="Sullivan"/>
    <s v="Belts"/>
    <n v="0"/>
    <n v="4218.96"/>
    <n v="0.01"/>
    <n v="0"/>
    <d v="2024-02-06T00:00:00"/>
    <x v="4"/>
    <x v="2"/>
    <n v="1483.9"/>
    <s v="NEGATIVE SALES"/>
    <n v="0"/>
  </r>
  <r>
    <n v="2193"/>
    <s v="Amanda"/>
    <s v="Hester"/>
    <s v="Leather Jacket"/>
    <n v="0"/>
    <n v="2712.09"/>
    <n v="0.65362997658079602"/>
    <n v="0"/>
    <d v="2024-08-22T00:00:00"/>
    <x v="5"/>
    <x v="0"/>
    <n v="2585.79"/>
    <s v="NEGATIVE SALES"/>
    <n v="0"/>
  </r>
  <r>
    <n v="2194"/>
    <s v="Jasmine"/>
    <s v="Torres"/>
    <s v="Leather Jacket"/>
    <n v="0"/>
    <n v="3862.58"/>
    <n v="0.65362997658079602"/>
    <n v="0"/>
    <d v="2025-07-17T00:00:00"/>
    <x v="1"/>
    <x v="2"/>
    <n v="794.8"/>
    <s v="NEGATIVE SALES"/>
    <n v="0"/>
  </r>
  <r>
    <n v="2195"/>
    <s v="John"/>
    <s v="Melton"/>
    <s v="Boots"/>
    <n v="4"/>
    <n v="3491.26"/>
    <n v="0.65362997658079602"/>
    <n v="0"/>
    <d v="2025-07-17T00:00:00"/>
    <x v="5"/>
    <x v="0"/>
    <n v="-165.48"/>
    <s v="NEGATIVE SALES"/>
    <n v="13965.04"/>
  </r>
  <r>
    <n v="2196"/>
    <s v="Brandon"/>
    <s v="Rojas"/>
    <s v="Casual Midi"/>
    <n v="0"/>
    <n v="3655.37"/>
    <n v="0.65362997658079602"/>
    <n v="0"/>
    <d v="2024-05-01T00:00:00"/>
    <x v="5"/>
    <x v="0"/>
    <n v="-844.23"/>
    <s v="NEGATIVE SALES"/>
    <n v="0"/>
  </r>
  <r>
    <n v="2197"/>
    <s v="Michael"/>
    <s v="Mccormick"/>
    <s v="Bodycon"/>
    <n v="0"/>
    <n v="2752.0340000000001"/>
    <n v="0.65362997658079602"/>
    <n v="0"/>
    <d v="2024-11-02T00:00:00"/>
    <x v="1"/>
    <x v="0"/>
    <n v="24.78"/>
    <s v="NEGATIVE SALES"/>
    <n v="0"/>
  </r>
  <r>
    <n v="2199"/>
    <s v="Kristine"/>
    <s v="Anderson"/>
    <s v="Crop Top"/>
    <n v="6"/>
    <n v="2750.6736000000001"/>
    <n v="0.65366197183098596"/>
    <n v="0"/>
    <d v="2025-06-07T00:00:00"/>
    <x v="5"/>
    <x v="2"/>
    <n v="595.51"/>
    <s v="NEGATIVE SALES"/>
    <n v="16504.0416"/>
  </r>
  <r>
    <n v="2200"/>
    <s v="Tina"/>
    <s v="Castillo"/>
    <s v="Oversized T-Shirt"/>
    <n v="-1"/>
    <n v="1346.11"/>
    <n v="0.72"/>
    <n v="-376.91"/>
    <d v="2025-06-07T00:00:00"/>
    <x v="2"/>
    <x v="1"/>
    <n v="-763.62"/>
    <s v="NEGATIVE SALES"/>
    <n v="-1346.11"/>
  </r>
  <r>
    <n v="2201"/>
    <s v="Troy"/>
    <s v="Smith"/>
    <s v="Wrap Dress"/>
    <n v="-1"/>
    <n v="2750.6736000000001"/>
    <n v="0.65350588235294105"/>
    <n v="0"/>
    <d v="2025-06-07T00:00:00"/>
    <x v="3"/>
    <x v="2"/>
    <n v="1897.16"/>
    <s v="NEGATIVE SALES"/>
    <n v="-2750.6736000000001"/>
  </r>
  <r>
    <n v="2202"/>
    <s v="Aaron"/>
    <s v="Kaiser"/>
    <s v="Straight Cut"/>
    <n v="0"/>
    <n v="2752.7921000000001"/>
    <n v="0.92"/>
    <n v="0"/>
    <d v="2024-01-23T00:00:00"/>
    <x v="1"/>
    <x v="0"/>
    <n v="2505.39"/>
    <s v="NEGATIVE SALES"/>
    <n v="0"/>
  </r>
  <r>
    <n v="2203"/>
    <s v="Shawn"/>
    <s v="Santiago"/>
    <s v="Maxi Dress"/>
    <n v="0"/>
    <n v="1611.02"/>
    <n v="0.65287735849056605"/>
    <n v="0"/>
    <d v="2025-07-05T00:00:00"/>
    <x v="4"/>
    <x v="0"/>
    <n v="2610.41"/>
    <s v="NEGATIVE SALES"/>
    <n v="0"/>
  </r>
  <r>
    <n v="2204"/>
    <s v="Elizabeth"/>
    <s v="Ramirez"/>
    <s v="Sneakers"/>
    <n v="2"/>
    <n v="2752.7921000000001"/>
    <n v="0.65287735849056605"/>
    <n v="0"/>
    <d v="2025-07-05T00:00:00"/>
    <x v="3"/>
    <x v="1"/>
    <n v="-875.95"/>
    <s v="NEGATIVE SALES"/>
    <n v="5505.5842000000002"/>
  </r>
  <r>
    <n v="2205"/>
    <s v="Danielle"/>
    <s v="Hill"/>
    <s v="Graphic Tee"/>
    <n v="-2"/>
    <n v="2754.5167999999999"/>
    <n v="0.14000000000000001"/>
    <n v="0"/>
    <d v="2023-12-10T00:00:00"/>
    <x v="5"/>
    <x v="0"/>
    <n v="-512.13"/>
    <s v="NEGATIVE SALES"/>
    <n v="-5509.0335999999998"/>
  </r>
  <r>
    <n v="2206"/>
    <s v="Kelly"/>
    <s v="Garcia"/>
    <s v="Watches"/>
    <n v="0"/>
    <n v="2349.3000000000002"/>
    <n v="0.18"/>
    <n v="0"/>
    <d v="2025-02-17T00:00:00"/>
    <x v="0"/>
    <x v="1"/>
    <n v="2503.67"/>
    <s v="NEGATIVE SALES"/>
    <n v="0"/>
  </r>
  <r>
    <n v="2207"/>
    <s v="Virginia"/>
    <s v="Murphy"/>
    <s v="Watches"/>
    <n v="3"/>
    <n v="2146.0700000000002"/>
    <n v="0.65521327014218"/>
    <n v="0"/>
    <d v="2025-02-17T00:00:00"/>
    <x v="4"/>
    <x v="0"/>
    <n v="199.99"/>
    <s v="NEGATIVE SALES"/>
    <n v="6438.21"/>
  </r>
  <r>
    <n v="2208"/>
    <s v="Bobby"/>
    <s v="Morrison"/>
    <s v="Sunglasses"/>
    <n v="0"/>
    <n v="2755.1298000000002"/>
    <n v="0.65521327014218"/>
    <n v="0"/>
    <d v="2025-02-15T00:00:00"/>
    <x v="4"/>
    <x v="1"/>
    <n v="2347.0500000000002"/>
    <s v="NEGATIVE SALES"/>
    <n v="0"/>
  </r>
  <r>
    <n v="2209"/>
    <s v="Daniel"/>
    <s v="Martin"/>
    <s v="Crop Top"/>
    <n v="-2"/>
    <n v="2756.0527000000002"/>
    <n v="0.95"/>
    <n v="0"/>
    <d v="2025-02-15T00:00:00"/>
    <x v="4"/>
    <x v="2"/>
    <n v="2492.83"/>
    <s v="NEGATIVE SALES"/>
    <n v="-5512.1054000000004"/>
  </r>
  <r>
    <n v="2210"/>
    <s v="Kevin"/>
    <s v="Carpenter"/>
    <s v="Bomber Jacket"/>
    <n v="0"/>
    <n v="4368.12"/>
    <n v="0.65451306413301702"/>
    <n v="0"/>
    <d v="2025-05-02T00:00:00"/>
    <x v="0"/>
    <x v="0"/>
    <n v="2434.6"/>
    <s v="NEGATIVE SALES"/>
    <n v="0"/>
  </r>
  <r>
    <n v="2211"/>
    <s v="Michele"/>
    <s v="Hicks"/>
    <s v="Denim Jacket"/>
    <n v="2"/>
    <n v="2756.0527000000002"/>
    <n v="1.08"/>
    <n v="0"/>
    <d v="2024-05-04T00:00:00"/>
    <x v="2"/>
    <x v="2"/>
    <n v="902.93"/>
    <s v="NEGATIVE SALES"/>
    <n v="5512.1054000000004"/>
  </r>
  <r>
    <n v="2213"/>
    <s v="Zachary"/>
    <s v="Macdonald"/>
    <s v="Boyfriend Jeans"/>
    <n v="0"/>
    <n v="2543.9299999999998"/>
    <n v="0.65367541766109805"/>
    <n v="0"/>
    <d v="2025-06-16T00:00:00"/>
    <x v="1"/>
    <x v="0"/>
    <n v="2177.8200000000002"/>
    <s v="NEGATIVE SALES"/>
    <n v="0"/>
  </r>
  <r>
    <n v="2214"/>
    <s v="Regina"/>
    <s v="Rodriguez"/>
    <s v="Casual Midi"/>
    <n v="-1"/>
    <n v="4854.03"/>
    <n v="0.65367541766109805"/>
    <n v="0"/>
    <d v="2024-10-12T00:00:00"/>
    <x v="1"/>
    <x v="1"/>
    <n v="864.66"/>
    <s v="NEGATIVE SALES"/>
    <n v="-4854.03"/>
  </r>
  <r>
    <n v="2215"/>
    <s v="Nathan"/>
    <s v="Hendrix"/>
    <s v="Leather Jacket"/>
    <n v="-2"/>
    <n v="442.41"/>
    <n v="0.65367541766109805"/>
    <n v="0"/>
    <d v="2024-10-12T00:00:00"/>
    <x v="0"/>
    <x v="0"/>
    <n v="1628.57"/>
    <s v="NEGATIVE SALES"/>
    <n v="-884.82"/>
  </r>
  <r>
    <n v="2216"/>
    <s v="Joshua"/>
    <s v="Blake"/>
    <s v="Denim Jacket"/>
    <n v="3"/>
    <n v="2750.7285999999999"/>
    <n v="0.05"/>
    <n v="0"/>
    <d v="2025-05-18T00:00:00"/>
    <x v="4"/>
    <x v="1"/>
    <n v="-823.2"/>
    <s v="NEGATIVE SALES"/>
    <n v="8252.1857999999993"/>
  </r>
  <r>
    <n v="2217"/>
    <s v="Kelly"/>
    <s v="Juarez"/>
    <s v="Ripped Denim"/>
    <n v="0"/>
    <n v="1540.5"/>
    <n v="0.65511961722487999"/>
    <n v="0"/>
    <d v="2024-12-13T00:00:00"/>
    <x v="2"/>
    <x v="2"/>
    <n v="1385.44"/>
    <s v="NEGATIVE SALES"/>
    <n v="0"/>
  </r>
  <r>
    <n v="2218"/>
    <s v="David"/>
    <s v="Wood"/>
    <s v="Ripped Denim"/>
    <n v="0"/>
    <n v="2754.2473"/>
    <n v="0.65511961722487999"/>
    <n v="0"/>
    <d v="2025-01-23T00:00:00"/>
    <x v="5"/>
    <x v="2"/>
    <n v="2077.4899999999998"/>
    <s v="NEGATIVE SALES"/>
    <n v="0"/>
  </r>
  <r>
    <n v="2219"/>
    <s v="Lisa"/>
    <s v="Ford"/>
    <s v="Graphic Tee"/>
    <n v="4"/>
    <n v="2403.9499999999998"/>
    <n v="0.65511961722487999"/>
    <n v="0"/>
    <d v="2024-10-23T00:00:00"/>
    <x v="2"/>
    <x v="0"/>
    <n v="858.23"/>
    <s v="NEGATIVE SALES"/>
    <n v="9615.7999999999993"/>
  </r>
  <r>
    <n v="2220"/>
    <s v="Robert"/>
    <s v="Cline"/>
    <s v="Belts"/>
    <n v="-1"/>
    <n v="2170.71"/>
    <n v="0.57999999999999996"/>
    <n v="-911.7"/>
    <d v="2025-06-02T00:00:00"/>
    <x v="3"/>
    <x v="1"/>
    <n v="1689.68"/>
    <s v="NEGATIVE SALES"/>
    <n v="-2170.71"/>
  </r>
  <r>
    <n v="2221"/>
    <s v="Joshua"/>
    <s v="Johnson"/>
    <s v="Crop Top"/>
    <n v="0"/>
    <n v="1762.23"/>
    <n v="0.65529976019184599"/>
    <n v="0"/>
    <d v="2024-09-25T00:00:00"/>
    <x v="3"/>
    <x v="0"/>
    <n v="-736.69"/>
    <s v="NEGATIVE SALES"/>
    <n v="0"/>
  </r>
  <r>
    <n v="2222"/>
    <s v="Louis"/>
    <s v="Holt"/>
    <s v="Wrap Dress"/>
    <n v="0"/>
    <n v="2161.8000000000002"/>
    <n v="0.65529976019184599"/>
    <n v="0"/>
    <d v="2024-09-25T00:00:00"/>
    <x v="1"/>
    <x v="2"/>
    <n v="1722.2"/>
    <s v="NEGATIVE SALES"/>
    <n v="0"/>
  </r>
  <r>
    <n v="2223"/>
    <s v="Mr."/>
    <s v="Alexander"/>
    <s v="Straight Cut"/>
    <n v="-1"/>
    <n v="3445.9"/>
    <n v="0.81"/>
    <n v="-654.72"/>
    <d v="2024-12-28T00:00:00"/>
    <x v="2"/>
    <x v="2"/>
    <n v="2374.1799999999998"/>
    <s v="NEGATIVE SALES"/>
    <n v="-3445.9"/>
  </r>
  <r>
    <n v="2224"/>
    <s v="Natalie"/>
    <s v="Bernard"/>
    <s v="Slip-Ons"/>
    <n v="0"/>
    <n v="2759.9801000000002"/>
    <n v="0.65492788461538398"/>
    <n v="0"/>
    <d v="2024-11-25T00:00:00"/>
    <x v="1"/>
    <x v="2"/>
    <n v="691.31"/>
    <s v="NEGATIVE SALES"/>
    <n v="0"/>
  </r>
  <r>
    <n v="2225"/>
    <s v="Kelsey"/>
    <s v="Hampton"/>
    <s v="Caps"/>
    <n v="0"/>
    <n v="2758.9249"/>
    <n v="0.65492788461538398"/>
    <n v="0"/>
    <d v="2024-11-25T00:00:00"/>
    <x v="5"/>
    <x v="2"/>
    <n v="2362.63"/>
    <s v="NEGATIVE SALES"/>
    <n v="0"/>
  </r>
  <r>
    <n v="2226"/>
    <s v="Anthony"/>
    <s v="Daniels"/>
    <s v="Graphic Tee"/>
    <n v="0"/>
    <n v="4484.13"/>
    <n v="0.79"/>
    <n v="0"/>
    <d v="2024-11-25T00:00:00"/>
    <x v="5"/>
    <x v="2"/>
    <n v="821.13"/>
    <s v="NEGATIVE SALES"/>
    <n v="0"/>
  </r>
  <r>
    <n v="2227"/>
    <s v="April"/>
    <s v="Davis"/>
    <s v="Wrap Dress"/>
    <n v="0"/>
    <n v="2758.9249"/>
    <n v="0.65460240963855398"/>
    <n v="0"/>
    <d v="2025-07-08T00:00:00"/>
    <x v="4"/>
    <x v="2"/>
    <n v="2766.36"/>
    <s v="NEGATIVE SALES"/>
    <n v="0"/>
  </r>
  <r>
    <n v="2228"/>
    <s v="April"/>
    <s v="Jones"/>
    <s v="Sunglasses"/>
    <n v="0"/>
    <n v="2756.2665999999999"/>
    <n v="0.93"/>
    <n v="0"/>
    <d v="2025-01-18T00:00:00"/>
    <x v="5"/>
    <x v="0"/>
    <n v="-980.89"/>
    <s v="NEGATIVE SALES"/>
    <n v="0"/>
  </r>
  <r>
    <n v="2229"/>
    <s v="Logan"/>
    <s v="Russell"/>
    <s v="Puffer Coat"/>
    <n v="1"/>
    <n v="2756.2665999999999"/>
    <n v="0.65393719806763295"/>
    <n v="0"/>
    <d v="2024-07-22T00:00:00"/>
    <x v="2"/>
    <x v="1"/>
    <n v="623.39"/>
    <s v="NEGATIVE SALES"/>
    <n v="2756.2665999999999"/>
  </r>
  <r>
    <n v="2230"/>
    <s v="Jessica"/>
    <s v="Lee"/>
    <s v="Wrap Dress"/>
    <n v="3"/>
    <n v="4524.6400000000003"/>
    <n v="1.0900000000000001"/>
    <n v="-1221.6500000000001"/>
    <d v="2025-05-29T00:00:00"/>
    <x v="4"/>
    <x v="0"/>
    <n v="1906"/>
    <s v="NEGATIVE SALES"/>
    <n v="13573.92"/>
  </r>
  <r>
    <n v="2231"/>
    <s v="Aaron"/>
    <s v="Miller"/>
    <s v="Loafers"/>
    <n v="0"/>
    <n v="2756.2665999999999"/>
    <n v="0.65288135593220298"/>
    <n v="0"/>
    <d v="2025-02-21T00:00:00"/>
    <x v="1"/>
    <x v="0"/>
    <n v="1342.52"/>
    <s v="NEGATIVE SALES"/>
    <n v="0"/>
  </r>
  <r>
    <n v="2232"/>
    <s v="Melissa"/>
    <s v="Rodriguez"/>
    <s v="Casual Midi"/>
    <n v="0"/>
    <n v="2753.5376999999999"/>
    <n v="0.65288135593220298"/>
    <n v="0"/>
    <d v="2025-05-23T00:00:00"/>
    <x v="0"/>
    <x v="2"/>
    <n v="2915.25"/>
    <s v="NEGATIVE SALES"/>
    <n v="0"/>
  </r>
  <r>
    <n v="2233"/>
    <s v="Debra"/>
    <s v="Wilcox"/>
    <s v="Casual Midi"/>
    <n v="1"/>
    <n v="4604.8500000000004"/>
    <n v="0.14000000000000001"/>
    <n v="3960.17"/>
    <d v="2025-07-16T00:00:00"/>
    <x v="5"/>
    <x v="1"/>
    <n v="-627.16999999999996"/>
    <s v="POSITIVE SALES"/>
    <n v="4604.8500000000004"/>
  </r>
  <r>
    <n v="2234"/>
    <s v="Mary"/>
    <s v="Ruiz"/>
    <s v="Caps"/>
    <n v="-2"/>
    <n v="2753.5376999999999"/>
    <n v="0.654126213592233"/>
    <n v="0"/>
    <d v="2023-11-18T00:00:00"/>
    <x v="2"/>
    <x v="0"/>
    <n v="-345.61"/>
    <s v="NEGATIVE SALES"/>
    <n v="-5507.0753999999997"/>
  </r>
  <r>
    <n v="2235"/>
    <s v="Mary"/>
    <s v="Fletcher"/>
    <s v="Straight Cut"/>
    <n v="0"/>
    <n v="2750.6763000000001"/>
    <n v="0.654126213592233"/>
    <n v="0"/>
    <d v="2025-02-08T00:00:00"/>
    <x v="2"/>
    <x v="1"/>
    <n v="-758.81"/>
    <s v="NEGATIVE SALES"/>
    <n v="0"/>
  </r>
  <r>
    <n v="2236"/>
    <s v="Jonathan"/>
    <s v="Caldwell"/>
    <s v="Slip-Ons"/>
    <n v="0"/>
    <n v="2420.16"/>
    <n v="0.654126213592233"/>
    <n v="0"/>
    <d v="2025-05-23T00:00:00"/>
    <x v="0"/>
    <x v="0"/>
    <n v="2707.96"/>
    <s v="NEGATIVE SALES"/>
    <n v="0"/>
  </r>
  <r>
    <n v="2237"/>
    <s v="Matthew"/>
    <s v="Johnson"/>
    <s v="Casual Midi"/>
    <n v="1"/>
    <n v="2496.17"/>
    <n v="1.1100000000000001"/>
    <n v="-274.58"/>
    <d v="2025-01-12T00:00:00"/>
    <x v="4"/>
    <x v="0"/>
    <n v="810.82"/>
    <s v="NEGATIVE SALES"/>
    <n v="2496.17"/>
  </r>
  <r>
    <n v="2238"/>
    <s v="Marcus"/>
    <s v="Harris"/>
    <s v="Classic Tee"/>
    <n v="-1"/>
    <n v="4808.3500000000004"/>
    <n v="0.65301703163017"/>
    <n v="0"/>
    <d v="2025-03-28T00:00:00"/>
    <x v="1"/>
    <x v="1"/>
    <n v="-282.61"/>
    <s v="NEGATIVE SALES"/>
    <n v="-4808.3500000000004"/>
  </r>
  <r>
    <n v="2239"/>
    <s v="Devin"/>
    <s v="Gallagher"/>
    <s v="Watches"/>
    <n v="0"/>
    <n v="3427.66"/>
    <n v="0.65301703163017"/>
    <n v="0"/>
    <d v="2024-12-01T00:00:00"/>
    <x v="2"/>
    <x v="0"/>
    <n v="1441.3"/>
    <s v="NEGATIVE SALES"/>
    <n v="0"/>
  </r>
  <r>
    <n v="2240"/>
    <s v="Diana"/>
    <s v="Campbell"/>
    <s v="Oversized T-Shirt"/>
    <n v="0"/>
    <n v="4205.29"/>
    <n v="0.65301703163017"/>
    <n v="0"/>
    <d v="2024-09-27T00:00:00"/>
    <x v="5"/>
    <x v="1"/>
    <n v="2223.0300000000002"/>
    <s v="NEGATIVE SALES"/>
    <n v="0"/>
  </r>
  <r>
    <n v="2241"/>
    <s v="Sharon"/>
    <s v="Decker"/>
    <s v="Oversized T-Shirt"/>
    <n v="2"/>
    <n v="1600.21"/>
    <n v="0.65301703163017"/>
    <n v="0"/>
    <d v="2024-09-27T00:00:00"/>
    <x v="4"/>
    <x v="1"/>
    <n v="2933.71"/>
    <s v="NEGATIVE SALES"/>
    <n v="3200.42"/>
  </r>
  <r>
    <n v="2242"/>
    <s v="Andrew"/>
    <s v="Trevino"/>
    <s v="Loafers"/>
    <n v="6"/>
    <n v="4450.17"/>
    <n v="0.65301703163017"/>
    <n v="0"/>
    <d v="2024-11-17T00:00:00"/>
    <x v="1"/>
    <x v="1"/>
    <n v="-96.55"/>
    <s v="NEGATIVE SALES"/>
    <n v="26701.02"/>
  </r>
  <r>
    <n v="2243"/>
    <s v="Julie"/>
    <s v="Arnold"/>
    <s v="Caps"/>
    <n v="2"/>
    <n v="2746.8481999999999"/>
    <n v="0.65301703163017"/>
    <n v="0"/>
    <d v="2025-06-06T00:00:00"/>
    <x v="1"/>
    <x v="0"/>
    <n v="773.71"/>
    <s v="NEGATIVE SALES"/>
    <n v="5493.6963999999998"/>
  </r>
  <r>
    <n v="2244"/>
    <s v="Taylor"/>
    <s v="Aguirre"/>
    <s v="Maxi Dress"/>
    <n v="3"/>
    <n v="2744.1867999999999"/>
    <n v="0.62"/>
    <n v="0"/>
    <d v="2024-10-03T00:00:00"/>
    <x v="3"/>
    <x v="0"/>
    <n v="-835.44"/>
    <s v="NEGATIVE SALES"/>
    <n v="8232.5604000000003"/>
  </r>
  <r>
    <n v="2245"/>
    <s v="Terry"/>
    <s v="Estrada"/>
    <s v="Graphic Tee"/>
    <n v="0"/>
    <n v="2744.1867999999999"/>
    <n v="1.27"/>
    <n v="0"/>
    <d v="2024-10-03T00:00:00"/>
    <x v="3"/>
    <x v="2"/>
    <n v="1929.41"/>
    <s v="NEGATIVE SALES"/>
    <n v="0"/>
  </r>
  <r>
    <n v="2246"/>
    <s v="Alyssa"/>
    <s v="Carter"/>
    <s v="Slip-Ons"/>
    <n v="0"/>
    <n v="2744.1867999999999"/>
    <n v="1.25"/>
    <n v="0"/>
    <d v="2024-01-30T00:00:00"/>
    <x v="4"/>
    <x v="1"/>
    <n v="311.56"/>
    <s v="NEGATIVE SALES"/>
    <n v="0"/>
  </r>
  <r>
    <n v="2247"/>
    <s v="John"/>
    <s v="Case"/>
    <s v="Wrap Dress"/>
    <n v="0"/>
    <n v="2209.4899999999998"/>
    <n v="0.65012254901960798"/>
    <n v="0"/>
    <d v="2025-04-22T00:00:00"/>
    <x v="5"/>
    <x v="0"/>
    <n v="1944.57"/>
    <s v="NEGATIVE SALES"/>
    <n v="0"/>
  </r>
  <r>
    <n v="2248"/>
    <s v="Danielle"/>
    <s v="Stevenson"/>
    <s v="Straight Cut"/>
    <n v="0"/>
    <n v="2744.1867999999999"/>
    <n v="0.65012254901960798"/>
    <n v="0"/>
    <d v="2025-07-11T00:00:00"/>
    <x v="5"/>
    <x v="0"/>
    <n v="-306.57"/>
    <s v="NEGATIVE SALES"/>
    <n v="0"/>
  </r>
  <r>
    <n v="2249"/>
    <s v="Richard"/>
    <s v="Santos"/>
    <s v="Maxi Dress"/>
    <n v="1"/>
    <n v="2745.0236"/>
    <n v="0.65012254901960798"/>
    <n v="0"/>
    <d v="2024-04-16T00:00:00"/>
    <x v="2"/>
    <x v="1"/>
    <n v="-132.08000000000001"/>
    <s v="NEGATIVE SALES"/>
    <n v="2745.0236"/>
  </r>
  <r>
    <n v="2250"/>
    <s v="Clifford"/>
    <s v="Deleon"/>
    <s v="Puffer Coat"/>
    <n v="0"/>
    <n v="2745.0236"/>
    <n v="1.17"/>
    <n v="0"/>
    <d v="2024-04-16T00:00:00"/>
    <x v="2"/>
    <x v="1"/>
    <n v="2594.9"/>
    <s v="NEGATIVE SALES"/>
    <n v="0"/>
  </r>
  <r>
    <n v="2251"/>
    <s v="John"/>
    <s v="Wu"/>
    <s v="Casual Midi"/>
    <n v="0"/>
    <n v="1438.68"/>
    <n v="0.64884520884520902"/>
    <n v="0"/>
    <d v="2025-03-06T00:00:00"/>
    <x v="1"/>
    <x v="0"/>
    <n v="2726.72"/>
    <s v="NEGATIVE SALES"/>
    <n v="0"/>
  </r>
  <r>
    <n v="2252"/>
    <s v="Lauren"/>
    <s v="Cook"/>
    <s v="Sneakers"/>
    <n v="6"/>
    <n v="2755.37"/>
    <n v="0.64884520884520902"/>
    <n v="0"/>
    <d v="2025-05-16T00:00:00"/>
    <x v="0"/>
    <x v="0"/>
    <n v="613.59"/>
    <s v="NEGATIVE SALES"/>
    <n v="16532.22"/>
  </r>
  <r>
    <n v="2253"/>
    <s v="Susan"/>
    <s v="Mejia"/>
    <s v="Leather Jacket"/>
    <n v="0"/>
    <n v="2747.0711000000001"/>
    <n v="0.64884520884520902"/>
    <n v="0"/>
    <d v="2025-02-12T00:00:00"/>
    <x v="3"/>
    <x v="2"/>
    <n v="716.99"/>
    <s v="NEGATIVE SALES"/>
    <n v="0"/>
  </r>
  <r>
    <n v="2254"/>
    <s v="Tyler"/>
    <s v="Clark"/>
    <s v="Classic Tee"/>
    <n v="0"/>
    <n v="4998.91"/>
    <n v="0.64884520884520902"/>
    <n v="0"/>
    <d v="2025-02-12T00:00:00"/>
    <x v="2"/>
    <x v="2"/>
    <n v="-396.07"/>
    <s v="NEGATIVE SALES"/>
    <n v="0"/>
  </r>
  <r>
    <n v="2255"/>
    <s v="Julian"/>
    <s v="Nielsen"/>
    <s v="Belts"/>
    <n v="-2"/>
    <n v="4478.08"/>
    <n v="0.64884520884520902"/>
    <n v="0"/>
    <d v="2025-05-05T00:00:00"/>
    <x v="4"/>
    <x v="1"/>
    <n v="2090.38"/>
    <s v="NEGATIVE SALES"/>
    <n v="-8956.16"/>
  </r>
  <r>
    <n v="2256"/>
    <s v="Jennifer"/>
    <s v="Jordan"/>
    <s v="Casual Midi"/>
    <n v="0"/>
    <n v="535.27"/>
    <n v="0.64884520884520902"/>
    <n v="0"/>
    <d v="2025-03-24T00:00:00"/>
    <x v="1"/>
    <x v="2"/>
    <n v="1787.52"/>
    <s v="NEGATIVE SALES"/>
    <n v="0"/>
  </r>
  <r>
    <n v="2257"/>
    <s v="Alan"/>
    <s v="Carpenter"/>
    <s v="Bodycon"/>
    <n v="0"/>
    <n v="2740.7858000000001"/>
    <n v="0.64884520884520902"/>
    <n v="0"/>
    <d v="2025-01-21T00:00:00"/>
    <x v="2"/>
    <x v="0"/>
    <n v="980.52"/>
    <s v="NEGATIVE SALES"/>
    <n v="0"/>
  </r>
  <r>
    <n v="2258"/>
    <s v="Shirley"/>
    <s v="Fuller"/>
    <s v="Boots"/>
    <n v="0"/>
    <n v="2744.2646"/>
    <n v="0.64884520884520902"/>
    <n v="0"/>
    <d v="2025-06-02T00:00:00"/>
    <x v="3"/>
    <x v="1"/>
    <n v="1444.24"/>
    <s v="NEGATIVE SALES"/>
    <n v="0"/>
  </r>
  <r>
    <n v="2259"/>
    <s v="Johnny"/>
    <s v="Doyle"/>
    <s v="Sneakers"/>
    <n v="1"/>
    <n v="2854.4"/>
    <n v="0.64884520884520902"/>
    <n v="0"/>
    <d v="2024-08-04T00:00:00"/>
    <x v="3"/>
    <x v="0"/>
    <n v="542.9"/>
    <s v="NEGATIVE SALES"/>
    <n v="2854.4"/>
  </r>
  <r>
    <n v="2260"/>
    <s v="Jennifer"/>
    <s v="Ware"/>
    <s v="Ripped Denim"/>
    <n v="-1"/>
    <n v="2744.2646"/>
    <n v="0.64884520884520902"/>
    <n v="0"/>
    <d v="2024-08-04T00:00:00"/>
    <x v="5"/>
    <x v="2"/>
    <n v="2697.38"/>
    <s v="NEGATIVE SALES"/>
    <n v="-2744.2646"/>
  </r>
  <r>
    <n v="2262"/>
    <s v="Leslie"/>
    <s v="Clark"/>
    <s v="Maxi Dress"/>
    <n v="0"/>
    <n v="2957.48"/>
    <n v="0.64884520884520902"/>
    <n v="0"/>
    <d v="2024-09-09T00:00:00"/>
    <x v="5"/>
    <x v="2"/>
    <n v="2744.25"/>
    <s v="NEGATIVE SALES"/>
    <n v="0"/>
  </r>
  <r>
    <n v="2263"/>
    <s v="Christian"/>
    <s v="Green"/>
    <s v="Boots"/>
    <n v="0"/>
    <n v="4252.05"/>
    <n v="0.64884520884520902"/>
    <n v="0"/>
    <d v="2024-09-09T00:00:00"/>
    <x v="2"/>
    <x v="0"/>
    <n v="-396.3"/>
    <s v="NEGATIVE SALES"/>
    <n v="0"/>
  </r>
  <r>
    <n v="2264"/>
    <s v="Patricia"/>
    <s v="Henderson"/>
    <s v="Straight Cut"/>
    <n v="0"/>
    <n v="3541.13"/>
    <n v="1.3"/>
    <n v="0"/>
    <d v="2024-09-09T00:00:00"/>
    <x v="5"/>
    <x v="2"/>
    <n v="1711.99"/>
    <s v="NEGATIVE SALES"/>
    <n v="0"/>
  </r>
  <r>
    <n v="2265"/>
    <s v="Scott"/>
    <s v="Sweeney"/>
    <s v="Graphic Tee"/>
    <n v="0"/>
    <n v="2744.7089000000001"/>
    <n v="0.5"/>
    <n v="0"/>
    <d v="2025-03-20T00:00:00"/>
    <x v="3"/>
    <x v="0"/>
    <n v="399.62"/>
    <s v="NEGATIVE SALES"/>
    <n v="0"/>
  </r>
  <r>
    <n v="2267"/>
    <s v="Adam"/>
    <s v="Hopkins"/>
    <s v="Casual Midi"/>
    <n v="0"/>
    <n v="2743.4427000000001"/>
    <n v="0.64760493827160504"/>
    <n v="0"/>
    <d v="2024-09-04T00:00:00"/>
    <x v="3"/>
    <x v="1"/>
    <n v="1989.07"/>
    <s v="NEGATIVE SALES"/>
    <n v="0"/>
  </r>
  <r>
    <n v="2268"/>
    <s v="Valerie"/>
    <s v="King"/>
    <s v="Loafers"/>
    <n v="0"/>
    <n v="4300.05"/>
    <n v="0.64760493827160504"/>
    <n v="0"/>
    <d v="2024-11-22T00:00:00"/>
    <x v="3"/>
    <x v="2"/>
    <n v="-589.26"/>
    <s v="NEGATIVE SALES"/>
    <n v="0"/>
  </r>
  <r>
    <n v="2269"/>
    <s v="John"/>
    <s v="Romero"/>
    <s v="Boots"/>
    <n v="0"/>
    <n v="2740.7451999999998"/>
    <n v="0.64760493827160504"/>
    <n v="0"/>
    <d v="2025-06-26T00:00:00"/>
    <x v="5"/>
    <x v="1"/>
    <n v="742.42"/>
    <s v="NEGATIVE SALES"/>
    <n v="0"/>
  </r>
  <r>
    <n v="2270"/>
    <s v="Thomas"/>
    <s v="Murillo"/>
    <s v="Maxi Dress"/>
    <n v="1"/>
    <n v="2710.56"/>
    <n v="0.64760493827160504"/>
    <n v="0"/>
    <d v="2025-05-06T00:00:00"/>
    <x v="0"/>
    <x v="1"/>
    <n v="2414.4699999999998"/>
    <s v="NEGATIVE SALES"/>
    <n v="2710.56"/>
  </r>
  <r>
    <n v="2271"/>
    <s v="Susan"/>
    <s v="Buck"/>
    <s v="Sunglasses"/>
    <n v="0"/>
    <n v="2738.2583"/>
    <n v="0.36"/>
    <n v="0"/>
    <d v="2025-05-06T00:00:00"/>
    <x v="3"/>
    <x v="0"/>
    <n v="999.24"/>
    <s v="NEGATIVE SALES"/>
    <n v="0"/>
  </r>
  <r>
    <n v="2272"/>
    <s v="Martin"/>
    <s v="Lynch"/>
    <s v="Leather Jacket"/>
    <n v="4"/>
    <n v="2540.1"/>
    <n v="0.69"/>
    <n v="3149.72"/>
    <d v="2025-05-26T00:00:00"/>
    <x v="2"/>
    <x v="0"/>
    <n v="733.06"/>
    <s v="POSITIVE SALES"/>
    <n v="10160.4"/>
  </r>
  <r>
    <n v="2273"/>
    <s v="Laura"/>
    <s v="Perez"/>
    <s v="Ripped Denim"/>
    <n v="6"/>
    <n v="3064.21"/>
    <n v="0.64821339950372203"/>
    <n v="0"/>
    <d v="2024-10-06T00:00:00"/>
    <x v="0"/>
    <x v="0"/>
    <n v="1569.81"/>
    <s v="NEGATIVE SALES"/>
    <n v="18385.259999999998"/>
  </r>
  <r>
    <n v="2274"/>
    <s v="Larry"/>
    <s v="Mills"/>
    <s v="Wrap Dress"/>
    <n v="0"/>
    <n v="4456.6499999999996"/>
    <n v="0.64821339950372203"/>
    <n v="0"/>
    <d v="2024-10-07T00:00:00"/>
    <x v="0"/>
    <x v="0"/>
    <n v="9.1"/>
    <s v="NEGATIVE SALES"/>
    <n v="0"/>
  </r>
  <r>
    <n v="2275"/>
    <s v="Jo"/>
    <s v="Mckinney"/>
    <s v="Sunglasses"/>
    <n v="0"/>
    <n v="3899.04"/>
    <n v="0.64821339950372203"/>
    <n v="0"/>
    <d v="2024-07-24T00:00:00"/>
    <x v="1"/>
    <x v="1"/>
    <n v="2522.67"/>
    <s v="NEGATIVE SALES"/>
    <n v="0"/>
  </r>
  <r>
    <n v="2276"/>
    <s v="Christina"/>
    <s v="Martinez"/>
    <s v="Leather Jacket"/>
    <n v="3"/>
    <n v="2735.3393999999998"/>
    <n v="0.64821339950372203"/>
    <n v="0"/>
    <d v="2023-10-17T00:00:00"/>
    <x v="3"/>
    <x v="0"/>
    <n v="2089.34"/>
    <s v="NEGATIVE SALES"/>
    <n v="8206.0182000000004"/>
  </r>
  <r>
    <n v="2277"/>
    <s v="Emma"/>
    <s v="Sanchez"/>
    <s v="Boyfriend Jeans"/>
    <n v="3"/>
    <n v="2733.4684999999999"/>
    <n v="0.64821339950372203"/>
    <n v="0"/>
    <d v="2024-11-01T00:00:00"/>
    <x v="2"/>
    <x v="1"/>
    <n v="2814.36"/>
    <s v="NEGATIVE SALES"/>
    <n v="8200.4055000000008"/>
  </r>
  <r>
    <n v="2278"/>
    <s v="Susan"/>
    <s v="Young"/>
    <s v="Casual Midi"/>
    <n v="0"/>
    <n v="2733.4684999999999"/>
    <n v="0.95"/>
    <n v="0"/>
    <d v="2025-06-08T00:00:00"/>
    <x v="2"/>
    <x v="2"/>
    <n v="787.23"/>
    <s v="NEGATIVE SALES"/>
    <n v="0"/>
  </r>
  <r>
    <n v="2279"/>
    <s v="Mark"/>
    <s v="Henderson"/>
    <s v="Belts"/>
    <n v="6"/>
    <n v="3294.21"/>
    <n v="0.89"/>
    <n v="2174.1799999999998"/>
    <d v="2024-10-07T00:00:00"/>
    <x v="4"/>
    <x v="0"/>
    <n v="1874.46"/>
    <s v="POSITIVE SALES"/>
    <n v="19765.259999999998"/>
  </r>
  <r>
    <n v="2280"/>
    <s v="David"/>
    <s v="Gutierrez"/>
    <s v="Crop Top"/>
    <n v="0"/>
    <n v="2733.4684999999999"/>
    <n v="1.1499999999999999"/>
    <n v="0"/>
    <d v="2025-07-22T00:00:00"/>
    <x v="1"/>
    <x v="1"/>
    <n v="-230.98"/>
    <s v="NEGATIVE SALES"/>
    <n v="0"/>
  </r>
  <r>
    <n v="2281"/>
    <s v="Ariel"/>
    <s v="Velasquez"/>
    <s v="Casual Midi"/>
    <n v="-1"/>
    <n v="2732.5655000000002"/>
    <n v="0.64559999999999995"/>
    <n v="0"/>
    <d v="2025-07-22T00:00:00"/>
    <x v="4"/>
    <x v="0"/>
    <n v="-308.93"/>
    <s v="NEGATIVE SALES"/>
    <n v="-2732.5655000000002"/>
  </r>
  <r>
    <n v="2282"/>
    <s v="Omar"/>
    <s v="Norman"/>
    <s v="Puffer Coat"/>
    <n v="0"/>
    <n v="491.36"/>
    <n v="0.42"/>
    <n v="0"/>
    <d v="2023-12-16T00:00:00"/>
    <x v="0"/>
    <x v="1"/>
    <n v="1231.3699999999999"/>
    <s v="NEGATIVE SALES"/>
    <n v="0"/>
  </r>
  <r>
    <n v="2283"/>
    <s v="Shannon"/>
    <s v="Bell"/>
    <s v="Denim Jacket"/>
    <n v="6"/>
    <n v="2732.5655000000002"/>
    <n v="0.94"/>
    <n v="0"/>
    <d v="2025-04-15T00:00:00"/>
    <x v="3"/>
    <x v="1"/>
    <n v="2079.0100000000002"/>
    <s v="NEGATIVE SALES"/>
    <n v="16395.393"/>
  </r>
  <r>
    <n v="2284"/>
    <s v="Gary"/>
    <s v="Ferrell"/>
    <s v="Caps"/>
    <n v="0"/>
    <n v="3736.2"/>
    <n v="0.64542713567839205"/>
    <n v="0"/>
    <d v="2025-03-27T00:00:00"/>
    <x v="0"/>
    <x v="0"/>
    <n v="-440.98"/>
    <s v="NEGATIVE SALES"/>
    <n v="0"/>
  </r>
  <r>
    <n v="2285"/>
    <s v="Martha"/>
    <s v="Smith"/>
    <s v="Loafers"/>
    <n v="0"/>
    <n v="2287.67"/>
    <n v="0.56000000000000005"/>
    <n v="0"/>
    <d v="2024-04-09T00:00:00"/>
    <x v="5"/>
    <x v="2"/>
    <n v="-827.66"/>
    <s v="NEGATIVE SALES"/>
    <n v="0"/>
  </r>
  <r>
    <n v="2286"/>
    <s v="Justin"/>
    <s v="Aguilar"/>
    <s v="Denim Jacket"/>
    <n v="1"/>
    <n v="2734.5648000000001"/>
    <n v="0.64564231738035305"/>
    <n v="0"/>
    <d v="2025-04-23T00:00:00"/>
    <x v="4"/>
    <x v="0"/>
    <n v="-810.33"/>
    <s v="NEGATIVE SALES"/>
    <n v="2734.5648000000001"/>
  </r>
  <r>
    <n v="2287"/>
    <s v="James"/>
    <s v="Ibarra"/>
    <s v="Loafers"/>
    <n v="4"/>
    <n v="2735.288"/>
    <n v="0.64564231738035305"/>
    <n v="0"/>
    <d v="2025-04-23T00:00:00"/>
    <x v="3"/>
    <x v="2"/>
    <n v="715.96"/>
    <s v="NEGATIVE SALES"/>
    <n v="10941.152"/>
  </r>
  <r>
    <n v="2288"/>
    <s v="Lacey"/>
    <s v="Solis"/>
    <s v="Wrap Dress"/>
    <n v="4"/>
    <n v="2735.288"/>
    <n v="0.64564231738035305"/>
    <n v="0"/>
    <d v="2025-04-23T00:00:00"/>
    <x v="3"/>
    <x v="1"/>
    <n v="1167.1600000000001"/>
    <s v="NEGATIVE SALES"/>
    <n v="10941.152"/>
  </r>
  <r>
    <n v="2289"/>
    <s v="Linda"/>
    <s v="Riley"/>
    <s v="Casual Midi"/>
    <n v="0"/>
    <n v="3407.2"/>
    <n v="0.64564231738035305"/>
    <n v="0"/>
    <d v="2025-04-23T00:00:00"/>
    <x v="1"/>
    <x v="0"/>
    <n v="2344.16"/>
    <s v="NEGATIVE SALES"/>
    <n v="0"/>
  </r>
  <r>
    <n v="2290"/>
    <s v="Theresa"/>
    <s v="Stone"/>
    <s v="Casual Midi"/>
    <n v="4"/>
    <n v="1405.39"/>
    <n v="0.64564231738035305"/>
    <n v="0"/>
    <d v="2024-08-23T00:00:00"/>
    <x v="3"/>
    <x v="0"/>
    <n v="712.37"/>
    <s v="NEGATIVE SALES"/>
    <n v="5621.56"/>
  </r>
  <r>
    <n v="2291"/>
    <s v="Christopher"/>
    <s v="Brown"/>
    <s v="Bodycon"/>
    <n v="4"/>
    <n v="3217.82"/>
    <n v="0.64564231738035305"/>
    <n v="0"/>
    <d v="2024-08-23T00:00:00"/>
    <x v="3"/>
    <x v="2"/>
    <n v="2909.8"/>
    <s v="NEGATIVE SALES"/>
    <n v="12871.28"/>
  </r>
  <r>
    <n v="2292"/>
    <s v="Mary"/>
    <s v="Miller"/>
    <s v="Bodycon"/>
    <n v="0"/>
    <n v="3974.58"/>
    <n v="0.64564231738035305"/>
    <n v="0"/>
    <d v="2025-03-10T00:00:00"/>
    <x v="5"/>
    <x v="1"/>
    <n v="-0.12"/>
    <s v="NEGATIVE SALES"/>
    <n v="0"/>
  </r>
  <r>
    <n v="2293"/>
    <s v="Nancy"/>
    <s v="Chandler"/>
    <s v="Loafers"/>
    <n v="0"/>
    <n v="3241.57"/>
    <n v="0.64564231738035305"/>
    <n v="0"/>
    <d v="2024-07-27T00:00:00"/>
    <x v="1"/>
    <x v="0"/>
    <n v="2518.36"/>
    <s v="NEGATIVE SALES"/>
    <n v="0"/>
  </r>
  <r>
    <n v="2294"/>
    <s v="Sheryl"/>
    <s v="Brown"/>
    <s v="Maxi Dress"/>
    <n v="-1"/>
    <n v="2733.5553"/>
    <n v="0.16"/>
    <n v="0"/>
    <d v="2023-08-09T00:00:00"/>
    <x v="0"/>
    <x v="1"/>
    <n v="1019.45"/>
    <s v="NEGATIVE SALES"/>
    <n v="-2733.5553"/>
  </r>
  <r>
    <n v="2295"/>
    <s v="Amy"/>
    <s v="Mcpherson"/>
    <s v="Sneakers"/>
    <n v="0"/>
    <n v="3189.35"/>
    <n v="0.64686868686868704"/>
    <n v="0"/>
    <d v="2024-10-04T00:00:00"/>
    <x v="3"/>
    <x v="1"/>
    <n v="-683.11"/>
    <s v="NEGATIVE SALES"/>
    <n v="0"/>
  </r>
  <r>
    <n v="2297"/>
    <s v="Sheila"/>
    <s v="Gutierrez"/>
    <s v="Bodycon"/>
    <n v="0"/>
    <n v="2731.9805000000001"/>
    <n v="0.28999999999999998"/>
    <n v="0"/>
    <d v="2025-01-09T00:00:00"/>
    <x v="0"/>
    <x v="1"/>
    <n v="2879.59"/>
    <s v="NEGATIVE SALES"/>
    <n v="0"/>
  </r>
  <r>
    <n v="2298"/>
    <s v="Jennifer"/>
    <s v="Delgado"/>
    <s v="Graphic Tee"/>
    <n v="0"/>
    <n v="2731.9805000000001"/>
    <n v="0.64868020304568597"/>
    <n v="0"/>
    <d v="2025-06-04T00:00:00"/>
    <x v="1"/>
    <x v="1"/>
    <n v="-778.84"/>
    <s v="NEGATIVE SALES"/>
    <n v="0"/>
  </r>
  <r>
    <n v="2299"/>
    <s v="Kelly"/>
    <s v="Thomas"/>
    <s v="Graphic Tee"/>
    <n v="-2"/>
    <n v="2731.9805000000001"/>
    <n v="1.27"/>
    <n v="0"/>
    <d v="2025-04-23T00:00:00"/>
    <x v="2"/>
    <x v="0"/>
    <n v="2892.16"/>
    <s v="NEGATIVE SALES"/>
    <n v="-5463.9610000000002"/>
  </r>
  <r>
    <n v="2300"/>
    <s v="Gabriel"/>
    <s v="Conley"/>
    <s v="Sunglasses"/>
    <n v="0"/>
    <n v="2731.9805000000001"/>
    <n v="0.64709923664122204"/>
    <n v="0"/>
    <d v="2025-04-23T00:00:00"/>
    <x v="5"/>
    <x v="1"/>
    <n v="-59.16"/>
    <s v="NEGATIVE SALES"/>
    <n v="0"/>
  </r>
  <r>
    <n v="2301"/>
    <s v="Kelsey"/>
    <s v="Mcdonald"/>
    <s v="Maxi Dress"/>
    <n v="0"/>
    <n v="3335.27"/>
    <n v="1.1299999999999999"/>
    <n v="0"/>
    <d v="2024-11-30T00:00:00"/>
    <x v="2"/>
    <x v="1"/>
    <n v="1415.8"/>
    <s v="NEGATIVE SALES"/>
    <n v="0"/>
  </r>
  <r>
    <n v="2302"/>
    <s v="Mary"/>
    <s v="Gilbert"/>
    <s v="Bodycon"/>
    <n v="1"/>
    <n v="2731.9805000000001"/>
    <n v="0.64586734693877601"/>
    <n v="0"/>
    <d v="2024-11-30T00:00:00"/>
    <x v="1"/>
    <x v="0"/>
    <n v="1520.6"/>
    <s v="NEGATIVE SALES"/>
    <n v="2731.9805000000001"/>
  </r>
  <r>
    <n v="2303"/>
    <s v="Tracy"/>
    <s v="Knight"/>
    <s v="Sneakers"/>
    <n v="6"/>
    <n v="2201.87"/>
    <n v="0.64586734693877601"/>
    <n v="0"/>
    <d v="2024-11-30T00:00:00"/>
    <x v="5"/>
    <x v="1"/>
    <n v="1919.35"/>
    <s v="NEGATIVE SALES"/>
    <n v="13211.22"/>
  </r>
  <r>
    <n v="2304"/>
    <s v="Stephanie"/>
    <s v="Jones"/>
    <s v="Caps"/>
    <n v="0"/>
    <n v="2730.9931000000001"/>
    <n v="0.3"/>
    <n v="0"/>
    <d v="2025-06-03T00:00:00"/>
    <x v="4"/>
    <x v="0"/>
    <n v="2013.34"/>
    <s v="NEGATIVE SALES"/>
    <n v="0"/>
  </r>
  <r>
    <n v="2305"/>
    <s v="David"/>
    <s v="Rodriguez"/>
    <s v="Bomber Jacket"/>
    <n v="0"/>
    <n v="3476.06"/>
    <n v="0.64675191815856803"/>
    <n v="0"/>
    <d v="2025-06-03T00:00:00"/>
    <x v="3"/>
    <x v="0"/>
    <n v="1379.32"/>
    <s v="NEGATIVE SALES"/>
    <n v="0"/>
  </r>
  <r>
    <n v="2306"/>
    <s v="Christine"/>
    <s v="Riley"/>
    <s v="Boots"/>
    <n v="-2"/>
    <n v="2731.8604999999998"/>
    <n v="1.1499999999999999"/>
    <n v="0"/>
    <d v="2023-11-30T00:00:00"/>
    <x v="1"/>
    <x v="0"/>
    <n v="2166.71"/>
    <s v="NEGATIVE SALES"/>
    <n v="-5463.7209999999995"/>
  </r>
  <r>
    <n v="2307"/>
    <s v="Justin"/>
    <s v="Garza"/>
    <s v="Boots"/>
    <n v="0"/>
    <n v="2730.6385"/>
    <n v="0.64546153846153898"/>
    <n v="0"/>
    <d v="2023-12-23T00:00:00"/>
    <x v="4"/>
    <x v="1"/>
    <n v="1998.57"/>
    <s v="NEGATIVE SALES"/>
    <n v="0"/>
  </r>
  <r>
    <n v="2308"/>
    <s v="Stephanie"/>
    <s v="Cook"/>
    <s v="Maxi Dress"/>
    <n v="0"/>
    <n v="3978.48"/>
    <n v="0.64546153846153898"/>
    <n v="0"/>
    <d v="2024-12-06T00:00:00"/>
    <x v="0"/>
    <x v="1"/>
    <n v="929.92"/>
    <s v="NEGATIVE SALES"/>
    <n v="0"/>
  </r>
  <r>
    <n v="2309"/>
    <s v="Phillip"/>
    <s v="Smith"/>
    <s v="Boyfriend Jeans"/>
    <n v="1"/>
    <n v="2730.6385"/>
    <n v="0.64546153846153898"/>
    <n v="0"/>
    <d v="2024-12-06T00:00:00"/>
    <x v="0"/>
    <x v="2"/>
    <n v="-464.01"/>
    <s v="NEGATIVE SALES"/>
    <n v="2730.6385"/>
  </r>
  <r>
    <n v="2312"/>
    <s v="Stephanie"/>
    <s v="Ford"/>
    <s v="Straight Cut"/>
    <n v="0"/>
    <n v="2688.08"/>
    <n v="0.64546153846153898"/>
    <n v="0"/>
    <d v="2024-08-17T00:00:00"/>
    <x v="4"/>
    <x v="2"/>
    <n v="1913.21"/>
    <s v="NEGATIVE SALES"/>
    <n v="0"/>
  </r>
  <r>
    <n v="2313"/>
    <s v="Shawn"/>
    <s v="Martinez"/>
    <s v="Casual Midi"/>
    <n v="2"/>
    <n v="2440.38"/>
    <n v="0.64546153846153898"/>
    <n v="0"/>
    <d v="2025-03-08T00:00:00"/>
    <x v="3"/>
    <x v="2"/>
    <n v="-899.53"/>
    <s v="NEGATIVE SALES"/>
    <n v="4880.76"/>
  </r>
  <r>
    <n v="2314"/>
    <s v="Alexa"/>
    <s v="Davis"/>
    <s v="Watches"/>
    <n v="0"/>
    <n v="2725.2937000000002"/>
    <n v="0.64546153846153898"/>
    <n v="0"/>
    <d v="2024-12-16T00:00:00"/>
    <x v="4"/>
    <x v="2"/>
    <n v="949.17"/>
    <s v="NEGATIVE SALES"/>
    <n v="0"/>
  </r>
  <r>
    <n v="2315"/>
    <s v="April"/>
    <s v="Harrison"/>
    <s v="Casual Midi"/>
    <n v="1"/>
    <n v="2725.7654000000002"/>
    <n v="0.64546153846153898"/>
    <n v="0"/>
    <d v="2025-02-22T00:00:00"/>
    <x v="4"/>
    <x v="2"/>
    <n v="261.63"/>
    <s v="NEGATIVE SALES"/>
    <n v="2725.7654000000002"/>
  </r>
  <r>
    <n v="2316"/>
    <s v="April"/>
    <s v="Ward"/>
    <s v="Ripped Denim"/>
    <n v="4"/>
    <n v="1529.48"/>
    <n v="0.64546153846153898"/>
    <n v="0"/>
    <d v="2024-04-28T00:00:00"/>
    <x v="2"/>
    <x v="0"/>
    <n v="1325.56"/>
    <s v="NEGATIVE SALES"/>
    <n v="6117.92"/>
  </r>
  <r>
    <n v="2317"/>
    <s v="Monique"/>
    <s v="Brown"/>
    <s v="Boots"/>
    <n v="0"/>
    <n v="1005.41"/>
    <n v="0.64546153846153898"/>
    <n v="0"/>
    <d v="2025-06-06T00:00:00"/>
    <x v="0"/>
    <x v="0"/>
    <n v="566.17999999999995"/>
    <s v="NEGATIVE SALES"/>
    <n v="0"/>
  </r>
  <r>
    <n v="2318"/>
    <s v="Jessica"/>
    <s v="Campbell"/>
    <s v="Crop Top"/>
    <n v="0"/>
    <n v="2727.7492999999999"/>
    <n v="0.64546153846153898"/>
    <n v="0"/>
    <d v="2025-04-13T00:00:00"/>
    <x v="5"/>
    <x v="0"/>
    <n v="1145.48"/>
    <s v="NEGATIVE SALES"/>
    <n v="0"/>
  </r>
  <r>
    <n v="2319"/>
    <s v="Victor"/>
    <s v="Peterson"/>
    <s v="Wrap Dress"/>
    <n v="0"/>
    <n v="881.41"/>
    <n v="1.22"/>
    <n v="0"/>
    <d v="2025-04-13T00:00:00"/>
    <x v="4"/>
    <x v="1"/>
    <n v="1541.77"/>
    <s v="NEGATIVE SALES"/>
    <n v="0"/>
  </r>
  <r>
    <n v="2320"/>
    <s v="David"/>
    <s v="Garcia"/>
    <s v="Straight Cut"/>
    <n v="0"/>
    <n v="2730.6102999999998"/>
    <n v="1.27"/>
    <n v="0"/>
    <d v="2024-08-01T00:00:00"/>
    <x v="5"/>
    <x v="0"/>
    <n v="1960.76"/>
    <s v="NEGATIVE SALES"/>
    <n v="0"/>
  </r>
  <r>
    <n v="2321"/>
    <s v="Andrea"/>
    <s v="Young"/>
    <s v="Sneakers"/>
    <n v="0"/>
    <n v="2733.6871999999998"/>
    <n v="0.64237113402061896"/>
    <n v="0"/>
    <d v="2025-03-26T00:00:00"/>
    <x v="4"/>
    <x v="2"/>
    <n v="1864.22"/>
    <s v="NEGATIVE SALES"/>
    <n v="0"/>
  </r>
  <r>
    <n v="2322"/>
    <s v="Brian"/>
    <s v="Garcia"/>
    <s v="Crop Top"/>
    <n v="0"/>
    <n v="2733.6871999999998"/>
    <n v="0.98"/>
    <n v="0"/>
    <d v="2025-03-26T00:00:00"/>
    <x v="4"/>
    <x v="1"/>
    <n v="195.27"/>
    <s v="NEGATIVE SALES"/>
    <n v="0"/>
  </r>
  <r>
    <n v="2323"/>
    <s v="Amanda"/>
    <s v="Smith"/>
    <s v="Straight Cut"/>
    <n v="0"/>
    <n v="2733.6871999999998"/>
    <n v="0.64149870801033604"/>
    <n v="0"/>
    <d v="2025-02-06T00:00:00"/>
    <x v="4"/>
    <x v="1"/>
    <n v="2903.66"/>
    <s v="NEGATIVE SALES"/>
    <n v="0"/>
  </r>
  <r>
    <n v="2325"/>
    <s v="Dustin"/>
    <s v="Skinner"/>
    <s v="Bodycon"/>
    <n v="1"/>
    <n v="2733.6871999999998"/>
    <n v="1.19"/>
    <n v="0"/>
    <d v="2025-02-06T00:00:00"/>
    <x v="3"/>
    <x v="2"/>
    <n v="1634.79"/>
    <s v="NEGATIVE SALES"/>
    <n v="2733.6871999999998"/>
  </r>
  <r>
    <n v="2326"/>
    <s v="Timothy"/>
    <s v="Thompson"/>
    <s v="Sneakers"/>
    <n v="0"/>
    <n v="1718.14"/>
    <n v="0.64007772020725395"/>
    <n v="0"/>
    <d v="2025-03-20T00:00:00"/>
    <x v="1"/>
    <x v="2"/>
    <n v="1309.05"/>
    <s v="NEGATIVE SALES"/>
    <n v="0"/>
  </r>
  <r>
    <n v="2327"/>
    <s v="Christina"/>
    <s v="Carter"/>
    <s v="Slip-Ons"/>
    <n v="-2"/>
    <n v="2733.6871999999998"/>
    <n v="0.76"/>
    <n v="0"/>
    <d v="2025-02-26T00:00:00"/>
    <x v="4"/>
    <x v="0"/>
    <n v="-357.33"/>
    <s v="NEGATIVE SALES"/>
    <n v="-5467.3743999999997"/>
  </r>
  <r>
    <n v="2328"/>
    <s v="Mrs."/>
    <s v="Crystal"/>
    <s v="Boyfriend Jeans"/>
    <n v="0"/>
    <n v="2735.3798000000002"/>
    <n v="0.63976623376623398"/>
    <n v="0"/>
    <d v="2025-02-26T00:00:00"/>
    <x v="2"/>
    <x v="0"/>
    <n v="1385.5"/>
    <s v="NEGATIVE SALES"/>
    <n v="0"/>
  </r>
  <r>
    <n v="2330"/>
    <s v="Brittany"/>
    <s v="Hicks"/>
    <s v="Boots"/>
    <n v="6"/>
    <n v="2735.3798000000002"/>
    <n v="0.53"/>
    <n v="0"/>
    <d v="2025-05-05T00:00:00"/>
    <x v="4"/>
    <x v="0"/>
    <n v="-44.8"/>
    <s v="NEGATIVE SALES"/>
    <n v="16412.2788"/>
  </r>
  <r>
    <n v="2331"/>
    <s v="Raymond"/>
    <s v="Floyd"/>
    <s v="Casual Midi"/>
    <n v="-2"/>
    <n v="2967.49"/>
    <n v="0.64151436031331599"/>
    <n v="0"/>
    <d v="2025-05-04T00:00:00"/>
    <x v="4"/>
    <x v="1"/>
    <n v="1890.42"/>
    <s v="NEGATIVE SALES"/>
    <n v="-5934.98"/>
  </r>
  <r>
    <n v="2332"/>
    <s v="Daniel"/>
    <s v="Smith"/>
    <s v="Leather Jacket"/>
    <n v="0"/>
    <n v="4066.97"/>
    <n v="0.59"/>
    <n v="0"/>
    <d v="2025-05-29T00:00:00"/>
    <x v="2"/>
    <x v="1"/>
    <n v="977.09"/>
    <s v="NEGATIVE SALES"/>
    <n v="0"/>
  </r>
  <r>
    <n v="2333"/>
    <s v="Sydney"/>
    <s v="Warren"/>
    <s v="Casual Midi"/>
    <n v="0"/>
    <n v="2736.9227000000001"/>
    <n v="0.64164921465968605"/>
    <n v="0"/>
    <d v="2024-01-22T00:00:00"/>
    <x v="1"/>
    <x v="0"/>
    <n v="761.35"/>
    <s v="NEGATIVE SALES"/>
    <n v="0"/>
  </r>
  <r>
    <n v="2334"/>
    <s v="Morgan"/>
    <s v="Blankenship"/>
    <s v="Ripped Denim"/>
    <n v="0"/>
    <n v="2295.4899999999998"/>
    <n v="0.64164921465968605"/>
    <n v="0"/>
    <d v="2024-01-22T00:00:00"/>
    <x v="4"/>
    <x v="0"/>
    <n v="2846.96"/>
    <s v="NEGATIVE SALES"/>
    <n v="0"/>
  </r>
  <r>
    <n v="2335"/>
    <s v="Heather"/>
    <s v="Walsh"/>
    <s v="Caps"/>
    <n v="1"/>
    <n v="3508.21"/>
    <n v="0.62"/>
    <n v="1333.12"/>
    <d v="2024-10-21T00:00:00"/>
    <x v="3"/>
    <x v="2"/>
    <n v="-309.14999999999998"/>
    <s v="POSITIVE SALES"/>
    <n v="3508.21"/>
  </r>
  <r>
    <n v="2336"/>
    <s v="Robin"/>
    <s v="Jennings"/>
    <s v="Leather Jacket"/>
    <n v="4"/>
    <n v="2735.4317000000001"/>
    <n v="0.64170603674540705"/>
    <n v="0"/>
    <d v="2024-10-22T00:00:00"/>
    <x v="1"/>
    <x v="0"/>
    <n v="1339.62"/>
    <s v="NEGATIVE SALES"/>
    <n v="10941.7268"/>
  </r>
  <r>
    <n v="2337"/>
    <s v="Anita"/>
    <s v="Rose"/>
    <s v="Boyfriend Jeans"/>
    <n v="0"/>
    <n v="1295.44"/>
    <n v="0.64170603674540705"/>
    <n v="0"/>
    <d v="2025-02-16T00:00:00"/>
    <x v="1"/>
    <x v="0"/>
    <n v="1552.41"/>
    <s v="NEGATIVE SALES"/>
    <n v="0"/>
  </r>
  <r>
    <n v="2338"/>
    <s v="Gregory"/>
    <s v="Kennedy"/>
    <s v="Wrap Dress"/>
    <n v="5"/>
    <n v="1378.76"/>
    <n v="0.19"/>
    <n v="5583.98"/>
    <d v="2025-02-11T00:00:00"/>
    <x v="2"/>
    <x v="2"/>
    <n v="2284.9699999999998"/>
    <s v="POSITIVE SALES"/>
    <n v="6893.8"/>
  </r>
  <r>
    <n v="2339"/>
    <s v="Robert"/>
    <s v="Nelson"/>
    <s v="Ripped Denim"/>
    <n v="1"/>
    <n v="1289.24"/>
    <n v="0.64289473684210596"/>
    <n v="0"/>
    <d v="2024-10-30T00:00:00"/>
    <x v="2"/>
    <x v="2"/>
    <n v="555.48"/>
    <s v="NEGATIVE SALES"/>
    <n v="1289.24"/>
  </r>
  <r>
    <n v="2340"/>
    <s v="Stephen"/>
    <s v="Barber"/>
    <s v="Slip-Ons"/>
    <n v="-2"/>
    <n v="2738.8447000000001"/>
    <n v="0.64289473684210596"/>
    <n v="0"/>
    <d v="2024-10-30T00:00:00"/>
    <x v="5"/>
    <x v="2"/>
    <n v="345.45"/>
    <s v="NEGATIVE SALES"/>
    <n v="-5477.6894000000002"/>
  </r>
  <r>
    <n v="2341"/>
    <s v="Jay"/>
    <s v="Bates"/>
    <s v="Classic Tee"/>
    <n v="0"/>
    <n v="2741.2934"/>
    <n v="0.59"/>
    <n v="0"/>
    <d v="2024-11-13T00:00:00"/>
    <x v="1"/>
    <x v="0"/>
    <n v="259.57"/>
    <s v="NEGATIVE SALES"/>
    <n v="0"/>
  </r>
  <r>
    <n v="2342"/>
    <s v="Samuel"/>
    <s v="Wilson"/>
    <s v="Oversized T-Shirt"/>
    <n v="0"/>
    <n v="1042.4100000000001"/>
    <n v="0.64303430079155699"/>
    <n v="0"/>
    <d v="2024-01-31T00:00:00"/>
    <x v="1"/>
    <x v="0"/>
    <n v="2778.49"/>
    <s v="NEGATIVE SALES"/>
    <n v="0"/>
  </r>
  <r>
    <n v="2343"/>
    <s v="Denise"/>
    <s v="Spencer"/>
    <s v="Slim Fit Jeans"/>
    <n v="0"/>
    <n v="2741.2934"/>
    <n v="0.64303430079155699"/>
    <n v="0"/>
    <d v="2025-05-18T00:00:00"/>
    <x v="1"/>
    <x v="1"/>
    <n v="2829.76"/>
    <s v="NEGATIVE SALES"/>
    <n v="0"/>
  </r>
  <r>
    <n v="2344"/>
    <s v="Walter"/>
    <s v="Richard"/>
    <s v="Slim Fit Jeans"/>
    <n v="0"/>
    <n v="2744.1680000000001"/>
    <n v="1.0900000000000001"/>
    <n v="0"/>
    <d v="2025-06-25T00:00:00"/>
    <x v="5"/>
    <x v="1"/>
    <n v="1854.64"/>
    <s v="NEGATIVE SALES"/>
    <n v="0"/>
  </r>
  <r>
    <n v="2345"/>
    <s v="Susan"/>
    <s v="Gonzalez"/>
    <s v="Slim Fit Jeans"/>
    <n v="1"/>
    <n v="1095.03"/>
    <n v="0.64185185185185201"/>
    <n v="0"/>
    <d v="2024-12-19T00:00:00"/>
    <x v="1"/>
    <x v="0"/>
    <n v="1317.75"/>
    <s v="NEGATIVE SALES"/>
    <n v="1095.03"/>
  </r>
  <r>
    <n v="2346"/>
    <s v="Christopher"/>
    <s v="Hawkins"/>
    <s v="Boyfriend Jeans"/>
    <n v="-2"/>
    <n v="4922.99"/>
    <n v="0.64185185185185201"/>
    <n v="0"/>
    <d v="2024-11-16T00:00:00"/>
    <x v="3"/>
    <x v="2"/>
    <n v="-712.37"/>
    <s v="NEGATIVE SALES"/>
    <n v="-9845.98"/>
  </r>
  <r>
    <n v="2347"/>
    <s v="David"/>
    <s v="Moreno"/>
    <s v="Casual Midi"/>
    <n v="0"/>
    <n v="1207.99"/>
    <n v="0.64185185185185201"/>
    <n v="0"/>
    <d v="2025-03-07T00:00:00"/>
    <x v="3"/>
    <x v="0"/>
    <n v="2195.11"/>
    <s v="NEGATIVE SALES"/>
    <n v="0"/>
  </r>
  <r>
    <n v="2348"/>
    <s v="John"/>
    <s v="Boyd"/>
    <s v="Boots"/>
    <n v="0"/>
    <n v="2743.2687000000001"/>
    <n v="0.64185185185185201"/>
    <n v="0"/>
    <d v="2024-10-09T00:00:00"/>
    <x v="4"/>
    <x v="1"/>
    <n v="371.77"/>
    <s v="NEGATIVE SALES"/>
    <n v="0"/>
  </r>
  <r>
    <n v="2349"/>
    <s v="John"/>
    <s v="Johns"/>
    <s v="Puffer Coat"/>
    <n v="0"/>
    <n v="2745.8797"/>
    <n v="0.34"/>
    <n v="0"/>
    <d v="2024-08-01T00:00:00"/>
    <x v="0"/>
    <x v="2"/>
    <n v="-496.94"/>
    <s v="NEGATIVE SALES"/>
    <n v="0"/>
  </r>
  <r>
    <n v="2350"/>
    <s v="Victoria"/>
    <s v="Greene"/>
    <s v="Slip-Ons"/>
    <n v="-1"/>
    <n v="3148.46"/>
    <n v="0.64265251989390004"/>
    <n v="0"/>
    <d v="2023-09-23T00:00:00"/>
    <x v="3"/>
    <x v="2"/>
    <n v="-165.49"/>
    <s v="NEGATIVE SALES"/>
    <n v="-3148.46"/>
  </r>
  <r>
    <n v="2351"/>
    <s v="Joe"/>
    <s v="Reed"/>
    <s v="Casual Midi"/>
    <n v="-1"/>
    <n v="1875.17"/>
    <n v="0.64265251989390004"/>
    <n v="0"/>
    <d v="2023-09-23T00:00:00"/>
    <x v="1"/>
    <x v="1"/>
    <n v="1406.99"/>
    <s v="NEGATIVE SALES"/>
    <n v="-1875.17"/>
  </r>
  <r>
    <n v="2352"/>
    <s v="Kurt"/>
    <s v="Best"/>
    <s v="Maxi Dress"/>
    <n v="0"/>
    <n v="2745.1939000000002"/>
    <n v="1.18"/>
    <n v="0"/>
    <d v="2023-09-23T00:00:00"/>
    <x v="4"/>
    <x v="1"/>
    <n v="590.80999999999995"/>
    <s v="NEGATIVE SALES"/>
    <n v="0"/>
  </r>
  <r>
    <n v="2353"/>
    <s v="Tammy"/>
    <s v="Jackson"/>
    <s v="Boots"/>
    <n v="-1"/>
    <n v="2746.6785"/>
    <n v="0.64122340425531998"/>
    <n v="0"/>
    <d v="2024-08-29T00:00:00"/>
    <x v="5"/>
    <x v="1"/>
    <n v="-397.76"/>
    <s v="NEGATIVE SALES"/>
    <n v="-2746.6785"/>
  </r>
  <r>
    <n v="2354"/>
    <s v="Cynthia"/>
    <s v="Wright"/>
    <s v="Boots"/>
    <n v="0"/>
    <n v="2746.6785"/>
    <n v="0.64122340425531998"/>
    <n v="0"/>
    <d v="2025-02-11T00:00:00"/>
    <x v="5"/>
    <x v="2"/>
    <n v="2233.2800000000002"/>
    <s v="NEGATIVE SALES"/>
    <n v="0"/>
  </r>
  <r>
    <n v="2355"/>
    <s v="Robert"/>
    <s v="Page"/>
    <s v="Ripped Denim"/>
    <n v="0"/>
    <n v="2746.6785"/>
    <n v="0.14000000000000001"/>
    <n v="0"/>
    <d v="2025-02-11T00:00:00"/>
    <x v="5"/>
    <x v="2"/>
    <n v="1303.8900000000001"/>
    <s v="NEGATIVE SALES"/>
    <n v="0"/>
  </r>
  <r>
    <n v="2356"/>
    <s v="Rachel"/>
    <s v="Alvarez"/>
    <s v="Caps"/>
    <n v="0"/>
    <n v="3412.15"/>
    <n v="0.01"/>
    <n v="0"/>
    <d v="2025-04-16T00:00:00"/>
    <x v="5"/>
    <x v="2"/>
    <n v="1862.5"/>
    <s v="NEGATIVE SALES"/>
    <n v="0"/>
  </r>
  <r>
    <n v="2357"/>
    <s v="Catherine"/>
    <s v="Young"/>
    <s v="Ripped Denim"/>
    <n v="5"/>
    <n v="509.54"/>
    <n v="0.64425133689839598"/>
    <n v="0"/>
    <d v="2024-12-23T00:00:00"/>
    <x v="0"/>
    <x v="0"/>
    <n v="2233.39"/>
    <s v="NEGATIVE SALES"/>
    <n v="2547.6999999999998"/>
  </r>
  <r>
    <n v="2358"/>
    <s v="Kimberly"/>
    <s v="Villanueva"/>
    <s v="Straight Cut"/>
    <n v="-1"/>
    <n v="3099.15"/>
    <n v="0.64425133689839598"/>
    <n v="0"/>
    <d v="2024-12-23T00:00:00"/>
    <x v="2"/>
    <x v="2"/>
    <n v="-860.89"/>
    <s v="NEGATIVE SALES"/>
    <n v="-3099.15"/>
  </r>
  <r>
    <n v="2359"/>
    <s v="Jeanette"/>
    <s v="Maldonado"/>
    <s v="Loafers"/>
    <n v="-1"/>
    <n v="2749.3697000000002"/>
    <n v="0.64425133689839598"/>
    <n v="0"/>
    <d v="2024-07-29T00:00:00"/>
    <x v="4"/>
    <x v="0"/>
    <n v="2256.67"/>
    <s v="NEGATIVE SALES"/>
    <n v="-2749.3697000000002"/>
  </r>
  <r>
    <n v="2360"/>
    <s v="John"/>
    <s v="Scott"/>
    <s v="Watches"/>
    <n v="5"/>
    <n v="2748.7698"/>
    <n v="0.64425133689839598"/>
    <n v="0"/>
    <d v="2025-07-04T00:00:00"/>
    <x v="4"/>
    <x v="0"/>
    <n v="829.94"/>
    <s v="NEGATIVE SALES"/>
    <n v="13743.849"/>
  </r>
  <r>
    <n v="2361"/>
    <s v="William"/>
    <s v="Brown"/>
    <s v="Crop Top"/>
    <n v="0"/>
    <n v="899.41"/>
    <n v="0.64425133689839598"/>
    <n v="0"/>
    <d v="2024-11-26T00:00:00"/>
    <x v="0"/>
    <x v="1"/>
    <n v="477.1"/>
    <s v="NEGATIVE SALES"/>
    <n v="0"/>
  </r>
  <r>
    <n v="2362"/>
    <s v="Cody"/>
    <s v="Benson"/>
    <s v="Casual Midi"/>
    <n v="0"/>
    <n v="2550.98"/>
    <n v="0.64425133689839598"/>
    <n v="0"/>
    <d v="2025-01-07T00:00:00"/>
    <x v="0"/>
    <x v="2"/>
    <n v="2161.7800000000002"/>
    <s v="NEGATIVE SALES"/>
    <n v="0"/>
  </r>
  <r>
    <n v="2363"/>
    <s v="Kara"/>
    <s v="Waller"/>
    <s v="Boyfriend Jeans"/>
    <n v="-1"/>
    <n v="3640.29"/>
    <n v="0.86"/>
    <n v="-509.64"/>
    <d v="2024-12-02T00:00:00"/>
    <x v="5"/>
    <x v="0"/>
    <n v="879.32"/>
    <s v="NEGATIVE SALES"/>
    <n v="-3640.29"/>
  </r>
  <r>
    <n v="2364"/>
    <s v="Veronica"/>
    <s v="Jones"/>
    <s v="Caps"/>
    <n v="0"/>
    <n v="857.68"/>
    <n v="0.643672922252011"/>
    <n v="0"/>
    <d v="2025-06-09T00:00:00"/>
    <x v="2"/>
    <x v="2"/>
    <n v="1462.91"/>
    <s v="NEGATIVE SALES"/>
    <n v="0"/>
  </r>
  <r>
    <n v="2365"/>
    <s v="Michelle"/>
    <s v="Robertson"/>
    <s v="Bodycon"/>
    <n v="3"/>
    <n v="2750.7622000000001"/>
    <n v="0.49"/>
    <n v="0"/>
    <d v="2025-04-10T00:00:00"/>
    <x v="5"/>
    <x v="1"/>
    <n v="1765.39"/>
    <s v="NEGATIVE SALES"/>
    <n v="8252.2865999999995"/>
  </r>
  <r>
    <n v="2366"/>
    <s v="Aaron"/>
    <s v="Molina"/>
    <s v="Sneakers"/>
    <n v="6"/>
    <n v="429.37"/>
    <n v="0.64408602150537697"/>
    <n v="0"/>
    <d v="2024-06-29T00:00:00"/>
    <x v="2"/>
    <x v="2"/>
    <n v="-21.4"/>
    <s v="NEGATIVE SALES"/>
    <n v="2576.2199999999998"/>
  </r>
  <r>
    <n v="2367"/>
    <s v="Javier"/>
    <s v="Sloan"/>
    <s v="Sneakers"/>
    <n v="3"/>
    <n v="500.41"/>
    <n v="0.64408602150537697"/>
    <n v="0"/>
    <d v="2024-12-22T00:00:00"/>
    <x v="2"/>
    <x v="1"/>
    <n v="1732.45"/>
    <s v="NEGATIVE SALES"/>
    <n v="1501.23"/>
  </r>
  <r>
    <n v="2368"/>
    <s v="Michael"/>
    <s v="Roberts"/>
    <s v="Belts"/>
    <n v="0"/>
    <n v="2971.36"/>
    <n v="0.49"/>
    <n v="0"/>
    <d v="2024-08-28T00:00:00"/>
    <x v="1"/>
    <x v="1"/>
    <n v="153.4"/>
    <s v="NEGATIVE SALES"/>
    <n v="0"/>
  </r>
  <r>
    <n v="2369"/>
    <s v="Brittney"/>
    <s v="Scott"/>
    <s v="Crop Top"/>
    <n v="0"/>
    <n v="935.57"/>
    <n v="0.644501347708895"/>
    <n v="0"/>
    <d v="2024-01-29T00:00:00"/>
    <x v="1"/>
    <x v="2"/>
    <n v="-111.36"/>
    <s v="NEGATIVE SALES"/>
    <n v="0"/>
  </r>
  <r>
    <n v="2370"/>
    <s v="Laura"/>
    <s v="Shaw"/>
    <s v="Maxi Dress"/>
    <n v="0"/>
    <n v="2761.6028999999999"/>
    <n v="0.644501347708895"/>
    <n v="0"/>
    <d v="2024-01-15T00:00:00"/>
    <x v="2"/>
    <x v="1"/>
    <n v="2031.95"/>
    <s v="NEGATIVE SALES"/>
    <n v="0"/>
  </r>
  <r>
    <n v="2371"/>
    <s v="Charles"/>
    <s v="Ray"/>
    <s v="Loafers"/>
    <n v="3"/>
    <n v="4467.25"/>
    <n v="0.644501347708895"/>
    <n v="0"/>
    <d v="2025-06-06T00:00:00"/>
    <x v="5"/>
    <x v="1"/>
    <n v="2388.5500000000002"/>
    <s v="NEGATIVE SALES"/>
    <n v="13401.75"/>
  </r>
  <r>
    <n v="2372"/>
    <s v="Dominic"/>
    <s v="Baker"/>
    <s v="Wrap Dress"/>
    <n v="0"/>
    <n v="2764.7786000000001"/>
    <n v="0.644501347708895"/>
    <n v="0"/>
    <d v="2025-05-05T00:00:00"/>
    <x v="0"/>
    <x v="2"/>
    <n v="-452.24"/>
    <s v="NEGATIVE SALES"/>
    <n v="0"/>
  </r>
  <r>
    <n v="2373"/>
    <s v="Thomas"/>
    <s v="Carr"/>
    <s v="Caps"/>
    <n v="-2"/>
    <n v="2490.44"/>
    <n v="0.644501347708895"/>
    <n v="0"/>
    <d v="2025-05-05T00:00:00"/>
    <x v="2"/>
    <x v="1"/>
    <n v="11.27"/>
    <s v="NEGATIVE SALES"/>
    <n v="-4980.88"/>
  </r>
  <r>
    <n v="2374"/>
    <s v="Michael"/>
    <s v="Bright"/>
    <s v="Loafers"/>
    <n v="0"/>
    <n v="4867.51"/>
    <n v="1.0900000000000001"/>
    <n v="0"/>
    <d v="2024-09-28T00:00:00"/>
    <x v="2"/>
    <x v="2"/>
    <n v="1184.6500000000001"/>
    <s v="NEGATIVE SALES"/>
    <n v="0"/>
  </r>
  <r>
    <n v="2375"/>
    <s v="Ralph"/>
    <s v="Owens"/>
    <s v="Classic Tee"/>
    <n v="0"/>
    <n v="2765.79"/>
    <n v="0.64329729729729801"/>
    <n v="0"/>
    <d v="2024-09-28T00:00:00"/>
    <x v="3"/>
    <x v="0"/>
    <n v="-31.82"/>
    <s v="NEGATIVE SALES"/>
    <n v="0"/>
  </r>
  <r>
    <n v="2376"/>
    <s v="Norman"/>
    <s v="Owens"/>
    <s v="Bomber Jacket"/>
    <n v="0"/>
    <n v="2758.6057999999998"/>
    <n v="0.64329729729729801"/>
    <n v="0"/>
    <d v="2023-11-19T00:00:00"/>
    <x v="4"/>
    <x v="0"/>
    <n v="1900.77"/>
    <s v="NEGATIVE SALES"/>
    <n v="0"/>
  </r>
  <r>
    <n v="2377"/>
    <s v="David"/>
    <s v="Mitchell"/>
    <s v="Classic Tee"/>
    <n v="4"/>
    <n v="4458.4799999999996"/>
    <n v="0.64329729729729801"/>
    <n v="0"/>
    <d v="2024-10-09T00:00:00"/>
    <x v="3"/>
    <x v="2"/>
    <n v="631"/>
    <s v="NEGATIVE SALES"/>
    <n v="17833.919999999998"/>
  </r>
  <r>
    <n v="2378"/>
    <s v="Katie"/>
    <s v="Montoya"/>
    <s v="Straight Cut"/>
    <n v="0"/>
    <n v="1985.49"/>
    <n v="0.64329729729729801"/>
    <n v="0"/>
    <d v="2024-10-09T00:00:00"/>
    <x v="1"/>
    <x v="0"/>
    <n v="-198.55"/>
    <s v="NEGATIVE SALES"/>
    <n v="0"/>
  </r>
  <r>
    <n v="2379"/>
    <s v="Daniel"/>
    <s v="Greer"/>
    <s v="Denim Jacket"/>
    <n v="6"/>
    <n v="2188.7399999999998"/>
    <n v="0.64329729729729801"/>
    <n v="0"/>
    <d v="2024-02-21T00:00:00"/>
    <x v="3"/>
    <x v="0"/>
    <n v="-885.72"/>
    <s v="NEGATIVE SALES"/>
    <n v="13132.44"/>
  </r>
  <r>
    <n v="2380"/>
    <s v="Lacey"/>
    <s v="Buchanan"/>
    <s v="Puffer Coat"/>
    <n v="0"/>
    <n v="3820.42"/>
    <n v="1.03"/>
    <n v="0"/>
    <d v="2025-03-30T00:00:00"/>
    <x v="2"/>
    <x v="2"/>
    <n v="-105.92"/>
    <s v="NEGATIVE SALES"/>
    <n v="0"/>
  </r>
  <r>
    <n v="2381"/>
    <s v="Dr."/>
    <s v="Dawn"/>
    <s v="Sneakers"/>
    <n v="0"/>
    <n v="2757.9648000000002"/>
    <n v="0.64224932249322497"/>
    <n v="0"/>
    <d v="2024-11-24T00:00:00"/>
    <x v="0"/>
    <x v="1"/>
    <n v="103.57"/>
    <s v="NEGATIVE SALES"/>
    <n v="0"/>
  </r>
  <r>
    <n v="2382"/>
    <s v="Jeanette"/>
    <s v="Gordon"/>
    <s v="Bomber Jacket"/>
    <n v="0"/>
    <n v="3440.31"/>
    <n v="0.64224932249322497"/>
    <n v="0"/>
    <d v="2025-05-09T00:00:00"/>
    <x v="3"/>
    <x v="2"/>
    <n v="921.38"/>
    <s v="NEGATIVE SALES"/>
    <n v="0"/>
  </r>
  <r>
    <n v="2383"/>
    <s v="Deborah"/>
    <s v="Weber"/>
    <s v="Boots"/>
    <n v="-2"/>
    <n v="2756.0909999999999"/>
    <n v="0.64224932249322497"/>
    <n v="0"/>
    <d v="2025-05-25T00:00:00"/>
    <x v="5"/>
    <x v="1"/>
    <n v="990.71"/>
    <s v="NEGATIVE SALES"/>
    <n v="-5512.1819999999998"/>
  </r>
  <r>
    <n v="2384"/>
    <s v="Eric"/>
    <s v="Hoffman"/>
    <s v="Denim Jacket"/>
    <n v="3"/>
    <n v="1625.58"/>
    <n v="0.1"/>
    <n v="4389.07"/>
    <d v="2025-07-16T00:00:00"/>
    <x v="4"/>
    <x v="1"/>
    <n v="2368.5500000000002"/>
    <s v="POSITIVE SALES"/>
    <n v="4876.74"/>
  </r>
  <r>
    <n v="2385"/>
    <s v="Diana"/>
    <s v="Hall"/>
    <s v="Wrap Dress"/>
    <n v="0"/>
    <n v="2754.8820999999998"/>
    <n v="0.06"/>
    <n v="0"/>
    <d v="2025-03-29T00:00:00"/>
    <x v="0"/>
    <x v="1"/>
    <n v="-914.91"/>
    <s v="NEGATIVE SALES"/>
    <n v="0"/>
  </r>
  <r>
    <n v="2386"/>
    <s v="Amy"/>
    <s v="Barker"/>
    <s v="Straight Cut"/>
    <n v="0"/>
    <n v="2253.08"/>
    <n v="0.09"/>
    <n v="0"/>
    <d v="2025-03-29T00:00:00"/>
    <x v="1"/>
    <x v="1"/>
    <n v="490.12"/>
    <s v="NEGATIVE SALES"/>
    <n v="0"/>
  </r>
  <r>
    <n v="2387"/>
    <s v="Danielle"/>
    <s v="Davis"/>
    <s v="Caps"/>
    <n v="0"/>
    <n v="3246.04"/>
    <n v="0.64683060109289603"/>
    <n v="0"/>
    <d v="2025-04-26T00:00:00"/>
    <x v="5"/>
    <x v="1"/>
    <n v="-611.03"/>
    <s v="NEGATIVE SALES"/>
    <n v="0"/>
  </r>
  <r>
    <n v="2388"/>
    <s v="Daniel"/>
    <s v="Ray"/>
    <s v="Crop Top"/>
    <n v="-2"/>
    <n v="2757.7741000000001"/>
    <n v="0.64683060109289603"/>
    <n v="0"/>
    <d v="2025-02-26T00:00:00"/>
    <x v="5"/>
    <x v="2"/>
    <n v="-722.21"/>
    <s v="NEGATIVE SALES"/>
    <n v="-5515.5482000000002"/>
  </r>
  <r>
    <n v="2389"/>
    <s v="Renee"/>
    <s v="Martinez"/>
    <s v="Slip-Ons"/>
    <n v="5"/>
    <n v="2756.9069"/>
    <n v="0.64683060109289603"/>
    <n v="0"/>
    <d v="2024-03-22T00:00:00"/>
    <x v="3"/>
    <x v="2"/>
    <n v="2235.23"/>
    <s v="NEGATIVE SALES"/>
    <n v="13784.5345"/>
  </r>
  <r>
    <n v="2390"/>
    <s v="Daniel"/>
    <s v="Hamilton"/>
    <s v="Slim Fit Jeans"/>
    <n v="0"/>
    <n v="3605.36"/>
    <n v="1.01"/>
    <n v="0"/>
    <d v="2025-01-03T00:00:00"/>
    <x v="1"/>
    <x v="2"/>
    <n v="-311.29000000000002"/>
    <s v="NEGATIVE SALES"/>
    <n v="0"/>
  </r>
  <r>
    <n v="2391"/>
    <s v="Debbie"/>
    <s v="Wade"/>
    <s v="Boyfriend Jeans"/>
    <n v="0"/>
    <n v="4473.9399999999996"/>
    <n v="0.64583561643835596"/>
    <n v="0"/>
    <d v="2025-01-03T00:00:00"/>
    <x v="3"/>
    <x v="2"/>
    <n v="1003.14"/>
    <s v="NEGATIVE SALES"/>
    <n v="0"/>
  </r>
  <r>
    <n v="2392"/>
    <s v="Adrienne"/>
    <s v="Anderson"/>
    <s v="Sunglasses"/>
    <n v="3"/>
    <n v="4550.95"/>
    <n v="0.64583561643835596"/>
    <n v="0"/>
    <d v="2025-03-20T00:00:00"/>
    <x v="1"/>
    <x v="1"/>
    <n v="-951.64"/>
    <s v="NEGATIVE SALES"/>
    <n v="13652.85"/>
  </r>
  <r>
    <n v="2393"/>
    <s v="David"/>
    <s v="Snyder"/>
    <s v="Bomber Jacket"/>
    <n v="5"/>
    <n v="753.85"/>
    <n v="0.64583561643835596"/>
    <n v="0"/>
    <d v="2024-11-19T00:00:00"/>
    <x v="0"/>
    <x v="0"/>
    <n v="251.29"/>
    <s v="NEGATIVE SALES"/>
    <n v="3769.25"/>
  </r>
  <r>
    <n v="2394"/>
    <s v="Jennifer"/>
    <s v="Palmer"/>
    <s v="Puffer Coat"/>
    <n v="0"/>
    <n v="3384.51"/>
    <n v="0.64583561643835596"/>
    <n v="0"/>
    <d v="2025-07-01T00:00:00"/>
    <x v="3"/>
    <x v="2"/>
    <n v="2776.41"/>
    <s v="NEGATIVE SALES"/>
    <n v="0"/>
  </r>
  <r>
    <n v="2395"/>
    <s v="Amanda"/>
    <s v="Pham"/>
    <s v="Watches"/>
    <n v="0"/>
    <n v="2752.6914000000002"/>
    <n v="0.64583561643835596"/>
    <n v="0"/>
    <d v="2025-05-20T00:00:00"/>
    <x v="5"/>
    <x v="0"/>
    <n v="1866.74"/>
    <s v="NEGATIVE SALES"/>
    <n v="0"/>
  </r>
  <r>
    <n v="2396"/>
    <s v="Gary"/>
    <s v="Andrade"/>
    <s v="Slim Fit Jeans"/>
    <n v="0"/>
    <n v="2751.5590999999999"/>
    <n v="1.02"/>
    <n v="0"/>
    <d v="2024-11-23T00:00:00"/>
    <x v="5"/>
    <x v="0"/>
    <n v="1965.45"/>
    <s v="NEGATIVE SALES"/>
    <n v="0"/>
  </r>
  <r>
    <n v="2397"/>
    <s v="Austin"/>
    <s v="Quinn"/>
    <s v="Bomber Jacket"/>
    <n v="0"/>
    <n v="1823.51"/>
    <n v="0.64480769230769197"/>
    <n v="0"/>
    <d v="2025-02-16T00:00:00"/>
    <x v="5"/>
    <x v="1"/>
    <n v="378.92"/>
    <s v="NEGATIVE SALES"/>
    <n v="0"/>
  </r>
  <r>
    <n v="2399"/>
    <s v="Amy"/>
    <s v="Frederick"/>
    <s v="Slim Fit Jeans"/>
    <n v="-2"/>
    <n v="3643.5"/>
    <n v="0.64480769230769197"/>
    <n v="0"/>
    <d v="2024-08-04T00:00:00"/>
    <x v="0"/>
    <x v="2"/>
    <n v="1452.6"/>
    <s v="NEGATIVE SALES"/>
    <n v="-7287"/>
  </r>
  <r>
    <n v="2400"/>
    <s v="Whitney"/>
    <s v="Mathis"/>
    <s v="Bodycon"/>
    <n v="0"/>
    <n v="4756.67"/>
    <n v="0.75"/>
    <n v="0"/>
    <d v="2025-06-23T00:00:00"/>
    <x v="4"/>
    <x v="0"/>
    <n v="-442.75"/>
    <s v="NEGATIVE SALES"/>
    <n v="0"/>
  </r>
  <r>
    <n v="2401"/>
    <s v="Kayla"/>
    <s v="Peters"/>
    <s v="Belts"/>
    <n v="2"/>
    <n v="2159.6799999999998"/>
    <n v="0.64451790633608796"/>
    <n v="0"/>
    <d v="2025-01-09T00:00:00"/>
    <x v="4"/>
    <x v="1"/>
    <n v="1873.8"/>
    <s v="NEGATIVE SALES"/>
    <n v="4319.3599999999997"/>
  </r>
  <r>
    <n v="2402"/>
    <s v="Caitlin"/>
    <s v="Callahan"/>
    <s v="Crop Top"/>
    <n v="0"/>
    <n v="744.83"/>
    <n v="0.16"/>
    <n v="0"/>
    <d v="2025-01-09T00:00:00"/>
    <x v="2"/>
    <x v="1"/>
    <n v="2905.06"/>
    <s v="NEGATIVE SALES"/>
    <n v="0"/>
  </r>
  <r>
    <n v="2403"/>
    <s v="Joseph"/>
    <s v="Barton"/>
    <s v="Oversized T-Shirt"/>
    <n v="0"/>
    <n v="2748.7226999999998"/>
    <n v="0.64585635359116"/>
    <n v="0"/>
    <d v="2025-01-29T00:00:00"/>
    <x v="5"/>
    <x v="2"/>
    <n v="2312.7199999999998"/>
    <s v="NEGATIVE SALES"/>
    <n v="0"/>
  </r>
  <r>
    <n v="2404"/>
    <s v="Melissa"/>
    <s v="Norman"/>
    <s v="Caps"/>
    <n v="4"/>
    <n v="2752.3530000000001"/>
    <n v="0.64585635359116"/>
    <n v="0"/>
    <d v="2024-12-31T00:00:00"/>
    <x v="0"/>
    <x v="0"/>
    <n v="-673.77"/>
    <s v="NEGATIVE SALES"/>
    <n v="11009.412"/>
  </r>
  <r>
    <n v="2405"/>
    <s v="Mary"/>
    <s v="Smith"/>
    <s v="Denim Jacket"/>
    <n v="-1"/>
    <n v="1943.21"/>
    <n v="0.64585635359116"/>
    <n v="0"/>
    <d v="2024-12-31T00:00:00"/>
    <x v="1"/>
    <x v="2"/>
    <n v="1039.8599999999999"/>
    <s v="NEGATIVE SALES"/>
    <n v="-1943.21"/>
  </r>
  <r>
    <n v="2406"/>
    <s v="Robert"/>
    <s v="Henderson"/>
    <s v="Slim Fit Jeans"/>
    <n v="0"/>
    <n v="4847.7299999999996"/>
    <n v="0.64585635359116"/>
    <n v="0"/>
    <d v="2024-12-31T00:00:00"/>
    <x v="1"/>
    <x v="2"/>
    <n v="1741"/>
    <s v="NEGATIVE SALES"/>
    <n v="0"/>
  </r>
  <r>
    <n v="2407"/>
    <s v="Laurie"/>
    <s v="Williams"/>
    <s v="Slim Fit Jeans"/>
    <n v="0"/>
    <n v="2753.8215"/>
    <n v="0.64585635359116"/>
    <n v="0"/>
    <d v="2025-05-24T00:00:00"/>
    <x v="1"/>
    <x v="2"/>
    <n v="2990.98"/>
    <s v="NEGATIVE SALES"/>
    <n v="0"/>
  </r>
  <r>
    <n v="2408"/>
    <s v="Jeffrey"/>
    <s v="Owens"/>
    <s v="Casual Midi"/>
    <n v="6"/>
    <n v="2169.73"/>
    <n v="0.64585635359116"/>
    <n v="0"/>
    <d v="2025-05-24T00:00:00"/>
    <x v="3"/>
    <x v="1"/>
    <n v="442.92"/>
    <s v="NEGATIVE SALES"/>
    <n v="13018.38"/>
  </r>
  <r>
    <n v="2409"/>
    <s v="Melinda"/>
    <s v="Cohen"/>
    <s v="Wrap Dress"/>
    <n v="0"/>
    <n v="1430.06"/>
    <n v="0.98"/>
    <n v="0"/>
    <d v="2025-03-28T00:00:00"/>
    <x v="4"/>
    <x v="1"/>
    <n v="-530.32000000000005"/>
    <s v="NEGATIVE SALES"/>
    <n v="0"/>
  </r>
  <r>
    <n v="2410"/>
    <s v="Kevin"/>
    <s v="Miller"/>
    <s v="Caps"/>
    <n v="3"/>
    <n v="2751.0713000000001"/>
    <n v="0.64493074792243799"/>
    <n v="0"/>
    <d v="2025-01-13T00:00:00"/>
    <x v="4"/>
    <x v="1"/>
    <n v="2913.29"/>
    <s v="NEGATIVE SALES"/>
    <n v="8253.2139000000006"/>
  </r>
  <r>
    <n v="2411"/>
    <s v="Jeffrey"/>
    <s v="Martinez"/>
    <s v="Straight Cut"/>
    <n v="-2"/>
    <n v="2753.4819000000002"/>
    <n v="0.64493074792243799"/>
    <n v="0"/>
    <d v="2025-05-14T00:00:00"/>
    <x v="0"/>
    <x v="0"/>
    <n v="458.44"/>
    <s v="NEGATIVE SALES"/>
    <n v="-5506.9638000000004"/>
  </r>
  <r>
    <n v="2412"/>
    <s v="Nicole"/>
    <s v="Smith"/>
    <s v="Straight Cut"/>
    <n v="-1"/>
    <n v="2753.4819000000002"/>
    <n v="0.64493074792243799"/>
    <n v="0"/>
    <d v="2023-10-19T00:00:00"/>
    <x v="0"/>
    <x v="1"/>
    <n v="1676.75"/>
    <s v="NEGATIVE SALES"/>
    <n v="-2753.4819000000002"/>
  </r>
  <r>
    <n v="2413"/>
    <s v="Regina"/>
    <s v="Lewis"/>
    <s v="Loafers"/>
    <n v="0"/>
    <n v="4140.8599999999997"/>
    <n v="0.64493074792243799"/>
    <n v="0"/>
    <d v="2024-10-15T00:00:00"/>
    <x v="0"/>
    <x v="2"/>
    <n v="162.16"/>
    <s v="NEGATIVE SALES"/>
    <n v="0"/>
  </r>
  <r>
    <n v="2415"/>
    <s v="Donald"/>
    <s v="Howard"/>
    <s v="Ripped Denim"/>
    <n v="0"/>
    <n v="3395.67"/>
    <n v="0.64655555555555599"/>
    <n v="0"/>
    <d v="2024-10-16T00:00:00"/>
    <x v="3"/>
    <x v="0"/>
    <n v="1958.51"/>
    <s v="NEGATIVE SALES"/>
    <n v="0"/>
  </r>
  <r>
    <n v="2416"/>
    <s v="Charles"/>
    <s v="Johnson"/>
    <s v="Bodycon"/>
    <n v="0"/>
    <n v="2750.2555000000002"/>
    <n v="1.27"/>
    <n v="0"/>
    <d v="2024-03-13T00:00:00"/>
    <x v="4"/>
    <x v="2"/>
    <n v="1219.82"/>
    <s v="NEGATIVE SALES"/>
    <n v="0"/>
  </r>
  <r>
    <n v="2417"/>
    <s v="Candace"/>
    <s v="Huff"/>
    <s v="Bomber Jacket"/>
    <n v="0"/>
    <n v="4268.68"/>
    <n v="0.67"/>
    <n v="0"/>
    <d v="2024-08-02T00:00:00"/>
    <x v="0"/>
    <x v="1"/>
    <n v="1818.31"/>
    <s v="NEGATIVE SALES"/>
    <n v="0"/>
  </r>
  <r>
    <n v="2418"/>
    <s v="Matthew"/>
    <s v="Good"/>
    <s v="Denim Jacket"/>
    <n v="0"/>
    <n v="3435.95"/>
    <n v="0.36"/>
    <n v="0"/>
    <d v="2024-08-02T00:00:00"/>
    <x v="0"/>
    <x v="1"/>
    <n v="-77.180000000000007"/>
    <s v="NEGATIVE SALES"/>
    <n v="0"/>
  </r>
  <r>
    <n v="2419"/>
    <s v="Rebekah"/>
    <s v="Parker"/>
    <s v="Slip-Ons"/>
    <n v="2"/>
    <n v="1832.16"/>
    <n v="0.64554621848739502"/>
    <n v="0"/>
    <d v="2024-09-17T00:00:00"/>
    <x v="2"/>
    <x v="0"/>
    <n v="2843.62"/>
    <s v="NEGATIVE SALES"/>
    <n v="3664.32"/>
  </r>
  <r>
    <n v="2420"/>
    <s v="Alex"/>
    <s v="Marshall"/>
    <s v="Bomber Jacket"/>
    <n v="0"/>
    <n v="3714.46"/>
    <n v="0.64554621848739502"/>
    <n v="0"/>
    <d v="2025-01-27T00:00:00"/>
    <x v="1"/>
    <x v="0"/>
    <n v="2452.7199999999998"/>
    <s v="NEGATIVE SALES"/>
    <n v="0"/>
  </r>
  <r>
    <n v="2421"/>
    <s v="Ashley"/>
    <s v="Harrison"/>
    <s v="Caps"/>
    <n v="4"/>
    <n v="4411.3900000000003"/>
    <n v="0.64554621848739502"/>
    <n v="0"/>
    <d v="2024-08-12T00:00:00"/>
    <x v="5"/>
    <x v="1"/>
    <n v="-501.29"/>
    <s v="NEGATIVE SALES"/>
    <n v="17645.560000000001"/>
  </r>
  <r>
    <n v="2422"/>
    <s v="Mario"/>
    <s v="Scott"/>
    <s v="Oversized T-Shirt"/>
    <n v="0"/>
    <n v="2744.9031"/>
    <n v="0.22"/>
    <n v="0"/>
    <d v="2024-09-01T00:00:00"/>
    <x v="3"/>
    <x v="1"/>
    <n v="756.56"/>
    <s v="NEGATIVE SALES"/>
    <n v="0"/>
  </r>
  <r>
    <n v="2423"/>
    <s v="Victor"/>
    <s v="Jones"/>
    <s v="Sneakers"/>
    <n v="0"/>
    <n v="2741.817"/>
    <n v="0.64674157303370805"/>
    <n v="0"/>
    <d v="2023-11-26T00:00:00"/>
    <x v="1"/>
    <x v="2"/>
    <n v="2661.66"/>
    <s v="NEGATIVE SALES"/>
    <n v="0"/>
  </r>
  <r>
    <n v="2424"/>
    <s v="James"/>
    <s v="Day"/>
    <s v="Loafers"/>
    <n v="5"/>
    <n v="2476.15"/>
    <n v="0.64674157303370805"/>
    <n v="0"/>
    <d v="2023-12-19T00:00:00"/>
    <x v="4"/>
    <x v="0"/>
    <n v="387.88"/>
    <s v="NEGATIVE SALES"/>
    <n v="12380.75"/>
  </r>
  <r>
    <n v="2425"/>
    <s v="Jeffery"/>
    <s v="Blankenship"/>
    <s v="Wrap Dress"/>
    <n v="0"/>
    <n v="2632.44"/>
    <n v="0.64674157303370805"/>
    <n v="0"/>
    <d v="2024-10-26T00:00:00"/>
    <x v="4"/>
    <x v="1"/>
    <n v="2036.93"/>
    <s v="NEGATIVE SALES"/>
    <n v="0"/>
  </r>
  <r>
    <n v="2426"/>
    <s v="Jacqueline"/>
    <s v="Peck"/>
    <s v="Bomber Jacket"/>
    <n v="0"/>
    <n v="2742.3099000000002"/>
    <n v="0.64674157303370805"/>
    <n v="0"/>
    <d v="2025-07-06T00:00:00"/>
    <x v="0"/>
    <x v="2"/>
    <n v="261.68"/>
    <s v="NEGATIVE SALES"/>
    <n v="0"/>
  </r>
  <r>
    <n v="2427"/>
    <s v="Sean"/>
    <s v="Tran"/>
    <s v="Classic Tee"/>
    <n v="5"/>
    <n v="1510.89"/>
    <n v="0.64674157303370805"/>
    <n v="0"/>
    <d v="2024-11-15T00:00:00"/>
    <x v="3"/>
    <x v="2"/>
    <n v="2959.19"/>
    <s v="NEGATIVE SALES"/>
    <n v="7554.45"/>
  </r>
  <r>
    <n v="2428"/>
    <s v="Craig"/>
    <s v="Miller"/>
    <s v="Loafers"/>
    <n v="-2"/>
    <n v="2742.5140999999999"/>
    <n v="0.64674157303370805"/>
    <n v="0"/>
    <d v="2025-01-17T00:00:00"/>
    <x v="0"/>
    <x v="2"/>
    <n v="1885.43"/>
    <s v="NEGATIVE SALES"/>
    <n v="-5485.0281999999997"/>
  </r>
  <r>
    <n v="2429"/>
    <s v="Melissa"/>
    <s v="Clark"/>
    <s v="Loafers"/>
    <n v="-1"/>
    <n v="4193.1000000000004"/>
    <n v="0.64674157303370805"/>
    <n v="0"/>
    <d v="2024-09-26T00:00:00"/>
    <x v="5"/>
    <x v="0"/>
    <n v="436.03"/>
    <s v="NEGATIVE SALES"/>
    <n v="-4193.1000000000004"/>
  </r>
  <r>
    <n v="2430"/>
    <s v="Alex"/>
    <s v="Nash"/>
    <s v="Ripped Denim"/>
    <n v="0"/>
    <n v="3149.37"/>
    <n v="0.64674157303370805"/>
    <n v="0"/>
    <d v="2024-09-26T00:00:00"/>
    <x v="4"/>
    <x v="0"/>
    <n v="1094.4000000000001"/>
    <s v="NEGATIVE SALES"/>
    <n v="0"/>
  </r>
  <r>
    <n v="2432"/>
    <s v="John"/>
    <s v="Ramirez"/>
    <s v="Denim Jacket"/>
    <n v="1"/>
    <n v="2741.3444"/>
    <n v="0.11"/>
    <n v="0"/>
    <d v="2024-07-24T00:00:00"/>
    <x v="2"/>
    <x v="1"/>
    <n v="2950.78"/>
    <s v="NEGATIVE SALES"/>
    <n v="2741.3444"/>
  </r>
  <r>
    <n v="2433"/>
    <s v="Jared"/>
    <s v="Hill"/>
    <s v="Crop Top"/>
    <n v="0"/>
    <n v="2489.1799999999998"/>
    <n v="0.64805084745762698"/>
    <n v="0"/>
    <d v="2024-08-27T00:00:00"/>
    <x v="1"/>
    <x v="0"/>
    <n v="-22.68"/>
    <s v="NEGATIVE SALES"/>
    <n v="0"/>
  </r>
  <r>
    <n v="2434"/>
    <s v="Patrick"/>
    <s v="Hernandez"/>
    <s v="Leather Jacket"/>
    <n v="0"/>
    <n v="2745.14"/>
    <n v="0.64805084745762698"/>
    <n v="0"/>
    <d v="2024-08-04T00:00:00"/>
    <x v="5"/>
    <x v="2"/>
    <n v="1953.07"/>
    <s v="NEGATIVE SALES"/>
    <n v="0"/>
  </r>
  <r>
    <n v="2435"/>
    <s v="Kenneth"/>
    <s v="Anthony"/>
    <s v="Belts"/>
    <n v="0"/>
    <n v="2745.6201999999998"/>
    <n v="0.64805084745762698"/>
    <n v="0"/>
    <d v="2023-07-29T00:00:00"/>
    <x v="2"/>
    <x v="0"/>
    <n v="2711.18"/>
    <s v="NEGATIVE SALES"/>
    <n v="0"/>
  </r>
  <r>
    <n v="2436"/>
    <s v="Jason"/>
    <s v="Stanley"/>
    <s v="Oversized T-Shirt"/>
    <n v="0"/>
    <n v="2745.6201999999998"/>
    <n v="0.64805084745762698"/>
    <n v="0"/>
    <d v="2023-07-29T00:00:00"/>
    <x v="5"/>
    <x v="2"/>
    <n v="2492.87"/>
    <s v="NEGATIVE SALES"/>
    <n v="0"/>
  </r>
  <r>
    <n v="2437"/>
    <s v="Kyle"/>
    <s v="Jordan"/>
    <s v="Crop Top"/>
    <n v="1"/>
    <n v="1906.91"/>
    <n v="0.97"/>
    <n v="57.21"/>
    <d v="2023-07-29T00:00:00"/>
    <x v="1"/>
    <x v="2"/>
    <n v="440.67"/>
    <s v="POSITIVE SALES"/>
    <n v="1906.91"/>
  </r>
  <r>
    <n v="2438"/>
    <s v="John"/>
    <s v="Fisher"/>
    <s v="Graphic Tee"/>
    <n v="5"/>
    <n v="2745.6201999999998"/>
    <n v="0.6471388101983"/>
    <n v="0"/>
    <d v="2024-03-14T00:00:00"/>
    <x v="5"/>
    <x v="2"/>
    <n v="1037.5"/>
    <s v="NEGATIVE SALES"/>
    <n v="13728.101000000001"/>
  </r>
  <r>
    <n v="2439"/>
    <s v="Sarah"/>
    <s v="Glass"/>
    <s v="Caps"/>
    <n v="0"/>
    <n v="2747.1967"/>
    <n v="0.24"/>
    <n v="0"/>
    <d v="2024-09-27T00:00:00"/>
    <x v="0"/>
    <x v="0"/>
    <n v="-789.39"/>
    <s v="NEGATIVE SALES"/>
    <n v="0"/>
  </r>
  <r>
    <n v="2440"/>
    <s v="Sean"/>
    <s v="Moore"/>
    <s v="Classic Tee"/>
    <n v="0"/>
    <n v="3846.31"/>
    <n v="0.51"/>
    <n v="0"/>
    <d v="2024-09-04T00:00:00"/>
    <x v="4"/>
    <x v="1"/>
    <n v="381.13"/>
    <s v="NEGATIVE SALES"/>
    <n v="0"/>
  </r>
  <r>
    <n v="2441"/>
    <s v="Jessica"/>
    <s v="Gonzalez"/>
    <s v="Wrap Dress"/>
    <n v="0"/>
    <n v="2747.1967"/>
    <n v="0.81"/>
    <n v="0"/>
    <d v="2024-09-04T00:00:00"/>
    <x v="4"/>
    <x v="1"/>
    <n v="1220.9100000000001"/>
    <s v="NEGATIVE SALES"/>
    <n v="0"/>
  </r>
  <r>
    <n v="2442"/>
    <s v="Christine"/>
    <s v="Scott"/>
    <s v="Boyfriend Jeans"/>
    <n v="0"/>
    <n v="2745.1268"/>
    <n v="0.64822857142857204"/>
    <n v="0"/>
    <d v="2025-01-31T00:00:00"/>
    <x v="4"/>
    <x v="0"/>
    <n v="-937.17"/>
    <s v="NEGATIVE SALES"/>
    <n v="0"/>
  </r>
  <r>
    <n v="2443"/>
    <s v="Erin"/>
    <s v="Cook"/>
    <s v="Graphic Tee"/>
    <n v="1"/>
    <n v="4981.8599999999997"/>
    <n v="0.64822857142857204"/>
    <n v="0"/>
    <d v="2024-09-27T00:00:00"/>
    <x v="4"/>
    <x v="1"/>
    <n v="1410.16"/>
    <s v="NEGATIVE SALES"/>
    <n v="4981.8599999999997"/>
  </r>
  <r>
    <n v="2444"/>
    <s v="Alexa"/>
    <s v="Mclaughlin"/>
    <s v="Boyfriend Jeans"/>
    <n v="0"/>
    <n v="3470.88"/>
    <n v="0.64822857142857204"/>
    <n v="0"/>
    <d v="2024-09-27T00:00:00"/>
    <x v="4"/>
    <x v="2"/>
    <n v="638.83000000000004"/>
    <s v="NEGATIVE SALES"/>
    <n v="0"/>
  </r>
  <r>
    <n v="2445"/>
    <s v="Matthew"/>
    <s v="Whitaker"/>
    <s v="Caps"/>
    <n v="0"/>
    <n v="2282.02"/>
    <n v="0.64822857142857204"/>
    <n v="0"/>
    <d v="2025-01-01T00:00:00"/>
    <x v="2"/>
    <x v="0"/>
    <n v="555.12"/>
    <s v="NEGATIVE SALES"/>
    <n v="0"/>
  </r>
  <r>
    <n v="2447"/>
    <s v="Ronald"/>
    <s v="Cohen"/>
    <s v="Maxi Dress"/>
    <n v="6"/>
    <n v="1773.3"/>
    <n v="0.64644699140401196"/>
    <n v="0"/>
    <d v="2024-11-11T00:00:00"/>
    <x v="5"/>
    <x v="1"/>
    <n v="2073.35"/>
    <s v="NEGATIVE SALES"/>
    <n v="10639.8"/>
  </r>
  <r>
    <n v="2448"/>
    <s v="Robert"/>
    <s v="Martinez"/>
    <s v="Denim Jacket"/>
    <n v="3"/>
    <n v="2740.3932"/>
    <n v="0.64644699140401196"/>
    <n v="0"/>
    <d v="2025-07-06T00:00:00"/>
    <x v="0"/>
    <x v="0"/>
    <n v="-244.83"/>
    <s v="NEGATIVE SALES"/>
    <n v="8221.1795999999995"/>
  </r>
  <r>
    <n v="2449"/>
    <s v="James"/>
    <s v="Edwards"/>
    <s v="Boots"/>
    <n v="0"/>
    <n v="2344.38"/>
    <n v="0.64644699140401196"/>
    <n v="0"/>
    <d v="2025-07-06T00:00:00"/>
    <x v="2"/>
    <x v="1"/>
    <n v="419.95"/>
    <s v="NEGATIVE SALES"/>
    <n v="0"/>
  </r>
  <r>
    <n v="2450"/>
    <s v="Elizabeth"/>
    <s v="Rice"/>
    <s v="Caps"/>
    <n v="2"/>
    <n v="3333.87"/>
    <n v="0.64644699140401196"/>
    <n v="0"/>
    <d v="2025-05-05T00:00:00"/>
    <x v="1"/>
    <x v="1"/>
    <n v="1673.63"/>
    <s v="NEGATIVE SALES"/>
    <n v="6667.74"/>
  </r>
  <r>
    <n v="2451"/>
    <s v="Allison"/>
    <s v="Mccann"/>
    <s v="Boots"/>
    <n v="0"/>
    <n v="2742.9845999999998"/>
    <n v="0.64644699140401196"/>
    <n v="0"/>
    <d v="2024-08-31T00:00:00"/>
    <x v="1"/>
    <x v="2"/>
    <n v="1177.96"/>
    <s v="NEGATIVE SALES"/>
    <n v="0"/>
  </r>
  <r>
    <n v="2453"/>
    <s v="Katie"/>
    <s v="Berger"/>
    <s v="Slim Fit Jeans"/>
    <n v="0"/>
    <n v="2741.8591000000001"/>
    <n v="0.72"/>
    <n v="0"/>
    <d v="2024-05-29T00:00:00"/>
    <x v="5"/>
    <x v="2"/>
    <n v="382.31"/>
    <s v="NEGATIVE SALES"/>
    <n v="0"/>
  </r>
  <r>
    <n v="2454"/>
    <s v="Robert"/>
    <s v="Sosa"/>
    <s v="Crop Top"/>
    <n v="3"/>
    <n v="2741.8591000000001"/>
    <n v="0.646235632183908"/>
    <n v="0"/>
    <d v="2024-05-29T00:00:00"/>
    <x v="3"/>
    <x v="1"/>
    <n v="1961.19"/>
    <s v="NEGATIVE SALES"/>
    <n v="8225.5773000000008"/>
  </r>
  <r>
    <n v="2455"/>
    <s v="Anna"/>
    <s v="Hernandez"/>
    <s v="Sneakers"/>
    <n v="0"/>
    <n v="2741.8591000000001"/>
    <n v="0.646235632183908"/>
    <n v="0"/>
    <d v="2024-05-29T00:00:00"/>
    <x v="4"/>
    <x v="1"/>
    <n v="2153.0100000000002"/>
    <s v="NEGATIVE SALES"/>
    <n v="0"/>
  </r>
  <r>
    <n v="2456"/>
    <s v="Robert"/>
    <s v="Nichols"/>
    <s v="Caps"/>
    <n v="0"/>
    <n v="889.88"/>
    <n v="0.646235632183908"/>
    <n v="0"/>
    <d v="2025-02-18T00:00:00"/>
    <x v="1"/>
    <x v="2"/>
    <n v="1607.65"/>
    <s v="NEGATIVE SALES"/>
    <n v="0"/>
  </r>
  <r>
    <n v="2457"/>
    <s v="Angel"/>
    <s v="Gutierrez"/>
    <s v="Leather Jacket"/>
    <n v="6"/>
    <n v="2741.8591000000001"/>
    <n v="1.25"/>
    <n v="0"/>
    <d v="2024-09-15T00:00:00"/>
    <x v="0"/>
    <x v="0"/>
    <n v="179.36"/>
    <s v="NEGATIVE SALES"/>
    <n v="16451.154600000002"/>
  </r>
  <r>
    <n v="2458"/>
    <s v="Stephanie"/>
    <s v="Frank"/>
    <s v="Oversized T-Shirt"/>
    <n v="0"/>
    <n v="2745.3933999999999"/>
    <n v="0.64"/>
    <n v="0"/>
    <d v="2024-11-10T00:00:00"/>
    <x v="0"/>
    <x v="2"/>
    <n v="163.69"/>
    <s v="NEGATIVE SALES"/>
    <n v="0"/>
  </r>
  <r>
    <n v="2459"/>
    <s v="Cindy"/>
    <s v="Anderson"/>
    <s v="Sunglasses"/>
    <n v="0"/>
    <n v="2745.3933999999999"/>
    <n v="0.64450867052023098"/>
    <n v="0"/>
    <d v="2024-11-10T00:00:00"/>
    <x v="2"/>
    <x v="1"/>
    <n v="2616.96"/>
    <s v="NEGATIVE SALES"/>
    <n v="0"/>
  </r>
  <r>
    <n v="2460"/>
    <s v="Jon"/>
    <s v="Hernandez"/>
    <s v="Watches"/>
    <n v="-2"/>
    <n v="3157.28"/>
    <n v="7.0000000000000007E-2"/>
    <n v="-5872.54"/>
    <d v="2023-09-25T00:00:00"/>
    <x v="5"/>
    <x v="1"/>
    <n v="971.15"/>
    <s v="NEGATIVE SALES"/>
    <n v="-6314.56"/>
  </r>
  <r>
    <n v="2461"/>
    <s v="David"/>
    <s v="Alvarez"/>
    <s v="Puffer Coat"/>
    <n v="1"/>
    <n v="4225.58"/>
    <n v="0.64617391304347804"/>
    <n v="0"/>
    <d v="2025-01-28T00:00:00"/>
    <x v="5"/>
    <x v="2"/>
    <n v="-793.29"/>
    <s v="NEGATIVE SALES"/>
    <n v="4225.58"/>
  </r>
  <r>
    <n v="2462"/>
    <s v="John"/>
    <s v="Perry"/>
    <s v="Belts"/>
    <n v="2"/>
    <n v="2123.2199999999998"/>
    <n v="0.64617391304347804"/>
    <n v="0"/>
    <d v="2025-06-25T00:00:00"/>
    <x v="2"/>
    <x v="1"/>
    <n v="2645.36"/>
    <s v="NEGATIVE SALES"/>
    <n v="4246.4399999999996"/>
  </r>
  <r>
    <n v="2463"/>
    <s v="Amanda"/>
    <s v="Schroeder"/>
    <s v="Sunglasses"/>
    <n v="0"/>
    <n v="405.52"/>
    <n v="0.64617391304347804"/>
    <n v="0"/>
    <d v="2025-03-07T00:00:00"/>
    <x v="0"/>
    <x v="1"/>
    <n v="2036.57"/>
    <s v="NEGATIVE SALES"/>
    <n v="0"/>
  </r>
  <r>
    <n v="2464"/>
    <s v="Kendra"/>
    <s v="Alvarado"/>
    <s v="Boots"/>
    <n v="-1"/>
    <n v="2742.9560000000001"/>
    <n v="0.32"/>
    <n v="0"/>
    <d v="2025-04-04T00:00:00"/>
    <x v="5"/>
    <x v="1"/>
    <n v="2742.15"/>
    <s v="NEGATIVE SALES"/>
    <n v="-2742.9560000000001"/>
  </r>
  <r>
    <n v="2465"/>
    <s v="Melanie"/>
    <s v="Howe"/>
    <s v="Straight Cut"/>
    <n v="0"/>
    <n v="493.99"/>
    <n v="0.64712209302325596"/>
    <n v="0"/>
    <d v="2025-01-27T00:00:00"/>
    <x v="5"/>
    <x v="2"/>
    <n v="-365.9"/>
    <s v="NEGATIVE SALES"/>
    <n v="0"/>
  </r>
  <r>
    <n v="2466"/>
    <s v="Kathryn"/>
    <s v="Chang"/>
    <s v="Maxi Dress"/>
    <n v="0"/>
    <n v="2335.61"/>
    <n v="0.17"/>
    <n v="0"/>
    <d v="2025-01-27T00:00:00"/>
    <x v="1"/>
    <x v="2"/>
    <n v="-36.92"/>
    <s v="NEGATIVE SALES"/>
    <n v="0"/>
  </r>
  <r>
    <n v="2467"/>
    <s v="Javier"/>
    <s v="Williams"/>
    <s v="Loafers"/>
    <n v="0"/>
    <n v="2751.7930000000001"/>
    <n v="0.64851311953352797"/>
    <n v="0"/>
    <d v="2025-06-15T00:00:00"/>
    <x v="2"/>
    <x v="0"/>
    <n v="485.02"/>
    <s v="NEGATIVE SALES"/>
    <n v="0"/>
  </r>
  <r>
    <n v="2468"/>
    <s v="Cynthia"/>
    <s v="Rhodes"/>
    <s v="Oversized T-Shirt"/>
    <n v="0"/>
    <n v="2752.5963999999999"/>
    <n v="0.64851311953352797"/>
    <n v="0"/>
    <d v="2025-04-13T00:00:00"/>
    <x v="2"/>
    <x v="1"/>
    <n v="1149.6500000000001"/>
    <s v="NEGATIVE SALES"/>
    <n v="0"/>
  </r>
  <r>
    <n v="2469"/>
    <s v="Travis"/>
    <s v="Boyd"/>
    <s v="Bomber Jacket"/>
    <n v="0"/>
    <n v="4132.13"/>
    <n v="0.64851311953352797"/>
    <n v="0"/>
    <d v="2025-04-29T00:00:00"/>
    <x v="2"/>
    <x v="1"/>
    <n v="828.43"/>
    <s v="NEGATIVE SALES"/>
    <n v="0"/>
  </r>
  <r>
    <n v="2470"/>
    <s v="Ashley"/>
    <s v="Williams"/>
    <s v="Puffer Coat"/>
    <n v="3"/>
    <n v="2752.5963999999999"/>
    <n v="0.74"/>
    <n v="0"/>
    <d v="2024-08-31T00:00:00"/>
    <x v="4"/>
    <x v="2"/>
    <n v="321.20999999999998"/>
    <s v="NEGATIVE SALES"/>
    <n v="8257.7891999999993"/>
  </r>
  <r>
    <n v="2471"/>
    <s v="Christine"/>
    <s v="Decker"/>
    <s v="Slim Fit Jeans"/>
    <n v="0"/>
    <n v="4457.83"/>
    <n v="0.66"/>
    <n v="0"/>
    <d v="2024-08-31T00:00:00"/>
    <x v="4"/>
    <x v="2"/>
    <n v="780.39"/>
    <s v="NEGATIVE SALES"/>
    <n v="0"/>
  </r>
  <r>
    <n v="2472"/>
    <s v="Brandon"/>
    <s v="Flowers"/>
    <s v="Ripped Denim"/>
    <n v="0"/>
    <n v="4357.9399999999996"/>
    <n v="0.33"/>
    <n v="0"/>
    <d v="2024-08-31T00:00:00"/>
    <x v="0"/>
    <x v="2"/>
    <n v="971.5"/>
    <s v="NEGATIVE SALES"/>
    <n v="0"/>
  </r>
  <r>
    <n v="2473"/>
    <s v="Amy"/>
    <s v="Clark"/>
    <s v="Sneakers"/>
    <n v="6"/>
    <n v="408.21"/>
    <n v="1.1599999999999999"/>
    <n v="-391.88"/>
    <d v="2024-08-12T00:00:00"/>
    <x v="0"/>
    <x v="1"/>
    <n v="611.86"/>
    <s v="NEGATIVE SALES"/>
    <n v="2449.2600000000002"/>
  </r>
  <r>
    <n v="2474"/>
    <s v="Timothy"/>
    <s v="Smith"/>
    <s v="Loafers"/>
    <n v="0"/>
    <n v="2743.4893999999999"/>
    <n v="0.64764011799410104"/>
    <n v="0"/>
    <d v="2024-11-09T00:00:00"/>
    <x v="3"/>
    <x v="2"/>
    <n v="-930.79"/>
    <s v="NEGATIVE SALES"/>
    <n v="0"/>
  </r>
  <r>
    <n v="2475"/>
    <s v="Maureen"/>
    <s v="Cohen"/>
    <s v="Leather Jacket"/>
    <n v="5"/>
    <n v="642.48"/>
    <n v="0.17"/>
    <n v="2666.29"/>
    <d v="2024-11-09T00:00:00"/>
    <x v="1"/>
    <x v="0"/>
    <n v="1800.37"/>
    <s v="POSITIVE SALES"/>
    <n v="3212.4"/>
  </r>
  <r>
    <n v="2476"/>
    <s v="Crystal"/>
    <s v="Ortiz"/>
    <s v="Casual Midi"/>
    <n v="5"/>
    <n v="2967.26"/>
    <n v="0.64905325443786999"/>
    <n v="0"/>
    <d v="2024-11-09T00:00:00"/>
    <x v="5"/>
    <x v="2"/>
    <n v="2069.15"/>
    <s v="NEGATIVE SALES"/>
    <n v="14836.3"/>
  </r>
  <r>
    <n v="2477"/>
    <s v="Joshua"/>
    <s v="Knight"/>
    <s v="Boots"/>
    <n v="3"/>
    <n v="3725.14"/>
    <n v="0.64905325443786999"/>
    <n v="0"/>
    <d v="2024-11-09T00:00:00"/>
    <x v="3"/>
    <x v="0"/>
    <n v="1220.32"/>
    <s v="NEGATIVE SALES"/>
    <n v="11175.42"/>
  </r>
  <r>
    <n v="2478"/>
    <s v="Rachael"/>
    <s v="Terrell"/>
    <s v="Bodycon"/>
    <n v="0"/>
    <n v="1904.58"/>
    <n v="0.64905325443786999"/>
    <n v="0"/>
    <d v="2024-09-22T00:00:00"/>
    <x v="2"/>
    <x v="2"/>
    <n v="2090.91"/>
    <s v="NEGATIVE SALES"/>
    <n v="0"/>
  </r>
  <r>
    <n v="2479"/>
    <s v="Kimberly"/>
    <s v="Andrews"/>
    <s v="Slip-Ons"/>
    <n v="-1"/>
    <n v="2749.8121000000001"/>
    <n v="1.1100000000000001"/>
    <n v="0"/>
    <d v="2025-02-08T00:00:00"/>
    <x v="4"/>
    <x v="2"/>
    <n v="81.23"/>
    <s v="NEGATIVE SALES"/>
    <n v="-2749.8121000000001"/>
  </r>
  <r>
    <n v="2480"/>
    <s v="John"/>
    <s v="Lawrence"/>
    <s v="Sneakers"/>
    <n v="0"/>
    <n v="2751.4694"/>
    <n v="0.14000000000000001"/>
    <n v="0"/>
    <d v="2024-10-08T00:00:00"/>
    <x v="3"/>
    <x v="1"/>
    <n v="1556.81"/>
    <s v="NEGATIVE SALES"/>
    <n v="0"/>
  </r>
  <r>
    <n v="2481"/>
    <s v="Laura"/>
    <s v="Chen"/>
    <s v="Bomber Jacket"/>
    <n v="0"/>
    <n v="2751.4694"/>
    <n v="0.64919642857142901"/>
    <n v="0"/>
    <d v="2025-04-27T00:00:00"/>
    <x v="2"/>
    <x v="1"/>
    <n v="142.82"/>
    <s v="NEGATIVE SALES"/>
    <n v="0"/>
  </r>
  <r>
    <n v="2483"/>
    <s v="Kristin"/>
    <s v="Scott"/>
    <s v="Wrap Dress"/>
    <n v="0"/>
    <n v="2751.4694"/>
    <n v="0.96"/>
    <n v="0"/>
    <d v="2025-05-13T00:00:00"/>
    <x v="4"/>
    <x v="2"/>
    <n v="-369.21"/>
    <s v="NEGATIVE SALES"/>
    <n v="0"/>
  </r>
  <r>
    <n v="2484"/>
    <s v="Matthew"/>
    <s v="Alvarez"/>
    <s v="Graphic Tee"/>
    <n v="0"/>
    <n v="2748.1532000000002"/>
    <n v="0.64826865671641798"/>
    <n v="0"/>
    <d v="2024-11-26T00:00:00"/>
    <x v="4"/>
    <x v="0"/>
    <n v="516.5"/>
    <s v="NEGATIVE SALES"/>
    <n v="0"/>
  </r>
  <r>
    <n v="2486"/>
    <s v="Heather"/>
    <s v="Flores"/>
    <s v="Leather Jacket"/>
    <n v="-2"/>
    <n v="2748.1532000000002"/>
    <n v="0.64826865671641798"/>
    <n v="0"/>
    <d v="2024-08-03T00:00:00"/>
    <x v="1"/>
    <x v="1"/>
    <n v="2082.36"/>
    <s v="NEGATIVE SALES"/>
    <n v="-5496.3064000000004"/>
  </r>
  <r>
    <n v="2487"/>
    <s v="Jill"/>
    <s v="Eaton"/>
    <s v="Leather Jacket"/>
    <n v="-2"/>
    <n v="2749.4222"/>
    <n v="0.64826865671641798"/>
    <n v="0"/>
    <d v="2025-02-18T00:00:00"/>
    <x v="2"/>
    <x v="1"/>
    <n v="-395.34"/>
    <s v="NEGATIVE SALES"/>
    <n v="-5498.8444"/>
  </r>
  <r>
    <n v="2488"/>
    <s v="Amy"/>
    <s v="Potts"/>
    <s v="Bomber Jacket"/>
    <n v="0"/>
    <n v="718.84"/>
    <n v="0.53"/>
    <n v="0"/>
    <d v="2024-02-13T00:00:00"/>
    <x v="1"/>
    <x v="2"/>
    <n v="528.71"/>
    <s v="NEGATIVE SALES"/>
    <n v="0"/>
  </r>
  <r>
    <n v="2489"/>
    <s v="Antonio"/>
    <s v="Woods"/>
    <s v="Boots"/>
    <n v="0"/>
    <n v="2749.4222"/>
    <n v="0.64862275449101803"/>
    <n v="0"/>
    <d v="2025-07-04T00:00:00"/>
    <x v="4"/>
    <x v="1"/>
    <n v="-194.49"/>
    <s v="NEGATIVE SALES"/>
    <n v="0"/>
  </r>
  <r>
    <n v="2490"/>
    <s v="Cindy"/>
    <s v="Zamora"/>
    <s v="Oversized T-Shirt"/>
    <n v="5"/>
    <n v="688.38"/>
    <n v="0.64862275449101803"/>
    <n v="0"/>
    <d v="2024-11-28T00:00:00"/>
    <x v="3"/>
    <x v="1"/>
    <n v="-25.21"/>
    <s v="NEGATIVE SALES"/>
    <n v="3441.9"/>
  </r>
  <r>
    <n v="2491"/>
    <s v="Amanda"/>
    <s v="Day"/>
    <s v="Sneakers"/>
    <n v="0"/>
    <n v="2753.4272999999998"/>
    <n v="0.68"/>
    <n v="0"/>
    <d v="2024-08-13T00:00:00"/>
    <x v="3"/>
    <x v="0"/>
    <n v="2466.0100000000002"/>
    <s v="NEGATIVE SALES"/>
    <n v="0"/>
  </r>
  <r>
    <n v="2492"/>
    <s v="Miss"/>
    <s v="Roberta"/>
    <s v="Bomber Jacket"/>
    <n v="-1"/>
    <n v="2757.5084000000002"/>
    <n v="0.64852852852852905"/>
    <n v="0"/>
    <d v="2025-07-07T00:00:00"/>
    <x v="3"/>
    <x v="0"/>
    <n v="549.15"/>
    <s v="NEGATIVE SALES"/>
    <n v="-2757.5084000000002"/>
  </r>
  <r>
    <n v="2493"/>
    <s v="Brian"/>
    <s v="Taylor"/>
    <s v="Maxi Dress"/>
    <n v="2"/>
    <n v="2757.5084000000002"/>
    <n v="0.92"/>
    <n v="0"/>
    <d v="2025-07-07T00:00:00"/>
    <x v="1"/>
    <x v="1"/>
    <n v="452.38"/>
    <s v="NEGATIVE SALES"/>
    <n v="5515.0168000000003"/>
  </r>
  <r>
    <n v="2494"/>
    <s v="Mark"/>
    <s v="Bonilla"/>
    <s v="Loafers"/>
    <n v="3"/>
    <n v="2757.5084000000002"/>
    <n v="1.1599999999999999"/>
    <n v="0"/>
    <d v="2025-05-05T00:00:00"/>
    <x v="5"/>
    <x v="2"/>
    <n v="1753.67"/>
    <s v="NEGATIVE SALES"/>
    <n v="8272.5252"/>
  </r>
  <r>
    <n v="2495"/>
    <s v="Carrie"/>
    <s v="Larson"/>
    <s v="Slim Fit Jeans"/>
    <n v="0"/>
    <n v="1106.0899999999999"/>
    <n v="0.64616314199395797"/>
    <n v="0"/>
    <d v="2023-09-28T00:00:00"/>
    <x v="0"/>
    <x v="0"/>
    <n v="1838.39"/>
    <s v="NEGATIVE SALES"/>
    <n v="0"/>
  </r>
  <r>
    <n v="2496"/>
    <s v="Brian"/>
    <s v="Howard"/>
    <s v="Puffer Coat"/>
    <n v="-2"/>
    <n v="2757.5084000000002"/>
    <n v="0.64616314199395797"/>
    <n v="0"/>
    <d v="2025-05-23T00:00:00"/>
    <x v="0"/>
    <x v="1"/>
    <n v="2882.47"/>
    <s v="NEGATIVE SALES"/>
    <n v="-5515.0168000000003"/>
  </r>
  <r>
    <n v="2497"/>
    <s v="Darren"/>
    <s v="Bailey"/>
    <s v="Watches"/>
    <n v="1"/>
    <n v="3607.5"/>
    <n v="0.64616314199395797"/>
    <n v="0"/>
    <d v="2025-01-13T00:00:00"/>
    <x v="1"/>
    <x v="2"/>
    <n v="-341.21"/>
    <s v="NEGATIVE SALES"/>
    <n v="3607.5"/>
  </r>
  <r>
    <n v="2498"/>
    <s v="Wanda"/>
    <s v="Medina"/>
    <s v="Puffer Coat"/>
    <n v="4"/>
    <n v="2043.67"/>
    <n v="0.64616314199395797"/>
    <n v="0"/>
    <d v="2023-09-07T00:00:00"/>
    <x v="4"/>
    <x v="0"/>
    <n v="-24.72"/>
    <s v="NEGATIVE SALES"/>
    <n v="8174.68"/>
  </r>
  <r>
    <n v="2499"/>
    <s v="Heather"/>
    <s v="Taylor"/>
    <s v="Casual Midi"/>
    <n v="-2"/>
    <n v="4638.76"/>
    <n v="0.64616314199395797"/>
    <n v="0"/>
    <d v="2025-01-20T00:00:00"/>
    <x v="5"/>
    <x v="1"/>
    <n v="379.89"/>
    <s v="NEGATIVE SALES"/>
    <n v="-9277.52"/>
  </r>
  <r>
    <n v="2500"/>
    <s v="Kenneth"/>
    <s v="Hooper"/>
    <s v="Watches"/>
    <n v="5"/>
    <n v="2760.5207999999998"/>
    <n v="0.92"/>
    <n v="0"/>
    <d v="2024-07-30T00:00:00"/>
    <x v="0"/>
    <x v="2"/>
    <n v="765.43"/>
    <s v="NEGATIVE SALES"/>
    <n v="13802.603999999999"/>
  </r>
  <r>
    <n v="2501"/>
    <s v="Eric"/>
    <s v="Rogers"/>
    <s v="Maxi Dress"/>
    <n v="0"/>
    <n v="2756.7793000000001"/>
    <n v="0.64533333333333398"/>
    <n v="0"/>
    <d v="2024-07-30T00:00:00"/>
    <x v="1"/>
    <x v="2"/>
    <n v="106.21"/>
    <s v="NEGATIVE SALES"/>
    <n v="0"/>
  </r>
  <r>
    <n v="2502"/>
    <s v="Trevor"/>
    <s v="Lynch"/>
    <s v="Loafers"/>
    <n v="0"/>
    <n v="2756.7793000000001"/>
    <n v="1"/>
    <n v="0"/>
    <d v="2025-07-17T00:00:00"/>
    <x v="2"/>
    <x v="2"/>
    <n v="653.4"/>
    <s v="NEGATIVE SALES"/>
    <n v="0"/>
  </r>
  <r>
    <n v="2503"/>
    <s v="Amy"/>
    <s v="Robinson"/>
    <s v="Sunglasses"/>
    <n v="0"/>
    <n v="1259.22"/>
    <n v="0.64425531914893597"/>
    <n v="0"/>
    <d v="2024-07-26T00:00:00"/>
    <x v="3"/>
    <x v="1"/>
    <n v="120.44"/>
    <s v="NEGATIVE SALES"/>
    <n v="0"/>
  </r>
  <r>
    <n v="2504"/>
    <s v="Jeremiah"/>
    <s v="Salas"/>
    <s v="Wrap Dress"/>
    <n v="2"/>
    <n v="2756.7793000000001"/>
    <n v="1.2"/>
    <n v="0"/>
    <d v="2024-07-26T00:00:00"/>
    <x v="1"/>
    <x v="2"/>
    <n v="-757.99"/>
    <s v="NEGATIVE SALES"/>
    <n v="5513.5586000000003"/>
  </r>
  <r>
    <n v="2505"/>
    <s v="Jeff"/>
    <s v="Dorsey"/>
    <s v="Sneakers"/>
    <n v="-1"/>
    <n v="1258.77"/>
    <n v="0.71"/>
    <n v="-365.04"/>
    <d v="2025-01-01T00:00:00"/>
    <x v="5"/>
    <x v="2"/>
    <n v="549.6"/>
    <s v="NEGATIVE SALES"/>
    <n v="-1258.77"/>
  </r>
  <r>
    <n v="2506"/>
    <s v="Shannon"/>
    <s v="Bean"/>
    <s v="Leather Jacket"/>
    <n v="0"/>
    <n v="2759.7685000000001"/>
    <n v="0.642354740061162"/>
    <n v="0"/>
    <d v="2024-12-23T00:00:00"/>
    <x v="5"/>
    <x v="2"/>
    <n v="1734.31"/>
    <s v="NEGATIVE SALES"/>
    <n v="0"/>
  </r>
  <r>
    <n v="2507"/>
    <s v="Allison"/>
    <s v="Miller"/>
    <s v="Graphic Tee"/>
    <n v="0"/>
    <n v="2762.7705000000001"/>
    <n v="0.642354740061162"/>
    <n v="0"/>
    <d v="2025-06-13T00:00:00"/>
    <x v="1"/>
    <x v="0"/>
    <n v="339.83"/>
    <s v="NEGATIVE SALES"/>
    <n v="0"/>
  </r>
  <r>
    <n v="2508"/>
    <s v="Sean"/>
    <s v="Rogers"/>
    <s v="Oversized T-Shirt"/>
    <n v="0"/>
    <n v="4245.43"/>
    <n v="0.642354740061162"/>
    <n v="0"/>
    <d v="2025-03-23T00:00:00"/>
    <x v="3"/>
    <x v="2"/>
    <n v="-556.03"/>
    <s v="NEGATIVE SALES"/>
    <n v="0"/>
  </r>
  <r>
    <n v="2509"/>
    <s v="William"/>
    <s v="Wells"/>
    <s v="Puffer Coat"/>
    <n v="5"/>
    <n v="2762.7705000000001"/>
    <n v="0.642354740061162"/>
    <n v="0"/>
    <d v="2024-09-03T00:00:00"/>
    <x v="4"/>
    <x v="1"/>
    <n v="1995.3"/>
    <s v="NEGATIVE SALES"/>
    <n v="13813.852500000001"/>
  </r>
  <r>
    <n v="2510"/>
    <s v="John"/>
    <s v="Hayes"/>
    <s v="Maxi Dress"/>
    <n v="0"/>
    <n v="2759.7991999999999"/>
    <n v="0.642354740061162"/>
    <n v="0"/>
    <d v="2024-09-03T00:00:00"/>
    <x v="0"/>
    <x v="0"/>
    <n v="-530.80999999999995"/>
    <s v="NEGATIVE SALES"/>
    <n v="0"/>
  </r>
  <r>
    <n v="2511"/>
    <s v="Hannah"/>
    <s v="Jackson"/>
    <s v="Bomber Jacket"/>
    <n v="0"/>
    <n v="2822.43"/>
    <n v="1"/>
    <n v="0"/>
    <d v="2025-03-14T00:00:00"/>
    <x v="3"/>
    <x v="0"/>
    <n v="2522.48"/>
    <s v="NEGATIVE SALES"/>
    <n v="0"/>
  </r>
  <r>
    <n v="2512"/>
    <s v="Kim"/>
    <s v="Chavez"/>
    <s v="Boyfriend Jeans"/>
    <n v="0"/>
    <n v="2759.7991999999999"/>
    <n v="0.53"/>
    <n v="0"/>
    <d v="2024-10-15T00:00:00"/>
    <x v="3"/>
    <x v="1"/>
    <n v="958.94"/>
    <s v="NEGATIVE SALES"/>
    <n v="0"/>
  </r>
  <r>
    <n v="2513"/>
    <s v="Robert"/>
    <s v="Burnett"/>
    <s v="Maxi Dress"/>
    <n v="0"/>
    <n v="3625.99"/>
    <n v="0.93"/>
    <n v="0"/>
    <d v="2024-12-05T00:00:00"/>
    <x v="0"/>
    <x v="0"/>
    <n v="1552.29"/>
    <s v="NEGATIVE SALES"/>
    <n v="0"/>
  </r>
  <r>
    <n v="2514"/>
    <s v="Cory"/>
    <s v="Evans"/>
    <s v="Straight Cut"/>
    <n v="4"/>
    <n v="2759.6734000000001"/>
    <n v="0.1"/>
    <n v="0"/>
    <d v="2025-05-17T00:00:00"/>
    <x v="5"/>
    <x v="2"/>
    <n v="-862.68"/>
    <s v="NEGATIVE SALES"/>
    <n v="11038.693600000001"/>
  </r>
  <r>
    <n v="2515"/>
    <s v="Amanda"/>
    <s v="Benson"/>
    <s v="Denim Jacket"/>
    <n v="3"/>
    <n v="2757.9303"/>
    <n v="0.64238390092879305"/>
    <n v="0"/>
    <d v="2025-05-17T00:00:00"/>
    <x v="3"/>
    <x v="1"/>
    <n v="2802.1"/>
    <s v="NEGATIVE SALES"/>
    <n v="8273.7909"/>
  </r>
  <r>
    <n v="2516"/>
    <s v="Ashley"/>
    <s v="Martin"/>
    <s v="Ripped Denim"/>
    <n v="1"/>
    <n v="1927.87"/>
    <n v="0.64238390092879305"/>
    <n v="0"/>
    <d v="2025-06-17T00:00:00"/>
    <x v="0"/>
    <x v="2"/>
    <n v="-876.36"/>
    <s v="NEGATIVE SALES"/>
    <n v="1927.87"/>
  </r>
  <r>
    <n v="2517"/>
    <s v="Courtney"/>
    <s v="Smith"/>
    <s v="Boots"/>
    <n v="2"/>
    <n v="2757.9303"/>
    <n v="0.2"/>
    <n v="0"/>
    <d v="2024-12-15T00:00:00"/>
    <x v="4"/>
    <x v="1"/>
    <n v="409.12"/>
    <s v="NEGATIVE SALES"/>
    <n v="5515.8606"/>
  </r>
  <r>
    <n v="2518"/>
    <s v="Selena"/>
    <s v="Johnson"/>
    <s v="Boots"/>
    <n v="6"/>
    <n v="773.28"/>
    <n v="0.64375776397515605"/>
    <n v="0"/>
    <d v="2025-03-28T00:00:00"/>
    <x v="4"/>
    <x v="1"/>
    <n v="608.25"/>
    <s v="NEGATIVE SALES"/>
    <n v="4639.68"/>
  </r>
  <r>
    <n v="2519"/>
    <s v="Anthony"/>
    <s v="Contreras"/>
    <s v="Maxi Dress"/>
    <n v="0"/>
    <n v="3873.82"/>
    <n v="0.99"/>
    <n v="0"/>
    <d v="2024-09-14T00:00:00"/>
    <x v="0"/>
    <x v="1"/>
    <n v="2122.44"/>
    <s v="NEGATIVE SALES"/>
    <n v="0"/>
  </r>
  <r>
    <n v="2520"/>
    <s v="Michelle"/>
    <s v="Greene"/>
    <s v="Straight Cut"/>
    <n v="1"/>
    <n v="2581.19"/>
    <n v="1.04"/>
    <n v="-103.25"/>
    <d v="2024-05-06T00:00:00"/>
    <x v="5"/>
    <x v="2"/>
    <n v="2944.11"/>
    <s v="NEGATIVE SALES"/>
    <n v="2581.19"/>
  </r>
  <r>
    <n v="2521"/>
    <s v="Jennifer"/>
    <s v="Ortiz"/>
    <s v="Wrap Dress"/>
    <n v="0"/>
    <n v="2761.3692999999998"/>
    <n v="0.64143749999999999"/>
    <n v="0"/>
    <d v="2024-09-03T00:00:00"/>
    <x v="2"/>
    <x v="0"/>
    <n v="140.18"/>
    <s v="NEGATIVE SALES"/>
    <n v="0"/>
  </r>
  <r>
    <n v="2522"/>
    <s v="Russell"/>
    <s v="King"/>
    <s v="Wrap Dress"/>
    <n v="4"/>
    <n v="2847.02"/>
    <n v="0.56999999999999995"/>
    <n v="4896.87"/>
    <d v="2023-09-02T00:00:00"/>
    <x v="4"/>
    <x v="1"/>
    <n v="1592.04"/>
    <s v="POSITIVE SALES"/>
    <n v="11388.08"/>
  </r>
  <r>
    <n v="2523"/>
    <s v="Alyssa"/>
    <s v="Horn"/>
    <s v="Caps"/>
    <n v="0"/>
    <n v="2840.78"/>
    <n v="0.64166144200626996"/>
    <n v="0"/>
    <d v="2024-09-30T00:00:00"/>
    <x v="4"/>
    <x v="1"/>
    <n v="-836.39"/>
    <s v="NEGATIVE SALES"/>
    <n v="0"/>
  </r>
  <r>
    <n v="2524"/>
    <s v="Carlos"/>
    <s v="Valencia"/>
    <s v="Oversized T-Shirt"/>
    <n v="0"/>
    <n v="3539.22"/>
    <n v="0.64166144200626996"/>
    <n v="0"/>
    <d v="2024-09-05T00:00:00"/>
    <x v="3"/>
    <x v="1"/>
    <n v="1991.27"/>
    <s v="NEGATIVE SALES"/>
    <n v="0"/>
  </r>
  <r>
    <n v="2525"/>
    <s v="Erica"/>
    <s v="Smith"/>
    <s v="Puffer Coat"/>
    <n v="0"/>
    <n v="3046.11"/>
    <n v="0.64166144200626996"/>
    <n v="0"/>
    <d v="2025-04-29T00:00:00"/>
    <x v="3"/>
    <x v="1"/>
    <n v="-190.66"/>
    <s v="NEGATIVE SALES"/>
    <n v="0"/>
  </r>
  <r>
    <n v="2526"/>
    <s v="Brianna"/>
    <s v="Bonilla"/>
    <s v="Belts"/>
    <n v="0"/>
    <n v="2759.8126999999999"/>
    <n v="0.94"/>
    <n v="0"/>
    <d v="2025-04-29T00:00:00"/>
    <x v="2"/>
    <x v="2"/>
    <n v="2853.61"/>
    <s v="NEGATIVE SALES"/>
    <n v="0"/>
  </r>
  <r>
    <n v="2527"/>
    <s v="Steven"/>
    <s v="Reed"/>
    <s v="Slip-Ons"/>
    <n v="-1"/>
    <n v="4057.33"/>
    <n v="1.22"/>
    <n v="892.61"/>
    <d v="2025-04-29T00:00:00"/>
    <x v="3"/>
    <x v="0"/>
    <n v="385.15"/>
    <s v="POSITIVE SALES"/>
    <n v="-4057.33"/>
  </r>
  <r>
    <n v="2528"/>
    <s v="Dr."/>
    <s v="Jacqueline"/>
    <s v="Sneakers"/>
    <n v="-1"/>
    <n v="2759.2271999999998"/>
    <n v="0.02"/>
    <n v="0"/>
    <d v="2025-06-08T00:00:00"/>
    <x v="0"/>
    <x v="1"/>
    <n v="-634.46"/>
    <s v="NEGATIVE SALES"/>
    <n v="-2759.2271999999998"/>
  </r>
  <r>
    <n v="2529"/>
    <s v="Kathryn"/>
    <s v="Green"/>
    <s v="Crop Top"/>
    <n v="0"/>
    <n v="419.25"/>
    <n v="0.64085443037974699"/>
    <n v="0"/>
    <d v="2025-06-08T00:00:00"/>
    <x v="2"/>
    <x v="2"/>
    <n v="1726.68"/>
    <s v="NEGATIVE SALES"/>
    <n v="0"/>
  </r>
  <r>
    <n v="2531"/>
    <s v="Ricky"/>
    <s v="Nelson"/>
    <s v="Graphic Tee"/>
    <n v="2"/>
    <n v="816.33"/>
    <n v="0.64085443037974699"/>
    <n v="0"/>
    <d v="2024-12-12T00:00:00"/>
    <x v="2"/>
    <x v="0"/>
    <n v="868.11"/>
    <s v="NEGATIVE SALES"/>
    <n v="1632.66"/>
  </r>
  <r>
    <n v="2532"/>
    <s v="Joshua"/>
    <s v="Greer"/>
    <s v="Sneakers"/>
    <n v="0"/>
    <n v="1863.19"/>
    <n v="0.01"/>
    <n v="0"/>
    <d v="2024-12-12T00:00:00"/>
    <x v="2"/>
    <x v="2"/>
    <n v="-371.04"/>
    <s v="NEGATIVE SALES"/>
    <n v="0"/>
  </r>
  <r>
    <n v="2533"/>
    <s v="Nicholas"/>
    <s v="Dennis"/>
    <s v="Maxi Dress"/>
    <n v="0"/>
    <n v="3960.8"/>
    <n v="0.03"/>
    <n v="0"/>
    <d v="2025-01-09T00:00:00"/>
    <x v="2"/>
    <x v="1"/>
    <n v="1266.8800000000001"/>
    <s v="NEGATIVE SALES"/>
    <n v="0"/>
  </r>
  <r>
    <n v="2534"/>
    <s v="Crystal"/>
    <s v="Hubbard"/>
    <s v="Classic Tee"/>
    <n v="4"/>
    <n v="687.34"/>
    <n v="1.21"/>
    <n v="-577.37"/>
    <d v="2025-01-14T00:00:00"/>
    <x v="0"/>
    <x v="2"/>
    <n v="-234.42"/>
    <s v="NEGATIVE SALES"/>
    <n v="2749.36"/>
  </r>
  <r>
    <n v="2535"/>
    <s v="Jessica"/>
    <s v="Garrett"/>
    <s v="Belts"/>
    <n v="0"/>
    <n v="2764.7628"/>
    <n v="0.64300319488817903"/>
    <n v="0"/>
    <d v="2024-09-08T00:00:00"/>
    <x v="0"/>
    <x v="0"/>
    <n v="782.05"/>
    <s v="NEGATIVE SALES"/>
    <n v="0"/>
  </r>
  <r>
    <n v="2536"/>
    <s v="Randall"/>
    <s v="Bruce"/>
    <s v="Slim Fit Jeans"/>
    <n v="0"/>
    <n v="2769.0639000000001"/>
    <n v="0.64300319488817903"/>
    <n v="0"/>
    <d v="2024-09-08T00:00:00"/>
    <x v="2"/>
    <x v="0"/>
    <n v="2685.77"/>
    <s v="NEGATIVE SALES"/>
    <n v="0"/>
  </r>
  <r>
    <n v="2537"/>
    <s v="Christopher"/>
    <s v="Moore"/>
    <s v="Sneakers"/>
    <n v="0"/>
    <n v="3449.08"/>
    <n v="1.0900000000000001"/>
    <n v="0"/>
    <d v="2024-03-08T00:00:00"/>
    <x v="3"/>
    <x v="0"/>
    <n v="181.11"/>
    <s v="NEGATIVE SALES"/>
    <n v="0"/>
  </r>
  <r>
    <n v="2538"/>
    <s v="James"/>
    <s v="Aguilar"/>
    <s v="Casual Midi"/>
    <n v="0"/>
    <n v="2769.0639000000001"/>
    <n v="0.64157051282051303"/>
    <n v="0"/>
    <d v="2025-06-08T00:00:00"/>
    <x v="5"/>
    <x v="0"/>
    <n v="-705.34"/>
    <s v="NEGATIVE SALES"/>
    <n v="0"/>
  </r>
  <r>
    <n v="2539"/>
    <s v="Mr."/>
    <s v="Wayne"/>
    <s v="Bomber Jacket"/>
    <n v="4"/>
    <n v="2767.6529999999998"/>
    <n v="0.64157051282051303"/>
    <n v="0"/>
    <d v="2025-06-08T00:00:00"/>
    <x v="2"/>
    <x v="2"/>
    <n v="2989.83"/>
    <s v="NEGATIVE SALES"/>
    <n v="11070.611999999999"/>
  </r>
  <r>
    <n v="2540"/>
    <s v="Yvonne"/>
    <s v="Perez"/>
    <s v="Slim Fit Jeans"/>
    <n v="0"/>
    <n v="799.82"/>
    <n v="0.64157051282051303"/>
    <n v="0"/>
    <d v="2025-06-05T00:00:00"/>
    <x v="5"/>
    <x v="0"/>
    <n v="1358.09"/>
    <s v="NEGATIVE SALES"/>
    <n v="0"/>
  </r>
  <r>
    <n v="2541"/>
    <s v="Michael"/>
    <s v="Deleon"/>
    <s v="Ripped Denim"/>
    <n v="3"/>
    <n v="2767.6529999999998"/>
    <n v="0.64157051282051303"/>
    <n v="0"/>
    <d v="2024-10-09T00:00:00"/>
    <x v="0"/>
    <x v="2"/>
    <n v="404.87"/>
    <s v="NEGATIVE SALES"/>
    <n v="8302.9590000000007"/>
  </r>
  <r>
    <n v="2542"/>
    <s v="Miss"/>
    <s v="Natalie"/>
    <s v="Bomber Jacket"/>
    <n v="3"/>
    <n v="2771.7442000000001"/>
    <n v="0.42"/>
    <n v="0"/>
    <d v="2025-03-06T00:00:00"/>
    <x v="3"/>
    <x v="1"/>
    <n v="379.4"/>
    <s v="NEGATIVE SALES"/>
    <n v="8315.2325999999994"/>
  </r>
  <r>
    <n v="2543"/>
    <s v="Kevin"/>
    <s v="Allison"/>
    <s v="Classic Tee"/>
    <n v="4"/>
    <n v="3501.9"/>
    <n v="0.64228295819935699"/>
    <n v="0"/>
    <d v="2023-10-22T00:00:00"/>
    <x v="5"/>
    <x v="1"/>
    <n v="1747.96"/>
    <s v="NEGATIVE SALES"/>
    <n v="14007.6"/>
  </r>
  <r>
    <n v="2544"/>
    <s v="Douglas"/>
    <s v="Scott"/>
    <s v="Sunglasses"/>
    <n v="0"/>
    <n v="3205.96"/>
    <n v="0.64228295819935699"/>
    <n v="0"/>
    <d v="2024-09-13T00:00:00"/>
    <x v="2"/>
    <x v="2"/>
    <n v="1764.26"/>
    <s v="NEGATIVE SALES"/>
    <n v="0"/>
  </r>
  <r>
    <n v="2545"/>
    <s v="Rachel"/>
    <s v="Williams"/>
    <s v="Bodycon"/>
    <n v="0"/>
    <n v="2109.08"/>
    <n v="0.64228295819935699"/>
    <n v="0"/>
    <d v="2025-05-05T00:00:00"/>
    <x v="0"/>
    <x v="2"/>
    <n v="1633.57"/>
    <s v="NEGATIVE SALES"/>
    <n v="0"/>
  </r>
  <r>
    <n v="2546"/>
    <s v="Traci"/>
    <s v="Jennings"/>
    <s v="Classic Tee"/>
    <n v="1"/>
    <n v="3574.54"/>
    <n v="0.64228295819935699"/>
    <n v="0"/>
    <d v="2024-08-09T00:00:00"/>
    <x v="2"/>
    <x v="0"/>
    <n v="-305.77"/>
    <s v="NEGATIVE SALES"/>
    <n v="3574.54"/>
  </r>
  <r>
    <n v="2547"/>
    <s v="Ryan"/>
    <s v="Braun"/>
    <s v="Slip-Ons"/>
    <n v="0"/>
    <n v="4896.32"/>
    <n v="1.26"/>
    <n v="0"/>
    <d v="2024-12-08T00:00:00"/>
    <x v="0"/>
    <x v="2"/>
    <n v="2391.23"/>
    <s v="NEGATIVE SALES"/>
    <n v="0"/>
  </r>
  <r>
    <n v="2548"/>
    <s v="Patrick"/>
    <s v="Hill"/>
    <s v="Bodycon"/>
    <n v="-1"/>
    <n v="4994.07"/>
    <n v="0.640290322580646"/>
    <n v="0"/>
    <d v="2024-12-08T00:00:00"/>
    <x v="5"/>
    <x v="1"/>
    <n v="2068.21"/>
    <s v="NEGATIVE SALES"/>
    <n v="-4994.07"/>
  </r>
  <r>
    <n v="2549"/>
    <s v="Colin"/>
    <s v="Osborne"/>
    <s v="Wrap Dress"/>
    <n v="6"/>
    <n v="2319.23"/>
    <n v="0.640290322580646"/>
    <n v="0"/>
    <d v="2025-01-17T00:00:00"/>
    <x v="1"/>
    <x v="0"/>
    <n v="-854.91"/>
    <s v="NEGATIVE SALES"/>
    <n v="13915.38"/>
  </r>
  <r>
    <n v="2550"/>
    <s v="Anthony"/>
    <s v="Love"/>
    <s v="Leather Jacket"/>
    <n v="-1"/>
    <n v="1463.64"/>
    <n v="0.640290322580646"/>
    <n v="0"/>
    <d v="2025-04-30T00:00:00"/>
    <x v="5"/>
    <x v="0"/>
    <n v="1667.2"/>
    <s v="NEGATIVE SALES"/>
    <n v="-1463.64"/>
  </r>
  <r>
    <n v="2551"/>
    <s v="Mark"/>
    <s v="Wood"/>
    <s v="Sunglasses"/>
    <n v="6"/>
    <n v="4776.97"/>
    <n v="0.640290322580646"/>
    <n v="0"/>
    <d v="2025-04-30T00:00:00"/>
    <x v="1"/>
    <x v="2"/>
    <n v="727.96"/>
    <s v="NEGATIVE SALES"/>
    <n v="28661.82"/>
  </r>
  <r>
    <n v="2552"/>
    <s v="Debra"/>
    <s v="Romero"/>
    <s v="Casual Midi"/>
    <n v="0"/>
    <n v="3617.02"/>
    <n v="0.640290322580646"/>
    <n v="0"/>
    <d v="2024-12-18T00:00:00"/>
    <x v="5"/>
    <x v="0"/>
    <n v="2692.48"/>
    <s v="NEGATIVE SALES"/>
    <n v="0"/>
  </r>
  <r>
    <n v="2553"/>
    <s v="Edward"/>
    <s v="Santos"/>
    <s v="Maxi Dress"/>
    <n v="0"/>
    <n v="3347.39"/>
    <n v="0.640290322580646"/>
    <n v="0"/>
    <d v="2023-09-24T00:00:00"/>
    <x v="2"/>
    <x v="2"/>
    <n v="441.13"/>
    <s v="NEGATIVE SALES"/>
    <n v="0"/>
  </r>
  <r>
    <n v="2554"/>
    <s v="Deborah"/>
    <s v="Richmond"/>
    <s v="Sneakers"/>
    <n v="0"/>
    <n v="2433.4699999999998"/>
    <n v="0.640290322580646"/>
    <n v="0"/>
    <d v="2024-09-16T00:00:00"/>
    <x v="5"/>
    <x v="1"/>
    <n v="796.37"/>
    <s v="NEGATIVE SALES"/>
    <n v="0"/>
  </r>
  <r>
    <n v="2555"/>
    <s v="Nathan"/>
    <s v="Washington"/>
    <s v="Slim Fit Jeans"/>
    <n v="0"/>
    <n v="3633.07"/>
    <n v="0.22"/>
    <n v="0"/>
    <d v="2024-01-22T00:00:00"/>
    <x v="4"/>
    <x v="2"/>
    <n v="826.86"/>
    <s v="NEGATIVE SALES"/>
    <n v="0"/>
  </r>
  <r>
    <n v="2556"/>
    <s v="Kenneth"/>
    <s v="Harris"/>
    <s v="Puffer Coat"/>
    <n v="2"/>
    <n v="2068.88"/>
    <n v="0.64165048543689396"/>
    <n v="0"/>
    <d v="2024-01-22T00:00:00"/>
    <x v="3"/>
    <x v="1"/>
    <n v="-9.99"/>
    <s v="NEGATIVE SALES"/>
    <n v="4137.76"/>
  </r>
  <r>
    <n v="2557"/>
    <s v="Jeffrey"/>
    <s v="Cook"/>
    <s v="Sunglasses"/>
    <n v="-1"/>
    <n v="4626.4399999999996"/>
    <n v="1.1000000000000001"/>
    <n v="462.64"/>
    <d v="2025-05-03T00:00:00"/>
    <x v="1"/>
    <x v="2"/>
    <n v="1942.23"/>
    <s v="POSITIVE SALES"/>
    <n v="-4626.4399999999996"/>
  </r>
  <r>
    <n v="2558"/>
    <s v="Loretta"/>
    <s v="Perry"/>
    <s v="Sunglasses"/>
    <n v="0"/>
    <n v="1175.25"/>
    <n v="0.64016233766233799"/>
    <n v="0"/>
    <d v="2025-05-03T00:00:00"/>
    <x v="2"/>
    <x v="2"/>
    <n v="854.14"/>
    <s v="NEGATIVE SALES"/>
    <n v="0"/>
  </r>
  <r>
    <n v="2559"/>
    <s v="Shelley"/>
    <s v="Olson"/>
    <s v="Watches"/>
    <n v="0"/>
    <n v="2752.4484000000002"/>
    <n v="0.3"/>
    <n v="0"/>
    <d v="2025-05-03T00:00:00"/>
    <x v="4"/>
    <x v="1"/>
    <n v="-882.81"/>
    <s v="NEGATIVE SALES"/>
    <n v="0"/>
  </r>
  <r>
    <n v="2560"/>
    <s v="Jason"/>
    <s v="Tucker"/>
    <s v="Loafers"/>
    <n v="-1"/>
    <n v="4699.66"/>
    <n v="0.64127035830618895"/>
    <n v="0"/>
    <d v="2025-05-03T00:00:00"/>
    <x v="2"/>
    <x v="0"/>
    <n v="2759.92"/>
    <s v="NEGATIVE SALES"/>
    <n v="-4699.66"/>
  </r>
  <r>
    <n v="2561"/>
    <s v="Dawn"/>
    <s v="Perkins"/>
    <s v="Puffer Coat"/>
    <n v="5"/>
    <n v="2755.8402999999998"/>
    <n v="0.64127035830618895"/>
    <n v="0"/>
    <d v="2025-05-03T00:00:00"/>
    <x v="1"/>
    <x v="2"/>
    <n v="559.97"/>
    <s v="NEGATIVE SALES"/>
    <n v="13779.201499999999"/>
  </r>
  <r>
    <n v="2563"/>
    <s v="Michael"/>
    <s v="Freeman"/>
    <s v="Sunglasses"/>
    <n v="0"/>
    <n v="2751.6509999999998"/>
    <n v="0.41"/>
    <n v="0"/>
    <d v="2025-05-12T00:00:00"/>
    <x v="5"/>
    <x v="0"/>
    <n v="891.43"/>
    <s v="NEGATIVE SALES"/>
    <n v="0"/>
  </r>
  <r>
    <n v="2564"/>
    <s v="Kenneth"/>
    <s v="Bennett"/>
    <s v="Leather Jacket"/>
    <n v="-1"/>
    <n v="2755.9596999999999"/>
    <n v="0.64202614379084999"/>
    <n v="0"/>
    <d v="2023-12-30T00:00:00"/>
    <x v="2"/>
    <x v="0"/>
    <n v="-479.17"/>
    <s v="NEGATIVE SALES"/>
    <n v="-2755.9596999999999"/>
  </r>
  <r>
    <n v="2565"/>
    <s v="Ryan"/>
    <s v="Bowen"/>
    <s v="Sneakers"/>
    <n v="0"/>
    <n v="2755.9596999999999"/>
    <n v="0.64202614379084999"/>
    <n v="0"/>
    <d v="2023-12-30T00:00:00"/>
    <x v="4"/>
    <x v="2"/>
    <n v="415.71"/>
    <s v="NEGATIVE SALES"/>
    <n v="0"/>
  </r>
  <r>
    <n v="2566"/>
    <s v="Raymond"/>
    <s v="Mcdonald"/>
    <s v="Crop Top"/>
    <n v="1"/>
    <n v="4482.08"/>
    <n v="0.64202614379084999"/>
    <n v="0"/>
    <d v="2024-08-04T00:00:00"/>
    <x v="3"/>
    <x v="1"/>
    <n v="464.92"/>
    <s v="NEGATIVE SALES"/>
    <n v="4482.08"/>
  </r>
  <r>
    <n v="2567"/>
    <s v="Richard"/>
    <s v="Alexander"/>
    <s v="Graphic Tee"/>
    <n v="4"/>
    <n v="2755.9596999999999"/>
    <n v="0.35"/>
    <n v="0"/>
    <d v="2024-12-17T00:00:00"/>
    <x v="0"/>
    <x v="1"/>
    <n v="2962.69"/>
    <s v="NEGATIVE SALES"/>
    <n v="11023.8388"/>
  </r>
  <r>
    <n v="2569"/>
    <s v="Ashley"/>
    <s v="Fernandez"/>
    <s v="Leather Jacket"/>
    <n v="0"/>
    <n v="1263.8399999999999"/>
    <n v="0.64298360655737696"/>
    <n v="0"/>
    <d v="2025-02-06T00:00:00"/>
    <x v="5"/>
    <x v="2"/>
    <n v="2520.08"/>
    <s v="NEGATIVE SALES"/>
    <n v="0"/>
  </r>
  <r>
    <n v="2570"/>
    <s v="Christine"/>
    <s v="Garcia"/>
    <s v="Denim Jacket"/>
    <n v="-1"/>
    <n v="2753.0844999999999"/>
    <n v="0.78"/>
    <n v="0"/>
    <d v="2025-04-16T00:00:00"/>
    <x v="5"/>
    <x v="2"/>
    <n v="1668.49"/>
    <s v="NEGATIVE SALES"/>
    <n v="-2753.0844999999999"/>
  </r>
  <r>
    <n v="2571"/>
    <s v="Julie"/>
    <s v="Grant"/>
    <s v="Wrap Dress"/>
    <n v="-2"/>
    <n v="3061.98"/>
    <n v="0.64253289473684205"/>
    <n v="0"/>
    <d v="2025-07-05T00:00:00"/>
    <x v="1"/>
    <x v="1"/>
    <n v="2553.09"/>
    <s v="NEGATIVE SALES"/>
    <n v="-6123.96"/>
  </r>
  <r>
    <n v="2572"/>
    <s v="Sharon"/>
    <s v="Sharp"/>
    <s v="Oversized T-Shirt"/>
    <n v="0"/>
    <n v="2756.3220000000001"/>
    <n v="0.64253289473684205"/>
    <n v="0"/>
    <d v="2025-02-10T00:00:00"/>
    <x v="4"/>
    <x v="2"/>
    <n v="-305.72000000000003"/>
    <s v="NEGATIVE SALES"/>
    <n v="0"/>
  </r>
  <r>
    <n v="2573"/>
    <s v="Thomas"/>
    <s v="Nielsen"/>
    <s v="Leather Jacket"/>
    <n v="0"/>
    <n v="2755.6561000000002"/>
    <n v="0.64253289473684205"/>
    <n v="0"/>
    <d v="2024-01-12T00:00:00"/>
    <x v="1"/>
    <x v="1"/>
    <n v="-215"/>
    <s v="NEGATIVE SALES"/>
    <n v="0"/>
  </r>
  <r>
    <n v="2574"/>
    <s v="Michael"/>
    <s v="Day"/>
    <s v="Wrap Dress"/>
    <n v="-2"/>
    <n v="2755.6561000000002"/>
    <n v="0.64253289473684205"/>
    <n v="0"/>
    <d v="2024-11-06T00:00:00"/>
    <x v="4"/>
    <x v="2"/>
    <n v="-39.299999999999997"/>
    <s v="NEGATIVE SALES"/>
    <n v="-5511.3122000000003"/>
  </r>
  <r>
    <n v="2575"/>
    <s v="James"/>
    <s v="Thompson"/>
    <s v="Sneakers"/>
    <n v="-2"/>
    <n v="2714.78"/>
    <n v="0.42"/>
    <n v="-3149.14"/>
    <d v="2025-05-08T00:00:00"/>
    <x v="1"/>
    <x v="2"/>
    <n v="1220.49"/>
    <s v="NEGATIVE SALES"/>
    <n v="-5429.56"/>
  </r>
  <r>
    <n v="2576"/>
    <s v="Jessica"/>
    <s v="Wilkerson"/>
    <s v="Straight Cut"/>
    <n v="0"/>
    <n v="2755.6561000000002"/>
    <n v="0.56000000000000005"/>
    <n v="0"/>
    <d v="2025-07-13T00:00:00"/>
    <x v="2"/>
    <x v="0"/>
    <n v="515.36"/>
    <s v="NEGATIVE SALES"/>
    <n v="0"/>
  </r>
  <r>
    <n v="2577"/>
    <s v="Brian"/>
    <s v="Young"/>
    <s v="Straight Cut"/>
    <n v="1"/>
    <n v="609.05999999999995"/>
    <n v="0.17"/>
    <n v="505.52"/>
    <d v="2024-11-01T00:00:00"/>
    <x v="1"/>
    <x v="0"/>
    <n v="110.23"/>
    <s v="POSITIVE SALES"/>
    <n v="609.05999999999995"/>
  </r>
  <r>
    <n v="2578"/>
    <s v="Travis"/>
    <s v="Watson"/>
    <s v="Graphic Tee"/>
    <n v="0"/>
    <n v="2755.7453"/>
    <n v="0.87"/>
    <n v="0"/>
    <d v="2024-11-01T00:00:00"/>
    <x v="5"/>
    <x v="1"/>
    <n v="2826.66"/>
    <s v="NEGATIVE SALES"/>
    <n v="0"/>
  </r>
  <r>
    <n v="2580"/>
    <s v="Amy"/>
    <s v="Garcia"/>
    <s v="Loafers"/>
    <n v="0"/>
    <n v="2760.4427000000001"/>
    <n v="0.64518394648829502"/>
    <n v="0"/>
    <d v="2024-04-01T00:00:00"/>
    <x v="5"/>
    <x v="0"/>
    <n v="2076.5300000000002"/>
    <s v="NEGATIVE SALES"/>
    <n v="0"/>
  </r>
  <r>
    <n v="2581"/>
    <s v="Jason"/>
    <s v="Davis"/>
    <s v="Bomber Jacket"/>
    <n v="0"/>
    <n v="3895.43"/>
    <n v="0.64518394648829502"/>
    <n v="0"/>
    <d v="2024-11-15T00:00:00"/>
    <x v="3"/>
    <x v="1"/>
    <n v="1316.66"/>
    <s v="NEGATIVE SALES"/>
    <n v="0"/>
  </r>
  <r>
    <n v="2582"/>
    <s v="Scott"/>
    <s v="Stephenson"/>
    <s v="Oversized T-Shirt"/>
    <n v="0"/>
    <n v="4154.55"/>
    <n v="0.95"/>
    <n v="0"/>
    <d v="2024-09-16T00:00:00"/>
    <x v="4"/>
    <x v="2"/>
    <n v="-247.99"/>
    <s v="NEGATIVE SALES"/>
    <n v="0"/>
  </r>
  <r>
    <n v="2584"/>
    <s v="William"/>
    <s v="Doyle"/>
    <s v="Caps"/>
    <n v="3"/>
    <n v="1276.26"/>
    <n v="0.69"/>
    <n v="1186.92"/>
    <d v="2024-04-10T00:00:00"/>
    <x v="2"/>
    <x v="0"/>
    <n v="2446.6999999999998"/>
    <s v="POSITIVE SALES"/>
    <n v="3828.78"/>
  </r>
  <r>
    <n v="2585"/>
    <s v="Rebecca"/>
    <s v="Lowery"/>
    <s v="Casual Midi"/>
    <n v="0"/>
    <n v="2755.9009999999998"/>
    <n v="0.64400673400673403"/>
    <n v="0"/>
    <d v="2024-11-28T00:00:00"/>
    <x v="5"/>
    <x v="0"/>
    <n v="1123.27"/>
    <s v="NEGATIVE SALES"/>
    <n v="0"/>
  </r>
  <r>
    <n v="2586"/>
    <s v="Tina"/>
    <s v="Wilson"/>
    <s v="Slim Fit Jeans"/>
    <n v="0"/>
    <n v="789.21"/>
    <n v="0.64400673400673403"/>
    <n v="0"/>
    <d v="2025-01-15T00:00:00"/>
    <x v="1"/>
    <x v="0"/>
    <n v="1565.56"/>
    <s v="NEGATIVE SALES"/>
    <n v="0"/>
  </r>
  <r>
    <n v="2587"/>
    <s v="Samantha"/>
    <s v="Gould"/>
    <s v="Classic Tee"/>
    <n v="5"/>
    <n v="3463.37"/>
    <n v="0.1"/>
    <n v="15585.16"/>
    <d v="2025-01-15T00:00:00"/>
    <x v="3"/>
    <x v="2"/>
    <n v="-957.03"/>
    <s v="POSITIVE SALES"/>
    <n v="17316.849999999999"/>
  </r>
  <r>
    <n v="2588"/>
    <s v="Jessica"/>
    <s v="Park"/>
    <s v="Sunglasses"/>
    <n v="0"/>
    <n v="2763.5255999999999"/>
    <n v="1.07"/>
    <n v="0"/>
    <d v="2024-12-24T00:00:00"/>
    <x v="5"/>
    <x v="1"/>
    <n v="-927.74"/>
    <s v="NEGATIVE SALES"/>
    <n v="0"/>
  </r>
  <r>
    <n v="2589"/>
    <s v="Kathy"/>
    <s v="Smith"/>
    <s v="Slip-Ons"/>
    <n v="0"/>
    <n v="3256.31"/>
    <n v="0.644406779661017"/>
    <n v="0"/>
    <d v="2025-02-07T00:00:00"/>
    <x v="0"/>
    <x v="1"/>
    <n v="2266.79"/>
    <s v="NEGATIVE SALES"/>
    <n v="0"/>
  </r>
  <r>
    <n v="2590"/>
    <s v="Maurice"/>
    <s v="Mcconnell"/>
    <s v="Slip-Ons"/>
    <n v="0"/>
    <n v="2761.9738000000002"/>
    <n v="0.54"/>
    <n v="0"/>
    <d v="2024-09-07T00:00:00"/>
    <x v="0"/>
    <x v="2"/>
    <n v="1613.88"/>
    <s v="NEGATIVE SALES"/>
    <n v="0"/>
  </r>
  <r>
    <n v="2591"/>
    <s v="Danielle"/>
    <s v="Kaufman"/>
    <s v="Denim Jacket"/>
    <n v="0"/>
    <n v="4784.03"/>
    <n v="0.64476190476190498"/>
    <n v="0"/>
    <d v="2024-11-28T00:00:00"/>
    <x v="5"/>
    <x v="0"/>
    <n v="176.96"/>
    <s v="NEGATIVE SALES"/>
    <n v="0"/>
  </r>
  <r>
    <n v="2592"/>
    <s v="Jeffery"/>
    <s v="Green"/>
    <s v="Crop Top"/>
    <n v="2"/>
    <n v="4965.93"/>
    <n v="0.64476190476190498"/>
    <n v="0"/>
    <d v="2024-11-28T00:00:00"/>
    <x v="4"/>
    <x v="0"/>
    <n v="1406.72"/>
    <s v="NEGATIVE SALES"/>
    <n v="9931.86"/>
  </r>
  <r>
    <n v="2593"/>
    <s v="Christine"/>
    <s v="James"/>
    <s v="Maxi Dress"/>
    <n v="4"/>
    <n v="736.36"/>
    <n v="0.83"/>
    <n v="500.72"/>
    <d v="2024-11-28T00:00:00"/>
    <x v="2"/>
    <x v="1"/>
    <n v="2463.6799999999998"/>
    <s v="POSITIVE SALES"/>
    <n v="2945.44"/>
  </r>
  <r>
    <n v="2594"/>
    <s v="Michael"/>
    <s v="Diaz"/>
    <s v="Straight Cut"/>
    <n v="0"/>
    <n v="2751.4373000000001"/>
    <n v="0.37"/>
    <n v="0"/>
    <d v="2024-11-28T00:00:00"/>
    <x v="4"/>
    <x v="0"/>
    <n v="580.23"/>
    <s v="NEGATIVE SALES"/>
    <n v="0"/>
  </r>
  <r>
    <n v="2595"/>
    <s v="Tony"/>
    <s v="Davis"/>
    <s v="Maxi Dress"/>
    <n v="0"/>
    <n v="2469.67"/>
    <n v="1.07"/>
    <n v="0"/>
    <d v="2024-08-31T00:00:00"/>
    <x v="2"/>
    <x v="2"/>
    <n v="802.05"/>
    <s v="NEGATIVE SALES"/>
    <n v="0"/>
  </r>
  <r>
    <n v="2596"/>
    <s v="Kelly"/>
    <s v="Saunders"/>
    <s v="Slim Fit Jeans"/>
    <n v="0"/>
    <n v="2538.5700000000002"/>
    <n v="0.64360824742268097"/>
    <n v="0"/>
    <d v="2025-05-30T00:00:00"/>
    <x v="5"/>
    <x v="0"/>
    <n v="342.21"/>
    <s v="NEGATIVE SALES"/>
    <n v="0"/>
  </r>
  <r>
    <n v="2597"/>
    <s v="Steve"/>
    <s v="Tran"/>
    <s v="Puffer Coat"/>
    <n v="0"/>
    <n v="2756.5871999999999"/>
    <n v="0.64360824742268097"/>
    <n v="0"/>
    <d v="2025-05-30T00:00:00"/>
    <x v="3"/>
    <x v="2"/>
    <n v="538.11"/>
    <s v="NEGATIVE SALES"/>
    <n v="0"/>
  </r>
  <r>
    <n v="2598"/>
    <s v="Christopher"/>
    <s v="Davis"/>
    <s v="Denim Jacket"/>
    <n v="-2"/>
    <n v="4412.21"/>
    <n v="0.64360824742268097"/>
    <n v="0"/>
    <d v="2025-05-30T00:00:00"/>
    <x v="3"/>
    <x v="0"/>
    <n v="2917.18"/>
    <s v="NEGATIVE SALES"/>
    <n v="-8824.42"/>
  </r>
  <r>
    <n v="2599"/>
    <s v="Stephanie"/>
    <s v="Franco"/>
    <s v="Sneakers"/>
    <n v="0"/>
    <n v="2757.0771"/>
    <n v="0.23"/>
    <n v="0"/>
    <d v="2024-09-24T00:00:00"/>
    <x v="5"/>
    <x v="1"/>
    <n v="2293.29"/>
    <s v="NEGATIVE SALES"/>
    <n v="0"/>
  </r>
  <r>
    <n v="2600"/>
    <s v="Kristie"/>
    <s v="Williams"/>
    <s v="Boots"/>
    <n v="5"/>
    <n v="4832.16"/>
    <n v="0.64503448275862096"/>
    <n v="0"/>
    <d v="2024-09-20T00:00:00"/>
    <x v="4"/>
    <x v="2"/>
    <n v="1707.66"/>
    <s v="NEGATIVE SALES"/>
    <n v="24160.799999999999"/>
  </r>
  <r>
    <n v="2601"/>
    <s v="Stephanie"/>
    <s v="King"/>
    <s v="Ripped Denim"/>
    <n v="1"/>
    <n v="2753.3494000000001"/>
    <n v="0.28000000000000003"/>
    <n v="0"/>
    <d v="2024-08-04T00:00:00"/>
    <x v="3"/>
    <x v="2"/>
    <n v="2556.02"/>
    <s v="NEGATIVE SALES"/>
    <n v="2753.3494000000001"/>
  </r>
  <r>
    <n v="2603"/>
    <s v="Carol"/>
    <s v="Young"/>
    <s v="Crop Top"/>
    <n v="5"/>
    <n v="4403.84"/>
    <n v="0.64629757785467201"/>
    <n v="0"/>
    <d v="2025-03-13T00:00:00"/>
    <x v="2"/>
    <x v="0"/>
    <n v="-513.19000000000005"/>
    <s v="NEGATIVE SALES"/>
    <n v="22019.200000000001"/>
  </r>
  <r>
    <n v="2604"/>
    <s v="Angela"/>
    <s v="Wiggins"/>
    <s v="Boots"/>
    <n v="-1"/>
    <n v="2171.2199999999998"/>
    <n v="0.64629757785467201"/>
    <n v="0"/>
    <d v="2025-05-29T00:00:00"/>
    <x v="3"/>
    <x v="2"/>
    <n v="2595.2199999999998"/>
    <s v="NEGATIVE SALES"/>
    <n v="-2171.2199999999998"/>
  </r>
  <r>
    <n v="2605"/>
    <s v="Diana"/>
    <s v="Buchanan"/>
    <s v="Casual Midi"/>
    <n v="1"/>
    <n v="1636.26"/>
    <n v="0.94"/>
    <n v="98.18"/>
    <d v="2025-01-10T00:00:00"/>
    <x v="5"/>
    <x v="1"/>
    <n v="615.80999999999995"/>
    <s v="POSITIVE SALES"/>
    <n v="1636.26"/>
  </r>
  <r>
    <n v="2606"/>
    <s v="George"/>
    <s v="Moody"/>
    <s v="Straight Cut"/>
    <n v="0"/>
    <n v="806.81"/>
    <n v="0.11"/>
    <n v="0"/>
    <d v="2024-05-30T00:00:00"/>
    <x v="4"/>
    <x v="1"/>
    <n v="634.66"/>
    <s v="NEGATIVE SALES"/>
    <n v="0"/>
  </r>
  <r>
    <n v="2607"/>
    <s v="Michael"/>
    <s v="Morris"/>
    <s v="Puffer Coat"/>
    <n v="0"/>
    <n v="2289.9299999999998"/>
    <n v="1.2"/>
    <n v="0"/>
    <d v="2024-10-28T00:00:00"/>
    <x v="3"/>
    <x v="2"/>
    <n v="183.34"/>
    <s v="NEGATIVE SALES"/>
    <n v="0"/>
  </r>
  <r>
    <n v="2608"/>
    <s v="James"/>
    <s v="Hayes"/>
    <s v="Puffer Coat"/>
    <n v="0"/>
    <n v="3352.88"/>
    <n v="0.64520979020978997"/>
    <n v="0"/>
    <d v="2024-06-21T00:00:00"/>
    <x v="2"/>
    <x v="2"/>
    <n v="2684.88"/>
    <s v="NEGATIVE SALES"/>
    <n v="0"/>
  </r>
  <r>
    <n v="2609"/>
    <s v="Timothy"/>
    <s v="Nash"/>
    <s v="Puffer Coat"/>
    <n v="0"/>
    <n v="2754.2166999999999"/>
    <n v="0.64520979020978997"/>
    <n v="0"/>
    <d v="2024-06-21T00:00:00"/>
    <x v="0"/>
    <x v="0"/>
    <n v="641.89"/>
    <s v="NEGATIVE SALES"/>
    <n v="0"/>
  </r>
  <r>
    <n v="2610"/>
    <s v="Amanda"/>
    <s v="Wolf"/>
    <s v="Oversized T-Shirt"/>
    <n v="5"/>
    <n v="1606.99"/>
    <n v="0.64520979020978997"/>
    <n v="0"/>
    <d v="2023-12-23T00:00:00"/>
    <x v="1"/>
    <x v="0"/>
    <n v="1743.11"/>
    <s v="NEGATIVE SALES"/>
    <n v="8034.95"/>
  </r>
  <r>
    <n v="2611"/>
    <s v="Barbara"/>
    <s v="Thompson"/>
    <s v="Wrap Dress"/>
    <n v="-2"/>
    <n v="2752.8467000000001"/>
    <n v="1.05"/>
    <n v="0"/>
    <d v="2025-01-08T00:00:00"/>
    <x v="4"/>
    <x v="2"/>
    <n v="2391.6999999999998"/>
    <s v="NEGATIVE SALES"/>
    <n v="-5505.6934000000001"/>
  </r>
  <r>
    <n v="2612"/>
    <s v="Natasha"/>
    <s v="Willis"/>
    <s v="Watches"/>
    <n v="0"/>
    <n v="2672.64"/>
    <n v="0.64378947368421102"/>
    <n v="0"/>
    <d v="2024-04-20T00:00:00"/>
    <x v="3"/>
    <x v="2"/>
    <n v="1142.44"/>
    <s v="NEGATIVE SALES"/>
    <n v="0"/>
  </r>
  <r>
    <n v="2613"/>
    <s v="Kathleen"/>
    <s v="Sharp"/>
    <s v="Graphic Tee"/>
    <n v="0"/>
    <n v="2438.16"/>
    <n v="0.64378947368421102"/>
    <n v="0"/>
    <d v="2024-03-01T00:00:00"/>
    <x v="4"/>
    <x v="2"/>
    <n v="161.35"/>
    <s v="NEGATIVE SALES"/>
    <n v="0"/>
  </r>
  <r>
    <n v="2614"/>
    <s v="Shirley"/>
    <s v="Mann"/>
    <s v="Sneakers"/>
    <n v="0"/>
    <n v="4530.28"/>
    <n v="0.67"/>
    <n v="0"/>
    <d v="2024-12-22T00:00:00"/>
    <x v="1"/>
    <x v="2"/>
    <n v="2891.77"/>
    <s v="NEGATIVE SALES"/>
    <n v="0"/>
  </r>
  <r>
    <n v="2615"/>
    <s v="Sarah"/>
    <s v="Nguyen"/>
    <s v="Classic Tee"/>
    <n v="0"/>
    <n v="2756.3968"/>
    <n v="0.64369718309859203"/>
    <n v="0"/>
    <d v="2023-12-07T00:00:00"/>
    <x v="2"/>
    <x v="2"/>
    <n v="1644.18"/>
    <s v="NEGATIVE SALES"/>
    <n v="0"/>
  </r>
  <r>
    <n v="2616"/>
    <s v="Austin"/>
    <s v="Warner"/>
    <s v="Graphic Tee"/>
    <n v="5"/>
    <n v="2752.3000999999999"/>
    <n v="0.24"/>
    <n v="0"/>
    <d v="2025-05-18T00:00:00"/>
    <x v="4"/>
    <x v="2"/>
    <n v="2858.08"/>
    <s v="NEGATIVE SALES"/>
    <n v="13761.5005"/>
  </r>
  <r>
    <n v="2617"/>
    <s v="Heather"/>
    <s v="Hall"/>
    <s v="Maxi Dress"/>
    <n v="0"/>
    <n v="2752.3000999999999"/>
    <n v="0.645123674911661"/>
    <n v="0"/>
    <d v="2025-03-30T00:00:00"/>
    <x v="2"/>
    <x v="1"/>
    <n v="-151.75"/>
    <s v="NEGATIVE SALES"/>
    <n v="0"/>
  </r>
  <r>
    <n v="2618"/>
    <s v="Colin"/>
    <s v="Dillon"/>
    <s v="Boots"/>
    <n v="0"/>
    <n v="2752.3000999999999"/>
    <n v="0.95"/>
    <n v="0"/>
    <d v="2024-09-06T00:00:00"/>
    <x v="1"/>
    <x v="1"/>
    <n v="-850.68"/>
    <s v="NEGATIVE SALES"/>
    <n v="0"/>
  </r>
  <r>
    <n v="2619"/>
    <s v="Brittany"/>
    <s v="Perkins"/>
    <s v="Straight Cut"/>
    <n v="0"/>
    <n v="2752.3000999999999"/>
    <n v="0.64404255319148995"/>
    <n v="0"/>
    <d v="2024-09-06T00:00:00"/>
    <x v="1"/>
    <x v="0"/>
    <n v="1443.87"/>
    <s v="NEGATIVE SALES"/>
    <n v="0"/>
  </r>
  <r>
    <n v="2620"/>
    <s v="Patricia"/>
    <s v="Stokes"/>
    <s v="Loafers"/>
    <n v="0"/>
    <n v="3415.9"/>
    <n v="0.64404255319148995"/>
    <n v="0"/>
    <d v="2024-08-22T00:00:00"/>
    <x v="2"/>
    <x v="0"/>
    <n v="25.83"/>
    <s v="NEGATIVE SALES"/>
    <n v="0"/>
  </r>
  <r>
    <n v="2621"/>
    <s v="Brenda"/>
    <s v="Lewis"/>
    <s v="Loafers"/>
    <n v="4"/>
    <n v="2752.3000999999999"/>
    <n v="1.1399999999999999"/>
    <n v="0"/>
    <d v="2023-12-23T00:00:00"/>
    <x v="0"/>
    <x v="2"/>
    <n v="2237.85"/>
    <s v="NEGATIVE SALES"/>
    <n v="11009.2004"/>
  </r>
  <r>
    <n v="2622"/>
    <s v="Jennifer"/>
    <s v="Jordan"/>
    <s v="Oversized T-Shirt"/>
    <n v="0"/>
    <n v="2705.13"/>
    <n v="0.64227758007117397"/>
    <n v="0"/>
    <d v="2024-09-02T00:00:00"/>
    <x v="0"/>
    <x v="1"/>
    <n v="1133.53"/>
    <s v="NEGATIVE SALES"/>
    <n v="0"/>
  </r>
  <r>
    <n v="2624"/>
    <s v="Walter"/>
    <s v="Jenkins"/>
    <s v="Caps"/>
    <n v="-1"/>
    <n v="2750.8699000000001"/>
    <n v="0.99"/>
    <n v="0"/>
    <d v="2024-12-06T00:00:00"/>
    <x v="1"/>
    <x v="1"/>
    <n v="559.1"/>
    <s v="NEGATIVE SALES"/>
    <n v="-2750.8699000000001"/>
  </r>
  <r>
    <n v="2625"/>
    <s v="James"/>
    <s v="Leonard"/>
    <s v="Maxi Dress"/>
    <n v="0"/>
    <n v="2750.8699000000001"/>
    <n v="0.64103571428571404"/>
    <n v="0"/>
    <d v="2023-10-11T00:00:00"/>
    <x v="2"/>
    <x v="2"/>
    <n v="1271.1199999999999"/>
    <s v="NEGATIVE SALES"/>
    <n v="0"/>
  </r>
  <r>
    <n v="2626"/>
    <s v="Sarah"/>
    <s v="Craig"/>
    <s v="Crop Top"/>
    <n v="0"/>
    <n v="4932.25"/>
    <n v="0.64103571428571404"/>
    <n v="0"/>
    <d v="2025-05-16T00:00:00"/>
    <x v="3"/>
    <x v="1"/>
    <n v="742.42"/>
    <s v="NEGATIVE SALES"/>
    <n v="0"/>
  </r>
  <r>
    <n v="2627"/>
    <s v="Sheila"/>
    <s v="Crawford"/>
    <s v="Wrap Dress"/>
    <n v="-2"/>
    <n v="2750.8699000000001"/>
    <n v="0.64103571428571404"/>
    <n v="0"/>
    <d v="2024-11-08T00:00:00"/>
    <x v="2"/>
    <x v="1"/>
    <n v="87.54"/>
    <s v="NEGATIVE SALES"/>
    <n v="-5501.7398000000003"/>
  </r>
  <r>
    <n v="2628"/>
    <s v="Annette"/>
    <s v="Miller"/>
    <s v="Straight Cut"/>
    <n v="0"/>
    <n v="2745.7968999999998"/>
    <n v="0.64103571428571404"/>
    <n v="0"/>
    <d v="2024-01-11T00:00:00"/>
    <x v="0"/>
    <x v="2"/>
    <n v="2466.4299999999998"/>
    <s v="NEGATIVE SALES"/>
    <n v="0"/>
  </r>
  <r>
    <n v="2629"/>
    <s v="Michael"/>
    <s v="Green"/>
    <s v="Bodycon"/>
    <n v="0"/>
    <n v="2745.7968999999998"/>
    <n v="0.64103571428571404"/>
    <n v="0"/>
    <d v="2025-03-05T00:00:00"/>
    <x v="5"/>
    <x v="1"/>
    <n v="1765.52"/>
    <s v="NEGATIVE SALES"/>
    <n v="0"/>
  </r>
  <r>
    <n v="2630"/>
    <s v="Kimberly"/>
    <s v="Morris"/>
    <s v="Loafers"/>
    <n v="0"/>
    <n v="856.83"/>
    <n v="0.64103571428571404"/>
    <n v="0"/>
    <d v="2025-04-30T00:00:00"/>
    <x v="1"/>
    <x v="0"/>
    <n v="1369.89"/>
    <s v="NEGATIVE SALES"/>
    <n v="0"/>
  </r>
  <r>
    <n v="2631"/>
    <s v="James"/>
    <s v="Soto"/>
    <s v="Watches"/>
    <n v="2"/>
    <n v="1753.02"/>
    <n v="0.23"/>
    <n v="2699.65"/>
    <d v="2025-01-20T00:00:00"/>
    <x v="4"/>
    <x v="1"/>
    <n v="-766.47"/>
    <s v="POSITIVE SALES"/>
    <n v="3506.04"/>
  </r>
  <r>
    <n v="2632"/>
    <s v="Scott"/>
    <s v="Bryant"/>
    <s v="Loafers"/>
    <n v="3"/>
    <n v="4127.32"/>
    <n v="0.64250896057347695"/>
    <n v="0"/>
    <d v="2025-01-20T00:00:00"/>
    <x v="4"/>
    <x v="2"/>
    <n v="989.17"/>
    <s v="NEGATIVE SALES"/>
    <n v="12381.96"/>
  </r>
  <r>
    <n v="2633"/>
    <s v="Teresa"/>
    <s v="Carlson"/>
    <s v="Caps"/>
    <n v="-1"/>
    <n v="2752.53"/>
    <n v="0.87"/>
    <n v="0"/>
    <d v="2023-10-22T00:00:00"/>
    <x v="4"/>
    <x v="2"/>
    <n v="300.47000000000003"/>
    <s v="NEGATIVE SALES"/>
    <n v="-2752.53"/>
  </r>
  <r>
    <n v="2634"/>
    <s v="Jennifer"/>
    <s v="Richardson"/>
    <s v="Watches"/>
    <n v="-2"/>
    <n v="2749.3103000000001"/>
    <n v="0.96"/>
    <n v="0"/>
    <d v="2023-10-22T00:00:00"/>
    <x v="5"/>
    <x v="2"/>
    <n v="2065.7399999999998"/>
    <s v="NEGATIVE SALES"/>
    <n v="-5498.6206000000002"/>
  </r>
  <r>
    <n v="2635"/>
    <s v="Karen"/>
    <s v="Bridges"/>
    <s v="Boots"/>
    <n v="2"/>
    <n v="2749.3103000000001"/>
    <n v="0.64054151624548805"/>
    <n v="0"/>
    <d v="2025-02-03T00:00:00"/>
    <x v="4"/>
    <x v="0"/>
    <n v="461.83"/>
    <s v="NEGATIVE SALES"/>
    <n v="5498.6206000000002"/>
  </r>
  <r>
    <n v="2636"/>
    <s v="Amy"/>
    <s v="Riley"/>
    <s v="Wrap Dress"/>
    <n v="3"/>
    <n v="1006.98"/>
    <n v="0.64054151624548805"/>
    <n v="0"/>
    <d v="2023-08-13T00:00:00"/>
    <x v="2"/>
    <x v="2"/>
    <n v="1576.71"/>
    <s v="NEGATIVE SALES"/>
    <n v="3020.94"/>
  </r>
  <r>
    <n v="2637"/>
    <s v="Deanna"/>
    <s v="Woods"/>
    <s v="Leather Jacket"/>
    <n v="0"/>
    <n v="2749.3103000000001"/>
    <n v="0.72"/>
    <n v="0"/>
    <d v="2023-08-13T00:00:00"/>
    <x v="0"/>
    <x v="2"/>
    <n v="1326.41"/>
    <s v="NEGATIVE SALES"/>
    <n v="0"/>
  </r>
  <r>
    <n v="2638"/>
    <s v="Sharon"/>
    <s v="Reed"/>
    <s v="Leather Jacket"/>
    <n v="6"/>
    <n v="2012.14"/>
    <n v="0.64025362318840595"/>
    <n v="0"/>
    <d v="2024-12-17T00:00:00"/>
    <x v="0"/>
    <x v="2"/>
    <n v="3.53"/>
    <s v="NEGATIVE SALES"/>
    <n v="12072.84"/>
  </r>
  <r>
    <n v="2639"/>
    <s v="Rachel"/>
    <s v="Brown"/>
    <s v="Sneakers"/>
    <n v="-1"/>
    <n v="4947.96"/>
    <n v="0.64025362318840595"/>
    <n v="0"/>
    <d v="2024-12-17T00:00:00"/>
    <x v="4"/>
    <x v="0"/>
    <n v="1245.6099999999999"/>
    <s v="NEGATIVE SALES"/>
    <n v="-4947.96"/>
  </r>
  <r>
    <n v="2640"/>
    <s v="Richard"/>
    <s v="Lopez"/>
    <s v="Leather Jacket"/>
    <n v="6"/>
    <n v="4720.2299999999996"/>
    <n v="0.69"/>
    <n v="8779.6299999999992"/>
    <d v="2023-12-29T00:00:00"/>
    <x v="1"/>
    <x v="2"/>
    <n v="2243.09"/>
    <s v="POSITIVE SALES"/>
    <n v="28321.38"/>
  </r>
  <r>
    <n v="2641"/>
    <s v="Jordan"/>
    <s v="Pierce"/>
    <s v="Bodycon"/>
    <n v="6"/>
    <n v="2749.9726999999998"/>
    <n v="0.64007272727272801"/>
    <n v="0"/>
    <d v="2025-06-16T00:00:00"/>
    <x v="0"/>
    <x v="2"/>
    <n v="-151.61000000000001"/>
    <s v="NEGATIVE SALES"/>
    <n v="16499.836200000002"/>
  </r>
  <r>
    <n v="2642"/>
    <s v="Andrew"/>
    <s v="Sharp"/>
    <s v="Bomber Jacket"/>
    <n v="-1"/>
    <n v="1043.58"/>
    <n v="0.64007272727272801"/>
    <n v="0"/>
    <d v="2025-07-08T00:00:00"/>
    <x v="5"/>
    <x v="2"/>
    <n v="1206.72"/>
    <s v="NEGATIVE SALES"/>
    <n v="-1043.58"/>
  </r>
  <r>
    <n v="2643"/>
    <s v="Kimberly"/>
    <s v="Mitchell"/>
    <s v="Bomber Jacket"/>
    <n v="0"/>
    <n v="2745.3148999999999"/>
    <n v="0.53"/>
    <n v="0"/>
    <d v="2024-08-13T00:00:00"/>
    <x v="3"/>
    <x v="2"/>
    <n v="2911.37"/>
    <s v="NEGATIVE SALES"/>
    <n v="0"/>
  </r>
  <r>
    <n v="2644"/>
    <s v="Patricia"/>
    <s v="Stanley"/>
    <s v="Slim Fit Jeans"/>
    <n v="0"/>
    <n v="2749.3474000000001"/>
    <n v="0.640474452554745"/>
    <n v="0"/>
    <d v="2024-02-03T00:00:00"/>
    <x v="2"/>
    <x v="1"/>
    <n v="2044.35"/>
    <s v="NEGATIVE SALES"/>
    <n v="0"/>
  </r>
  <r>
    <n v="2645"/>
    <s v="Gabriel"/>
    <s v="Browning"/>
    <s v="Sunglasses"/>
    <n v="0"/>
    <n v="2749.3474000000001"/>
    <n v="0.98"/>
    <n v="0"/>
    <d v="2025-04-14T00:00:00"/>
    <x v="1"/>
    <x v="2"/>
    <n v="1141.67"/>
    <s v="NEGATIVE SALES"/>
    <n v="0"/>
  </r>
  <r>
    <n v="2646"/>
    <s v="Kaitlin"/>
    <s v="Thompson"/>
    <s v="Boyfriend Jeans"/>
    <n v="6"/>
    <n v="2749.3474000000001"/>
    <n v="0.63923076923076905"/>
    <n v="0"/>
    <d v="2025-01-04T00:00:00"/>
    <x v="0"/>
    <x v="1"/>
    <n v="2299.84"/>
    <s v="NEGATIVE SALES"/>
    <n v="16496.0844"/>
  </r>
  <r>
    <n v="2647"/>
    <s v="April"/>
    <s v="Nichols"/>
    <s v="Belts"/>
    <n v="5"/>
    <n v="2749.3474000000001"/>
    <n v="0.63923076923076905"/>
    <n v="0"/>
    <d v="2024-07-24T00:00:00"/>
    <x v="5"/>
    <x v="2"/>
    <n v="-102.81"/>
    <s v="NEGATIVE SALES"/>
    <n v="13746.736999999999"/>
  </r>
  <r>
    <n v="2648"/>
    <s v="Susan"/>
    <s v="Solis"/>
    <s v="Straight Cut"/>
    <n v="0"/>
    <n v="4899.84"/>
    <n v="0.63923076923076905"/>
    <n v="0"/>
    <d v="2025-01-14T00:00:00"/>
    <x v="1"/>
    <x v="0"/>
    <n v="1775.2"/>
    <s v="NEGATIVE SALES"/>
    <n v="0"/>
  </r>
  <r>
    <n v="2649"/>
    <s v="Melissa"/>
    <s v="Flowers"/>
    <s v="Sunglasses"/>
    <n v="3"/>
    <n v="3838.55"/>
    <n v="0.91"/>
    <n v="1036.4100000000001"/>
    <d v="2024-07-31T00:00:00"/>
    <x v="4"/>
    <x v="0"/>
    <n v="2380.44"/>
    <s v="POSITIVE SALES"/>
    <n v="11515.65"/>
  </r>
  <r>
    <n v="2650"/>
    <s v="Sydney"/>
    <s v="Chambers"/>
    <s v="Slip-Ons"/>
    <n v="0"/>
    <n v="2744.2393999999999"/>
    <n v="0.63823529411764701"/>
    <n v="0"/>
    <d v="2025-02-12T00:00:00"/>
    <x v="3"/>
    <x v="0"/>
    <n v="2003.15"/>
    <s v="NEGATIVE SALES"/>
    <n v="0"/>
  </r>
  <r>
    <n v="2652"/>
    <s v="Robyn"/>
    <s v="Downs"/>
    <s v="Boyfriend Jeans"/>
    <n v="0"/>
    <n v="2741.6338999999998"/>
    <n v="0.63823529411764701"/>
    <n v="0"/>
    <d v="2025-03-31T00:00:00"/>
    <x v="1"/>
    <x v="0"/>
    <n v="1472.41"/>
    <s v="NEGATIVE SALES"/>
    <n v="0"/>
  </r>
  <r>
    <n v="2653"/>
    <s v="Sara"/>
    <s v="Duffy"/>
    <s v="Oversized T-Shirt"/>
    <n v="0"/>
    <n v="2744.2629999999999"/>
    <n v="0.03"/>
    <n v="0"/>
    <d v="2024-08-25T00:00:00"/>
    <x v="4"/>
    <x v="2"/>
    <n v="-327.41000000000003"/>
    <s v="NEGATIVE SALES"/>
    <n v="0"/>
  </r>
  <r>
    <n v="2654"/>
    <s v="Lisa"/>
    <s v="Frederick"/>
    <s v="Slip-Ons"/>
    <n v="6"/>
    <n v="2744.2629999999999"/>
    <n v="0.31"/>
    <n v="0"/>
    <d v="2025-02-04T00:00:00"/>
    <x v="5"/>
    <x v="2"/>
    <n v="250.85"/>
    <s v="NEGATIVE SALES"/>
    <n v="16465.578000000001"/>
  </r>
  <r>
    <n v="2655"/>
    <s v="John"/>
    <s v="Kim"/>
    <s v="Caps"/>
    <n v="4"/>
    <n v="2744.2629999999999"/>
    <n v="0.641703703703704"/>
    <n v="0"/>
    <d v="2025-02-04T00:00:00"/>
    <x v="0"/>
    <x v="1"/>
    <n v="-630.72"/>
    <s v="NEGATIVE SALES"/>
    <n v="10977.052"/>
  </r>
  <r>
    <n v="2656"/>
    <s v="Ashley"/>
    <s v="Hernandez"/>
    <s v="Sneakers"/>
    <n v="0"/>
    <n v="2744.2629999999999"/>
    <n v="0.641703703703704"/>
    <n v="0"/>
    <d v="2025-04-10T00:00:00"/>
    <x v="1"/>
    <x v="1"/>
    <n v="1096.6099999999999"/>
    <s v="NEGATIVE SALES"/>
    <n v="0"/>
  </r>
  <r>
    <n v="2658"/>
    <s v="John"/>
    <s v="Irwin"/>
    <s v="Ripped Denim"/>
    <n v="0"/>
    <n v="3726.31"/>
    <n v="0.64074349442379197"/>
    <n v="0"/>
    <d v="2025-04-10T00:00:00"/>
    <x v="2"/>
    <x v="0"/>
    <n v="1524.78"/>
    <s v="NEGATIVE SALES"/>
    <n v="0"/>
  </r>
  <r>
    <n v="2659"/>
    <s v="Randall"/>
    <s v="Mcdonald"/>
    <s v="Classic Tee"/>
    <n v="0"/>
    <n v="1059.0899999999999"/>
    <n v="1.24"/>
    <n v="0"/>
    <d v="2025-07-18T00:00:00"/>
    <x v="0"/>
    <x v="0"/>
    <n v="-521.41"/>
    <s v="NEGATIVE SALES"/>
    <n v="0"/>
  </r>
  <r>
    <n v="2660"/>
    <s v="Matthew"/>
    <s v="Estes"/>
    <s v="Graphic Tee"/>
    <n v="0"/>
    <n v="2739.2228"/>
    <n v="0.638507462686567"/>
    <n v="0"/>
    <d v="2025-07-18T00:00:00"/>
    <x v="5"/>
    <x v="1"/>
    <n v="1006.1"/>
    <s v="NEGATIVE SALES"/>
    <n v="0"/>
  </r>
  <r>
    <n v="2661"/>
    <s v="Alexandra"/>
    <s v="Washington"/>
    <s v="Casual Midi"/>
    <n v="0"/>
    <n v="2743.2615999999998"/>
    <n v="0.638507462686567"/>
    <n v="0"/>
    <d v="2025-04-18T00:00:00"/>
    <x v="1"/>
    <x v="2"/>
    <n v="1249.5899999999999"/>
    <s v="NEGATIVE SALES"/>
    <n v="0"/>
  </r>
  <r>
    <n v="2662"/>
    <s v="Joshua"/>
    <s v="Warren"/>
    <s v="Crop Top"/>
    <n v="-1"/>
    <n v="2718.51"/>
    <n v="0.638507462686567"/>
    <n v="0"/>
    <d v="2025-07-03T00:00:00"/>
    <x v="4"/>
    <x v="0"/>
    <n v="903.59"/>
    <s v="NEGATIVE SALES"/>
    <n v="-2718.51"/>
  </r>
  <r>
    <n v="2663"/>
    <s v="Jeff"/>
    <s v="Holland"/>
    <s v="Sunglasses"/>
    <n v="-2"/>
    <n v="2212.25"/>
    <n v="0.35"/>
    <n v="-2875.93"/>
    <d v="2024-11-06T00:00:00"/>
    <x v="2"/>
    <x v="0"/>
    <n v="2992.12"/>
    <s v="NEGATIVE SALES"/>
    <n v="-4424.5"/>
  </r>
  <r>
    <n v="2664"/>
    <s v="Kristina"/>
    <s v="Gutierrez"/>
    <s v="Boots"/>
    <n v="2"/>
    <n v="2743.3213000000001"/>
    <n v="0.63958801498127404"/>
    <n v="0"/>
    <d v="2024-03-31T00:00:00"/>
    <x v="5"/>
    <x v="0"/>
    <n v="-338.97"/>
    <s v="NEGATIVE SALES"/>
    <n v="5486.6426000000001"/>
  </r>
  <r>
    <n v="2665"/>
    <s v="Briana"/>
    <s v="Ford"/>
    <s v="Denim Jacket"/>
    <n v="3"/>
    <n v="2744.6039999999998"/>
    <n v="0.63958801498127404"/>
    <n v="0"/>
    <d v="2025-06-19T00:00:00"/>
    <x v="4"/>
    <x v="0"/>
    <n v="122"/>
    <s v="NEGATIVE SALES"/>
    <n v="8233.8119999999999"/>
  </r>
  <r>
    <n v="2666"/>
    <s v="Gregory"/>
    <s v="Douglas"/>
    <s v="Wrap Dress"/>
    <n v="0"/>
    <n v="2744.6039999999998"/>
    <n v="0.63958801498127404"/>
    <n v="0"/>
    <d v="2025-06-19T00:00:00"/>
    <x v="4"/>
    <x v="2"/>
    <n v="1989.64"/>
    <s v="NEGATIVE SALES"/>
    <n v="0"/>
  </r>
  <r>
    <n v="2667"/>
    <s v="Michelle"/>
    <s v="Williams"/>
    <s v="Graphic Tee"/>
    <n v="1"/>
    <n v="4710.7700000000004"/>
    <n v="0.63958801498127404"/>
    <n v="0"/>
    <d v="2025-06-19T00:00:00"/>
    <x v="1"/>
    <x v="2"/>
    <n v="2520.0500000000002"/>
    <s v="NEGATIVE SALES"/>
    <n v="4710.7700000000004"/>
  </r>
  <r>
    <n v="2668"/>
    <s v="Brenda"/>
    <s v="Cooper"/>
    <s v="Classic Tee"/>
    <n v="1"/>
    <n v="2744.6039999999998"/>
    <n v="0.64"/>
    <n v="0"/>
    <d v="2023-12-22T00:00:00"/>
    <x v="1"/>
    <x v="0"/>
    <n v="-3.95"/>
    <s v="NEGATIVE SALES"/>
    <n v="2744.6039999999998"/>
  </r>
  <r>
    <n v="2669"/>
    <s v="Nathaniel"/>
    <s v="Ramos"/>
    <s v="Graphic Tee"/>
    <n v="-1"/>
    <n v="2739.8433"/>
    <n v="0.63958646616541404"/>
    <n v="0"/>
    <d v="2025-04-02T00:00:00"/>
    <x v="4"/>
    <x v="1"/>
    <n v="-760.17"/>
    <s v="NEGATIVE SALES"/>
    <n v="-2739.8433"/>
  </r>
  <r>
    <n v="2670"/>
    <s v="Angela"/>
    <s v="Hart"/>
    <s v="Graphic Tee"/>
    <n v="0"/>
    <n v="2739.8433"/>
    <n v="0.63958646616541404"/>
    <n v="0"/>
    <d v="2024-09-26T00:00:00"/>
    <x v="4"/>
    <x v="0"/>
    <n v="775.45"/>
    <s v="NEGATIVE SALES"/>
    <n v="0"/>
  </r>
  <r>
    <n v="2671"/>
    <s v="Valerie"/>
    <s v="Miles"/>
    <s v="Caps"/>
    <n v="0"/>
    <n v="2377.81"/>
    <n v="0.56999999999999995"/>
    <n v="0"/>
    <d v="2024-09-26T00:00:00"/>
    <x v="2"/>
    <x v="2"/>
    <n v="1967.3"/>
    <s v="NEGATIVE SALES"/>
    <n v="0"/>
  </r>
  <r>
    <n v="2673"/>
    <s v="Amanda"/>
    <s v="Love"/>
    <s v="Belts"/>
    <n v="0"/>
    <n v="2740.7221"/>
    <n v="0.639849056603774"/>
    <n v="0"/>
    <d v="2024-06-14T00:00:00"/>
    <x v="3"/>
    <x v="2"/>
    <n v="2493.87"/>
    <s v="NEGATIVE SALES"/>
    <n v="0"/>
  </r>
  <r>
    <n v="2674"/>
    <s v="Charles"/>
    <s v="Friedman"/>
    <s v="Classic Tee"/>
    <n v="0"/>
    <n v="1261.5899999999999"/>
    <n v="0.639849056603774"/>
    <n v="0"/>
    <d v="2024-09-07T00:00:00"/>
    <x v="2"/>
    <x v="2"/>
    <n v="534.09"/>
    <s v="NEGATIVE SALES"/>
    <n v="0"/>
  </r>
  <r>
    <n v="2675"/>
    <s v="Jamie"/>
    <s v="Wilkerson"/>
    <s v="Loafers"/>
    <n v="1"/>
    <n v="2740.7221"/>
    <n v="0.83"/>
    <n v="0"/>
    <d v="2024-07-31T00:00:00"/>
    <x v="2"/>
    <x v="0"/>
    <n v="2164.08"/>
    <s v="NEGATIVE SALES"/>
    <n v="2740.7221"/>
  </r>
  <r>
    <n v="2677"/>
    <s v="Hailey"/>
    <s v="Braun"/>
    <s v="Slip-Ons"/>
    <n v="5"/>
    <n v="1727.66"/>
    <n v="1.24"/>
    <n v="-2073.19"/>
    <d v="2025-04-29T00:00:00"/>
    <x v="4"/>
    <x v="2"/>
    <n v="-546.05999999999995"/>
    <s v="NEGATIVE SALES"/>
    <n v="8638.2999999999993"/>
  </r>
  <r>
    <n v="2678"/>
    <s v="Lauren"/>
    <s v="Kelley"/>
    <s v="Wrap Dress"/>
    <n v="-2"/>
    <n v="2744.3209000000002"/>
    <n v="0.51"/>
    <n v="0"/>
    <d v="2025-03-25T00:00:00"/>
    <x v="5"/>
    <x v="0"/>
    <n v="-333.97"/>
    <s v="NEGATIVE SALES"/>
    <n v="-5488.6418000000003"/>
  </r>
  <r>
    <n v="2679"/>
    <s v="Nancy"/>
    <s v="Palmer"/>
    <s v="Watches"/>
    <n v="0"/>
    <n v="2514.6999999999998"/>
    <n v="0.63732824427480905"/>
    <n v="0"/>
    <d v="2024-09-29T00:00:00"/>
    <x v="5"/>
    <x v="1"/>
    <n v="2652.58"/>
    <s v="NEGATIVE SALES"/>
    <n v="0"/>
  </r>
  <r>
    <n v="2680"/>
    <s v="Tiffany"/>
    <s v="Baker"/>
    <s v="Slip-Ons"/>
    <n v="6"/>
    <n v="2746.8006"/>
    <n v="0.63732824427480905"/>
    <n v="0"/>
    <d v="2024-09-29T00:00:00"/>
    <x v="0"/>
    <x v="1"/>
    <n v="-963.81"/>
    <s v="NEGATIVE SALES"/>
    <n v="16480.803599999999"/>
  </r>
  <r>
    <n v="2681"/>
    <s v="Jennifer"/>
    <s v="Vargas"/>
    <s v="Denim Jacket"/>
    <n v="-1"/>
    <n v="4770.92"/>
    <n v="0.63732824427480905"/>
    <n v="0"/>
    <d v="2023-10-24T00:00:00"/>
    <x v="4"/>
    <x v="2"/>
    <n v="433.04"/>
    <s v="NEGATIVE SALES"/>
    <n v="-4770.92"/>
  </r>
  <r>
    <n v="2682"/>
    <s v="Jeffrey"/>
    <s v="Powell"/>
    <s v="Graphic Tee"/>
    <n v="0"/>
    <n v="4784.55"/>
    <n v="0.63732824427480905"/>
    <n v="0"/>
    <d v="2024-11-26T00:00:00"/>
    <x v="3"/>
    <x v="1"/>
    <n v="2034.52"/>
    <s v="NEGATIVE SALES"/>
    <n v="0"/>
  </r>
  <r>
    <n v="2683"/>
    <s v="Jillian"/>
    <s v="Castillo"/>
    <s v="Puffer Coat"/>
    <n v="5"/>
    <n v="3163.97"/>
    <n v="0.63732824427480905"/>
    <n v="0"/>
    <d v="2024-11-26T00:00:00"/>
    <x v="0"/>
    <x v="2"/>
    <n v="1411.27"/>
    <s v="NEGATIVE SALES"/>
    <n v="15819.85"/>
  </r>
  <r>
    <n v="2684"/>
    <s v="Mr."/>
    <s v="Robert"/>
    <s v="Boots"/>
    <n v="0"/>
    <n v="794.81"/>
    <n v="1.1200000000000001"/>
    <n v="0"/>
    <d v="2024-07-10T00:00:00"/>
    <x v="3"/>
    <x v="2"/>
    <n v="-391.38"/>
    <s v="NEGATIVE SALES"/>
    <n v="0"/>
  </r>
  <r>
    <n v="2685"/>
    <s v="Nancy"/>
    <s v="Carroll"/>
    <s v="Sneakers"/>
    <n v="0"/>
    <n v="1804.59"/>
    <n v="0.63547892720306498"/>
    <n v="0"/>
    <d v="2025-07-01T00:00:00"/>
    <x v="1"/>
    <x v="2"/>
    <n v="-208.79"/>
    <s v="NEGATIVE SALES"/>
    <n v="0"/>
  </r>
  <r>
    <n v="2686"/>
    <s v="Christopher"/>
    <s v="Terrell"/>
    <s v="Caps"/>
    <n v="0"/>
    <n v="2741.134"/>
    <n v="0.49"/>
    <n v="0"/>
    <d v="2025-07-01T00:00:00"/>
    <x v="4"/>
    <x v="1"/>
    <n v="2957.49"/>
    <s v="NEGATIVE SALES"/>
    <n v="0"/>
  </r>
  <r>
    <n v="2687"/>
    <s v="Erin"/>
    <s v="Alvarado"/>
    <s v="Sneakers"/>
    <n v="0"/>
    <n v="2743.4522000000002"/>
    <n v="0.636038461538461"/>
    <n v="0"/>
    <d v="2024-08-17T00:00:00"/>
    <x v="2"/>
    <x v="0"/>
    <n v="510.99"/>
    <s v="NEGATIVE SALES"/>
    <n v="0"/>
  </r>
  <r>
    <n v="2688"/>
    <s v="Brenda"/>
    <s v="Williams"/>
    <s v="Crop Top"/>
    <n v="0"/>
    <n v="2743.4522000000002"/>
    <n v="0.11"/>
    <n v="0"/>
    <d v="2024-08-17T00:00:00"/>
    <x v="5"/>
    <x v="0"/>
    <n v="161.9"/>
    <s v="NEGATIVE SALES"/>
    <n v="0"/>
  </r>
  <r>
    <n v="2689"/>
    <s v="Kendra"/>
    <s v="James"/>
    <s v="Caps"/>
    <n v="4"/>
    <n v="4777.51"/>
    <n v="0.63806949806949798"/>
    <n v="0"/>
    <d v="2024-11-13T00:00:00"/>
    <x v="5"/>
    <x v="1"/>
    <n v="-204.04"/>
    <s v="NEGATIVE SALES"/>
    <n v="19110.04"/>
  </r>
  <r>
    <n v="2690"/>
    <s v="Tanya"/>
    <s v="Johnson"/>
    <s v="Ripped Denim"/>
    <n v="0"/>
    <n v="2862.03"/>
    <n v="0.63806949806949798"/>
    <n v="0"/>
    <d v="2023-12-17T00:00:00"/>
    <x v="2"/>
    <x v="1"/>
    <n v="115.86"/>
    <s v="NEGATIVE SALES"/>
    <n v="0"/>
  </r>
  <r>
    <n v="2691"/>
    <s v="Kim"/>
    <s v="Mendez"/>
    <s v="Crop Top"/>
    <n v="1"/>
    <n v="2738.4049"/>
    <n v="0.5"/>
    <n v="0"/>
    <d v="2024-04-29T00:00:00"/>
    <x v="3"/>
    <x v="1"/>
    <n v="-182.86"/>
    <s v="NEGATIVE SALES"/>
    <n v="2738.4049"/>
  </r>
  <r>
    <n v="2692"/>
    <s v="Daniel"/>
    <s v="Hale"/>
    <s v="Bodycon"/>
    <n v="0"/>
    <n v="2738.0974000000001"/>
    <n v="0.63860465116278997"/>
    <n v="0"/>
    <d v="2025-04-15T00:00:00"/>
    <x v="2"/>
    <x v="1"/>
    <n v="-364.29"/>
    <s v="NEGATIVE SALES"/>
    <n v="0"/>
  </r>
  <r>
    <n v="2693"/>
    <s v="Lisa"/>
    <s v="Weaver"/>
    <s v="Boyfriend Jeans"/>
    <n v="4"/>
    <n v="4366.3999999999996"/>
    <n v="0.63860465116278997"/>
    <n v="0"/>
    <d v="2025-04-15T00:00:00"/>
    <x v="5"/>
    <x v="1"/>
    <n v="-542.72"/>
    <s v="NEGATIVE SALES"/>
    <n v="17465.599999999999"/>
  </r>
  <r>
    <n v="2694"/>
    <s v="Gabriel"/>
    <s v="Williams"/>
    <s v="Slip-Ons"/>
    <n v="0"/>
    <n v="1617.83"/>
    <n v="1.18"/>
    <n v="0"/>
    <d v="2025-06-26T00:00:00"/>
    <x v="0"/>
    <x v="1"/>
    <n v="1532.93"/>
    <s v="NEGATIVE SALES"/>
    <n v="0"/>
  </r>
  <r>
    <n v="2695"/>
    <s v="Kevin"/>
    <s v="Gilbert"/>
    <s v="Boyfriend Jeans"/>
    <n v="0"/>
    <n v="4834.87"/>
    <n v="0.63649805447470797"/>
    <n v="0"/>
    <d v="2025-06-26T00:00:00"/>
    <x v="3"/>
    <x v="2"/>
    <n v="1655.07"/>
    <s v="NEGATIVE SALES"/>
    <n v="0"/>
  </r>
  <r>
    <n v="2696"/>
    <s v="Tyrone"/>
    <s v="Brown"/>
    <s v="Puffer Coat"/>
    <n v="0"/>
    <n v="2579.8000000000002"/>
    <n v="1.26"/>
    <n v="0"/>
    <d v="2025-05-20T00:00:00"/>
    <x v="1"/>
    <x v="2"/>
    <n v="-804.09"/>
    <s v="NEGATIVE SALES"/>
    <n v="0"/>
  </r>
  <r>
    <n v="2697"/>
    <s v="Krystal"/>
    <s v="Cortez"/>
    <s v="Wrap Dress"/>
    <n v="0"/>
    <n v="3300.82"/>
    <n v="0.63406249999999997"/>
    <n v="0"/>
    <d v="2025-05-19T00:00:00"/>
    <x v="1"/>
    <x v="2"/>
    <n v="394.83"/>
    <s v="NEGATIVE SALES"/>
    <n v="0"/>
  </r>
  <r>
    <n v="2698"/>
    <s v="Theresa"/>
    <s v="Barnes"/>
    <s v="Bomber Jacket"/>
    <n v="0"/>
    <n v="1810.81"/>
    <n v="0.5"/>
    <n v="0"/>
    <d v="2025-05-19T00:00:00"/>
    <x v="4"/>
    <x v="0"/>
    <n v="1605.28"/>
    <s v="NEGATIVE SALES"/>
    <n v="0"/>
  </r>
  <r>
    <n v="2699"/>
    <s v="Elizabeth"/>
    <s v="Obrien"/>
    <s v="Straight Cut"/>
    <n v="6"/>
    <n v="2730.5174999999999"/>
    <n v="0.63458823529411801"/>
    <n v="0"/>
    <d v="2025-05-25T00:00:00"/>
    <x v="0"/>
    <x v="0"/>
    <n v="1068.6600000000001"/>
    <s v="NEGATIVE SALES"/>
    <n v="16383.105"/>
  </r>
  <r>
    <n v="2700"/>
    <s v="Crystal"/>
    <s v="Mercer"/>
    <s v="Boots"/>
    <n v="0"/>
    <n v="2732.84"/>
    <n v="0.63458823529411801"/>
    <n v="0"/>
    <d v="2025-05-25T00:00:00"/>
    <x v="2"/>
    <x v="1"/>
    <n v="588.04"/>
    <s v="NEGATIVE SALES"/>
    <n v="0"/>
  </r>
  <r>
    <n v="2701"/>
    <s v="Crystal"/>
    <s v="Campbell"/>
    <s v="Watches"/>
    <n v="-1"/>
    <n v="2085.92"/>
    <n v="0.63458823529411801"/>
    <n v="0"/>
    <d v="2025-01-12T00:00:00"/>
    <x v="3"/>
    <x v="0"/>
    <n v="1301.3699999999999"/>
    <s v="NEGATIVE SALES"/>
    <n v="-2085.92"/>
  </r>
  <r>
    <n v="2702"/>
    <s v="Linda"/>
    <s v="Figueroa"/>
    <s v="Graphic Tee"/>
    <n v="-2"/>
    <n v="2732.84"/>
    <n v="0.63458823529411801"/>
    <n v="0"/>
    <d v="2024-09-02T00:00:00"/>
    <x v="5"/>
    <x v="1"/>
    <n v="606.51"/>
    <s v="NEGATIVE SALES"/>
    <n v="-5465.68"/>
  </r>
  <r>
    <n v="2703"/>
    <s v="Jesse"/>
    <s v="Peck"/>
    <s v="Belts"/>
    <n v="-2"/>
    <n v="2734.4776999999999"/>
    <n v="0.63458823529411801"/>
    <n v="0"/>
    <d v="2025-05-07T00:00:00"/>
    <x v="5"/>
    <x v="0"/>
    <n v="2193.86"/>
    <s v="NEGATIVE SALES"/>
    <n v="-5468.9553999999998"/>
  </r>
  <r>
    <n v="2704"/>
    <s v="Yvonne"/>
    <s v="Williams"/>
    <s v="Bomber Jacket"/>
    <n v="1"/>
    <n v="2734.4776999999999"/>
    <n v="0.63458823529411801"/>
    <n v="0"/>
    <d v="2024-08-02T00:00:00"/>
    <x v="2"/>
    <x v="0"/>
    <n v="7.12"/>
    <s v="NEGATIVE SALES"/>
    <n v="2734.4776999999999"/>
  </r>
  <r>
    <n v="2705"/>
    <s v="Randy"/>
    <s v="Miller"/>
    <s v="Casual Midi"/>
    <n v="0"/>
    <n v="4870.82"/>
    <n v="0.63458823529411801"/>
    <n v="0"/>
    <d v="2025-07-08T00:00:00"/>
    <x v="0"/>
    <x v="2"/>
    <n v="2833.18"/>
    <s v="NEGATIVE SALES"/>
    <n v="0"/>
  </r>
  <r>
    <n v="2706"/>
    <s v="Julia"/>
    <s v="Fuentes"/>
    <s v="Classic Tee"/>
    <n v="6"/>
    <n v="2734.4776999999999"/>
    <n v="0.63458823529411801"/>
    <n v="0"/>
    <d v="2024-10-30T00:00:00"/>
    <x v="4"/>
    <x v="1"/>
    <n v="2379.5"/>
    <s v="NEGATIVE SALES"/>
    <n v="16406.8662"/>
  </r>
  <r>
    <n v="2707"/>
    <s v="Michaela"/>
    <s v="Key"/>
    <s v="Puffer Coat"/>
    <n v="5"/>
    <n v="2729.0556000000001"/>
    <n v="0.63458823529411801"/>
    <n v="0"/>
    <d v="2024-09-07T00:00:00"/>
    <x v="2"/>
    <x v="2"/>
    <n v="2763.02"/>
    <s v="NEGATIVE SALES"/>
    <n v="13645.278"/>
  </r>
  <r>
    <n v="2708"/>
    <s v="Benjamin"/>
    <s v="Hicks"/>
    <s v="Belts"/>
    <n v="4"/>
    <n v="4882.6899999999996"/>
    <n v="0.63458823529411801"/>
    <n v="0"/>
    <d v="2024-12-30T00:00:00"/>
    <x v="2"/>
    <x v="2"/>
    <n v="2658.6"/>
    <s v="NEGATIVE SALES"/>
    <n v="19530.759999999998"/>
  </r>
  <r>
    <n v="2709"/>
    <s v="Amanda"/>
    <s v="Gonzalez"/>
    <s v="Bomber Jacket"/>
    <n v="0"/>
    <n v="2729.0556000000001"/>
    <n v="0.3"/>
    <n v="0"/>
    <d v="2025-02-08T00:00:00"/>
    <x v="5"/>
    <x v="1"/>
    <n v="-473.04"/>
    <s v="NEGATIVE SALES"/>
    <n v="0"/>
  </r>
  <r>
    <n v="2710"/>
    <s v="Brittney"/>
    <s v="Perez"/>
    <s v="Bodycon"/>
    <n v="0"/>
    <n v="2565.5500000000002"/>
    <n v="0.63590551181102295"/>
    <n v="0"/>
    <d v="2024-09-12T00:00:00"/>
    <x v="3"/>
    <x v="1"/>
    <n v="62.05"/>
    <s v="NEGATIVE SALES"/>
    <n v="0"/>
  </r>
  <r>
    <n v="2711"/>
    <s v="Matthew"/>
    <s v="Valenzuela"/>
    <s v="Bodycon"/>
    <n v="0"/>
    <n v="2723.5756000000001"/>
    <n v="0.63590551181102295"/>
    <n v="0"/>
    <d v="2024-01-30T00:00:00"/>
    <x v="4"/>
    <x v="2"/>
    <n v="-25.26"/>
    <s v="NEGATIVE SALES"/>
    <n v="0"/>
  </r>
  <r>
    <n v="2712"/>
    <s v="Michael"/>
    <s v="Ball"/>
    <s v="Leather Jacket"/>
    <n v="0"/>
    <n v="2723.9787000000001"/>
    <n v="0.63590551181102295"/>
    <n v="0"/>
    <d v="2024-12-15T00:00:00"/>
    <x v="3"/>
    <x v="2"/>
    <n v="-973.58"/>
    <s v="NEGATIVE SALES"/>
    <n v="0"/>
  </r>
  <r>
    <n v="2713"/>
    <s v="Nicholas"/>
    <s v="Mitchell"/>
    <s v="Sneakers"/>
    <n v="0"/>
    <n v="1559.67"/>
    <n v="0.63590551181102295"/>
    <n v="0"/>
    <d v="2025-02-19T00:00:00"/>
    <x v="4"/>
    <x v="0"/>
    <n v="2605.5500000000002"/>
    <s v="NEGATIVE SALES"/>
    <n v="0"/>
  </r>
  <r>
    <n v="2714"/>
    <s v="Alec"/>
    <s v="Santos"/>
    <s v="Boots"/>
    <n v="-2"/>
    <n v="1171.79"/>
    <n v="0.63590551181102295"/>
    <n v="0"/>
    <d v="2025-02-19T00:00:00"/>
    <x v="0"/>
    <x v="2"/>
    <n v="-392.96"/>
    <s v="NEGATIVE SALES"/>
    <n v="-2343.58"/>
  </r>
  <r>
    <n v="2715"/>
    <s v="Karen"/>
    <s v="Flores"/>
    <s v="Slip-Ons"/>
    <n v="4"/>
    <n v="2726.9564999999998"/>
    <n v="0.63590551181102295"/>
    <n v="0"/>
    <d v="2023-07-27T00:00:00"/>
    <x v="1"/>
    <x v="0"/>
    <n v="-144.72"/>
    <s v="NEGATIVE SALES"/>
    <n v="10907.825999999999"/>
  </r>
  <r>
    <n v="2716"/>
    <s v="Courtney"/>
    <s v="Pearson"/>
    <s v="Loafers"/>
    <n v="1"/>
    <n v="2730.9441000000002"/>
    <n v="0.49"/>
    <n v="0"/>
    <d v="2023-07-27T00:00:00"/>
    <x v="4"/>
    <x v="2"/>
    <n v="2134.2800000000002"/>
    <s v="NEGATIVE SALES"/>
    <n v="2730.9441000000002"/>
  </r>
  <r>
    <n v="2717"/>
    <s v="Bethany"/>
    <s v="Johnson"/>
    <s v="Boyfriend Jeans"/>
    <n v="2"/>
    <n v="2730.9441000000002"/>
    <n v="0.63648221343873501"/>
    <n v="0"/>
    <d v="2025-01-03T00:00:00"/>
    <x v="4"/>
    <x v="0"/>
    <n v="2786.83"/>
    <s v="NEGATIVE SALES"/>
    <n v="5461.8882000000003"/>
  </r>
  <r>
    <n v="2718"/>
    <s v="Lawrence"/>
    <s v="Turner"/>
    <s v="Slim Fit Jeans"/>
    <n v="3"/>
    <n v="909.31"/>
    <n v="0.63648221343873501"/>
    <n v="0"/>
    <d v="2025-04-05T00:00:00"/>
    <x v="4"/>
    <x v="1"/>
    <n v="1389.16"/>
    <s v="NEGATIVE SALES"/>
    <n v="2727.93"/>
  </r>
  <r>
    <n v="2719"/>
    <s v="Nicholas"/>
    <s v="Miller"/>
    <s v="Casual Midi"/>
    <n v="0"/>
    <n v="1602.49"/>
    <n v="0.63648221343873501"/>
    <n v="0"/>
    <d v="2025-03-25T00:00:00"/>
    <x v="3"/>
    <x v="2"/>
    <n v="-886.11"/>
    <s v="NEGATIVE SALES"/>
    <n v="0"/>
  </r>
  <r>
    <n v="2720"/>
    <s v="Tracy"/>
    <s v="Howard"/>
    <s v="Wrap Dress"/>
    <n v="0"/>
    <n v="3476.53"/>
    <n v="0.63648221343873501"/>
    <n v="0"/>
    <d v="2025-03-13T00:00:00"/>
    <x v="4"/>
    <x v="1"/>
    <n v="-522.33000000000004"/>
    <s v="NEGATIVE SALES"/>
    <n v="0"/>
  </r>
  <r>
    <n v="2721"/>
    <s v="Jessica"/>
    <s v="Stone"/>
    <s v="Straight Cut"/>
    <n v="0"/>
    <n v="1109.5999999999999"/>
    <n v="0.04"/>
    <n v="0"/>
    <d v="2025-03-13T00:00:00"/>
    <x v="5"/>
    <x v="1"/>
    <n v="885.21"/>
    <s v="NEGATIVE SALES"/>
    <n v="0"/>
  </r>
  <r>
    <n v="2722"/>
    <s v="Brandy"/>
    <s v="Sellers"/>
    <s v="Ripped Denim"/>
    <n v="0"/>
    <n v="2736.6405"/>
    <n v="0.63884920634920594"/>
    <n v="0"/>
    <d v="2025-03-13T00:00:00"/>
    <x v="3"/>
    <x v="0"/>
    <n v="-367.6"/>
    <s v="NEGATIVE SALES"/>
    <n v="0"/>
  </r>
  <r>
    <n v="2723"/>
    <s v="Andrea"/>
    <s v="Parker"/>
    <s v="Classic Tee"/>
    <n v="0"/>
    <n v="2740.8555999999999"/>
    <n v="0.63884920634920594"/>
    <n v="0"/>
    <d v="2025-02-21T00:00:00"/>
    <x v="4"/>
    <x v="1"/>
    <n v="253.64"/>
    <s v="NEGATIVE SALES"/>
    <n v="0"/>
  </r>
  <r>
    <n v="2724"/>
    <s v="Carlos"/>
    <s v="Hernandez"/>
    <s v="Slim Fit Jeans"/>
    <n v="0"/>
    <n v="716.3"/>
    <n v="0.63884920634920594"/>
    <n v="0"/>
    <d v="2025-03-10T00:00:00"/>
    <x v="0"/>
    <x v="0"/>
    <n v="-400.16"/>
    <s v="NEGATIVE SALES"/>
    <n v="0"/>
  </r>
  <r>
    <n v="2725"/>
    <s v="Marvin"/>
    <s v="Williams"/>
    <s v="Leather Jacket"/>
    <n v="0"/>
    <n v="2740.8555999999999"/>
    <n v="0.63884920634920594"/>
    <n v="0"/>
    <d v="2025-02-13T00:00:00"/>
    <x v="5"/>
    <x v="1"/>
    <n v="2116.0700000000002"/>
    <s v="NEGATIVE SALES"/>
    <n v="0"/>
  </r>
  <r>
    <n v="2726"/>
    <s v="Brittney"/>
    <s v="Hamilton"/>
    <s v="Maxi Dress"/>
    <n v="0"/>
    <n v="2746.1142"/>
    <n v="0.17"/>
    <n v="0"/>
    <d v="2025-02-13T00:00:00"/>
    <x v="2"/>
    <x v="1"/>
    <n v="1751.12"/>
    <s v="NEGATIVE SALES"/>
    <n v="0"/>
  </r>
  <r>
    <n v="2727"/>
    <s v="Sharon"/>
    <s v="Russell"/>
    <s v="Sunglasses"/>
    <n v="2"/>
    <n v="2746.1142"/>
    <n v="0.64071713147410403"/>
    <n v="0"/>
    <d v="2023-08-23T00:00:00"/>
    <x v="1"/>
    <x v="1"/>
    <n v="1804.04"/>
    <s v="NEGATIVE SALES"/>
    <n v="5492.2284"/>
  </r>
  <r>
    <n v="2728"/>
    <s v="Shelly"/>
    <s v="Richardson"/>
    <s v="Crop Top"/>
    <n v="0"/>
    <n v="1935.05"/>
    <n v="0.64071713147410403"/>
    <n v="0"/>
    <d v="2024-11-29T00:00:00"/>
    <x v="3"/>
    <x v="1"/>
    <n v="1483.93"/>
    <s v="NEGATIVE SALES"/>
    <n v="0"/>
  </r>
  <r>
    <n v="2729"/>
    <s v="Alexander"/>
    <s v="Cox"/>
    <s v="Bodycon"/>
    <n v="5"/>
    <n v="2746.1142"/>
    <n v="1.22"/>
    <n v="0"/>
    <d v="2024-11-29T00:00:00"/>
    <x v="1"/>
    <x v="1"/>
    <n v="-973.04"/>
    <s v="NEGATIVE SALES"/>
    <n v="13730.571"/>
  </r>
  <r>
    <n v="2730"/>
    <s v="Jessica"/>
    <s v="White"/>
    <s v="Classic Tee"/>
    <n v="0"/>
    <n v="2748.2262999999998"/>
    <n v="0.63839999999999997"/>
    <n v="0"/>
    <d v="2024-02-28T00:00:00"/>
    <x v="0"/>
    <x v="1"/>
    <n v="2203.9699999999998"/>
    <s v="NEGATIVE SALES"/>
    <n v="0"/>
  </r>
  <r>
    <n v="2731"/>
    <s v="David"/>
    <s v="Hawkins"/>
    <s v="Puffer Coat"/>
    <n v="-1"/>
    <n v="1635.12"/>
    <n v="0.63839999999999997"/>
    <n v="0"/>
    <d v="2025-07-16T00:00:00"/>
    <x v="2"/>
    <x v="2"/>
    <n v="-526.88"/>
    <s v="NEGATIVE SALES"/>
    <n v="-1635.12"/>
  </r>
  <r>
    <n v="2732"/>
    <s v="Thomas"/>
    <s v="Pham"/>
    <s v="Boots"/>
    <n v="6"/>
    <n v="2748.2262999999998"/>
    <n v="0.55000000000000004"/>
    <n v="0"/>
    <d v="2025-07-16T00:00:00"/>
    <x v="5"/>
    <x v="0"/>
    <n v="-833.43"/>
    <s v="NEGATIVE SALES"/>
    <n v="16489.357800000002"/>
  </r>
  <r>
    <n v="2733"/>
    <s v="Karen"/>
    <s v="Brown"/>
    <s v="Boyfriend Jeans"/>
    <n v="0"/>
    <n v="2751.1325999999999"/>
    <n v="0.63875502008032103"/>
    <n v="0"/>
    <d v="2024-09-27T00:00:00"/>
    <x v="2"/>
    <x v="2"/>
    <n v="2523.7199999999998"/>
    <s v="NEGATIVE SALES"/>
    <n v="0"/>
  </r>
  <r>
    <n v="2734"/>
    <s v="Elizabeth"/>
    <s v="Ingram"/>
    <s v="Wrap Dress"/>
    <n v="4"/>
    <n v="3261.51"/>
    <n v="0.82"/>
    <n v="2348.29"/>
    <d v="2024-09-27T00:00:00"/>
    <x v="5"/>
    <x v="1"/>
    <n v="1429.02"/>
    <s v="POSITIVE SALES"/>
    <n v="13046.04"/>
  </r>
  <r>
    <n v="2735"/>
    <s v="Jermaine"/>
    <s v="Hicks"/>
    <s v="Sunglasses"/>
    <n v="0"/>
    <n v="541.71"/>
    <n v="0.63802419354838702"/>
    <n v="0"/>
    <d v="2024-10-11T00:00:00"/>
    <x v="3"/>
    <x v="2"/>
    <n v="1872.65"/>
    <s v="NEGATIVE SALES"/>
    <n v="0"/>
  </r>
  <r>
    <n v="2736"/>
    <s v="Mary"/>
    <s v="Gomez"/>
    <s v="Slim Fit Jeans"/>
    <n v="0"/>
    <n v="2749.7964999999999"/>
    <n v="0.63802419354838702"/>
    <n v="0"/>
    <d v="2025-06-19T00:00:00"/>
    <x v="0"/>
    <x v="1"/>
    <n v="-253.78"/>
    <s v="NEGATIVE SALES"/>
    <n v="0"/>
  </r>
  <r>
    <n v="2737"/>
    <s v="Adrian"/>
    <s v="Martinez"/>
    <s v="Watches"/>
    <n v="0"/>
    <n v="1927.98"/>
    <n v="0.63802419354838702"/>
    <n v="0"/>
    <d v="2025-05-14T00:00:00"/>
    <x v="4"/>
    <x v="1"/>
    <n v="-251.21"/>
    <s v="NEGATIVE SALES"/>
    <n v="0"/>
  </r>
  <r>
    <n v="2738"/>
    <s v="Joshua"/>
    <s v="Obrien"/>
    <s v="Wrap Dress"/>
    <n v="0"/>
    <n v="2755.5920000000001"/>
    <n v="0.55000000000000004"/>
    <n v="0"/>
    <d v="2024-12-29T00:00:00"/>
    <x v="2"/>
    <x v="2"/>
    <n v="733.8"/>
    <s v="NEGATIVE SALES"/>
    <n v="0"/>
  </r>
  <r>
    <n v="2739"/>
    <s v="Brianna"/>
    <s v="Little"/>
    <s v="Boots"/>
    <n v="4"/>
    <n v="4316.8500000000004"/>
    <n v="0.63838056680161903"/>
    <n v="0"/>
    <d v="2023-12-08T00:00:00"/>
    <x v="1"/>
    <x v="1"/>
    <n v="2259.3000000000002"/>
    <s v="NEGATIVE SALES"/>
    <n v="17267.400000000001"/>
  </r>
  <r>
    <n v="2740"/>
    <s v="Todd"/>
    <s v="Smith"/>
    <s v="Boyfriend Jeans"/>
    <n v="1"/>
    <n v="2757.77"/>
    <n v="0.63838056680161903"/>
    <n v="0"/>
    <d v="2023-12-08T00:00:00"/>
    <x v="2"/>
    <x v="2"/>
    <n v="996.39"/>
    <s v="NEGATIVE SALES"/>
    <n v="2757.77"/>
  </r>
  <r>
    <n v="2741"/>
    <s v="Michael"/>
    <s v="Lee"/>
    <s v="Bomber Jacket"/>
    <n v="1"/>
    <n v="2753.6563000000001"/>
    <n v="0.53"/>
    <n v="0"/>
    <d v="2024-09-28T00:00:00"/>
    <x v="2"/>
    <x v="0"/>
    <n v="2013.85"/>
    <s v="NEGATIVE SALES"/>
    <n v="2753.6563000000001"/>
  </r>
  <r>
    <n v="2742"/>
    <s v="Sandra"/>
    <s v="Hobbs"/>
    <s v="Belts"/>
    <n v="-2"/>
    <n v="2753.6563000000001"/>
    <n v="0.63882113821138198"/>
    <n v="0"/>
    <d v="2025-07-15T00:00:00"/>
    <x v="3"/>
    <x v="0"/>
    <n v="1045.71"/>
    <s v="NEGATIVE SALES"/>
    <n v="-5507.3126000000002"/>
  </r>
  <r>
    <n v="2744"/>
    <s v="Wendy"/>
    <s v="Ellison"/>
    <s v="Crop Top"/>
    <n v="-2"/>
    <n v="2753.6563000000001"/>
    <n v="0.63722448979591795"/>
    <n v="0"/>
    <d v="2025-05-14T00:00:00"/>
    <x v="2"/>
    <x v="2"/>
    <n v="-635.51"/>
    <s v="NEGATIVE SALES"/>
    <n v="-5507.3126000000002"/>
  </r>
  <r>
    <n v="2745"/>
    <s v="Robert"/>
    <s v="Gray"/>
    <s v="Slim Fit Jeans"/>
    <n v="-1"/>
    <n v="869.82"/>
    <n v="0.63722448979591795"/>
    <n v="0"/>
    <d v="2024-07-24T00:00:00"/>
    <x v="3"/>
    <x v="0"/>
    <n v="737.77"/>
    <s v="NEGATIVE SALES"/>
    <n v="-869.82"/>
  </r>
  <r>
    <n v="2746"/>
    <s v="Holly"/>
    <s v="Mclean"/>
    <s v="Slim Fit Jeans"/>
    <n v="0"/>
    <n v="668.51"/>
    <n v="1.02"/>
    <n v="0"/>
    <d v="2024-11-12T00:00:00"/>
    <x v="3"/>
    <x v="0"/>
    <n v="2100.4"/>
    <s v="NEGATIVE SALES"/>
    <n v="0"/>
  </r>
  <r>
    <n v="2747"/>
    <s v="Rebekah"/>
    <s v="Wolf"/>
    <s v="Graphic Tee"/>
    <n v="1"/>
    <n v="1369.29"/>
    <n v="0.63565573770491801"/>
    <n v="0"/>
    <d v="2025-05-19T00:00:00"/>
    <x v="2"/>
    <x v="0"/>
    <n v="325.08"/>
    <s v="NEGATIVE SALES"/>
    <n v="1369.29"/>
  </r>
  <r>
    <n v="2748"/>
    <s v="Laura"/>
    <s v="Hernandez"/>
    <s v="Watches"/>
    <n v="4"/>
    <n v="3977.88"/>
    <n v="0.63565573770491801"/>
    <n v="0"/>
    <d v="2025-01-13T00:00:00"/>
    <x v="1"/>
    <x v="0"/>
    <n v="2431.13"/>
    <s v="NEGATIVE SALES"/>
    <n v="15911.52"/>
  </r>
  <r>
    <n v="2749"/>
    <s v="Brandon"/>
    <s v="Richmond"/>
    <s v="Puffer Coat"/>
    <n v="5"/>
    <n v="2764.2166000000002"/>
    <n v="0.63565573770491801"/>
    <n v="0"/>
    <d v="2025-01-13T00:00:00"/>
    <x v="4"/>
    <x v="1"/>
    <n v="2595.31"/>
    <s v="NEGATIVE SALES"/>
    <n v="13821.083000000001"/>
  </r>
  <r>
    <n v="2751"/>
    <s v="Tyler"/>
    <s v="Curtis"/>
    <s v="Leather Jacket"/>
    <n v="0"/>
    <n v="2760.9715000000001"/>
    <n v="0.98"/>
    <n v="0"/>
    <d v="2024-12-16T00:00:00"/>
    <x v="3"/>
    <x v="1"/>
    <n v="1778.54"/>
    <s v="NEGATIVE SALES"/>
    <n v="0"/>
  </r>
  <r>
    <n v="2752"/>
    <s v="Mrs."/>
    <s v="Andrea"/>
    <s v="Sneakers"/>
    <n v="0"/>
    <n v="4552.8"/>
    <n v="1.01"/>
    <n v="0"/>
    <d v="2024-12-16T00:00:00"/>
    <x v="4"/>
    <x v="2"/>
    <n v="1802.91"/>
    <s v="NEGATIVE SALES"/>
    <n v="0"/>
  </r>
  <r>
    <n v="2754"/>
    <s v="Alexandra"/>
    <s v="Perez"/>
    <s v="Straight Cut"/>
    <n v="1"/>
    <n v="2759.9202"/>
    <n v="0.63268595041322295"/>
    <n v="0"/>
    <d v="2025-03-18T00:00:00"/>
    <x v="3"/>
    <x v="1"/>
    <n v="-0.15"/>
    <s v="NEGATIVE SALES"/>
    <n v="2759.9202"/>
  </r>
  <r>
    <n v="2755"/>
    <s v="Todd"/>
    <s v="Lynch"/>
    <s v="Watches"/>
    <n v="-2"/>
    <n v="2755.6313"/>
    <n v="0.32"/>
    <n v="0"/>
    <d v="2023-09-30T00:00:00"/>
    <x v="0"/>
    <x v="2"/>
    <n v="1174.6400000000001"/>
    <s v="NEGATIVE SALES"/>
    <n v="-5511.2626"/>
  </r>
  <r>
    <n v="2756"/>
    <s v="Alan"/>
    <s v="Beard"/>
    <s v="Classic Tee"/>
    <n v="6"/>
    <n v="2755.6313"/>
    <n v="0.63398340248962604"/>
    <n v="0"/>
    <d v="2024-10-01T00:00:00"/>
    <x v="4"/>
    <x v="0"/>
    <n v="813.53"/>
    <s v="NEGATIVE SALES"/>
    <n v="16533.787799999998"/>
  </r>
  <r>
    <n v="2757"/>
    <s v="Stephanie"/>
    <s v="Jensen"/>
    <s v="Caps"/>
    <n v="3"/>
    <n v="4923.95"/>
    <n v="0.63398340248962604"/>
    <n v="0"/>
    <d v="2025-05-17T00:00:00"/>
    <x v="4"/>
    <x v="2"/>
    <n v="794.65"/>
    <s v="NEGATIVE SALES"/>
    <n v="14771.85"/>
  </r>
  <r>
    <n v="2759"/>
    <s v="Mr."/>
    <s v="Kenneth"/>
    <s v="Boots"/>
    <n v="0"/>
    <n v="2749.7709"/>
    <n v="0.9"/>
    <n v="0"/>
    <d v="2024-08-05T00:00:00"/>
    <x v="1"/>
    <x v="1"/>
    <n v="-300.89999999999998"/>
    <s v="NEGATIVE SALES"/>
    <n v="0"/>
  </r>
  <r>
    <n v="2760"/>
    <s v="Brian"/>
    <s v="Craig"/>
    <s v="Slip-Ons"/>
    <n v="0"/>
    <n v="2749.1867999999999"/>
    <n v="0.63287499999999997"/>
    <n v="0"/>
    <d v="2024-10-21T00:00:00"/>
    <x v="0"/>
    <x v="2"/>
    <n v="-833.77"/>
    <s v="NEGATIVE SALES"/>
    <n v="0"/>
  </r>
  <r>
    <n v="2761"/>
    <s v="Andrea"/>
    <s v="West"/>
    <s v="Maxi Dress"/>
    <n v="0"/>
    <n v="3586.76"/>
    <n v="0.63287499999999997"/>
    <n v="0"/>
    <d v="2025-04-05T00:00:00"/>
    <x v="4"/>
    <x v="0"/>
    <n v="594.95000000000005"/>
    <s v="NEGATIVE SALES"/>
    <n v="0"/>
  </r>
  <r>
    <n v="2762"/>
    <s v="Sara"/>
    <s v="Miller"/>
    <s v="Wrap Dress"/>
    <n v="0"/>
    <n v="1278.8499999999999"/>
    <n v="0.63287499999999997"/>
    <n v="0"/>
    <d v="2025-01-13T00:00:00"/>
    <x v="5"/>
    <x v="2"/>
    <n v="1989.71"/>
    <s v="NEGATIVE SALES"/>
    <n v="0"/>
  </r>
  <r>
    <n v="2763"/>
    <s v="Steven"/>
    <s v="Sharp"/>
    <s v="Caps"/>
    <n v="3"/>
    <n v="3360.01"/>
    <n v="0.63287499999999997"/>
    <n v="0"/>
    <d v="2025-01-13T00:00:00"/>
    <x v="5"/>
    <x v="1"/>
    <n v="1547.22"/>
    <s v="NEGATIVE SALES"/>
    <n v="10080.030000000001"/>
  </r>
  <r>
    <n v="2764"/>
    <s v="Sandra"/>
    <s v="Hudson"/>
    <s v="Watches"/>
    <n v="3"/>
    <n v="2750.9110000000001"/>
    <n v="0.63287499999999997"/>
    <n v="0"/>
    <d v="2024-10-28T00:00:00"/>
    <x v="1"/>
    <x v="2"/>
    <n v="2347.0700000000002"/>
    <s v="NEGATIVE SALES"/>
    <n v="8252.7330000000002"/>
  </r>
  <r>
    <n v="2765"/>
    <s v="Joseph"/>
    <s v="Williams"/>
    <s v="Wrap Dress"/>
    <n v="0"/>
    <n v="2749.2467000000001"/>
    <n v="0.63287499999999997"/>
    <n v="0"/>
    <d v="2025-06-26T00:00:00"/>
    <x v="4"/>
    <x v="1"/>
    <n v="2047.44"/>
    <s v="NEGATIVE SALES"/>
    <n v="0"/>
  </r>
  <r>
    <n v="2766"/>
    <s v="Brian"/>
    <s v="Wells"/>
    <s v="Straight Cut"/>
    <n v="0"/>
    <n v="2749.2467000000001"/>
    <n v="0.63287499999999997"/>
    <n v="0"/>
    <d v="2024-08-26T00:00:00"/>
    <x v="4"/>
    <x v="0"/>
    <n v="621.85"/>
    <s v="NEGATIVE SALES"/>
    <n v="0"/>
  </r>
  <r>
    <n v="2767"/>
    <s v="Justin"/>
    <s v="Charles"/>
    <s v="Classic Tee"/>
    <n v="0"/>
    <n v="4149.42"/>
    <n v="0.13"/>
    <n v="0"/>
    <d v="2024-08-26T00:00:00"/>
    <x v="5"/>
    <x v="2"/>
    <n v="1926.29"/>
    <s v="NEGATIVE SALES"/>
    <n v="0"/>
  </r>
  <r>
    <n v="2768"/>
    <s v="Hannah"/>
    <s v="Allen"/>
    <s v="Oversized T-Shirt"/>
    <n v="0"/>
    <n v="2749.2467000000001"/>
    <n v="0.69"/>
    <n v="0"/>
    <d v="2025-06-14T00:00:00"/>
    <x v="4"/>
    <x v="0"/>
    <n v="465.45"/>
    <s v="NEGATIVE SALES"/>
    <n v="0"/>
  </r>
  <r>
    <n v="2769"/>
    <s v="Jennifer"/>
    <s v="Hall"/>
    <s v="Graphic Tee"/>
    <n v="0"/>
    <n v="2745.4106999999999"/>
    <n v="0.63474789915966401"/>
    <n v="0"/>
    <d v="2025-02-02T00:00:00"/>
    <x v="1"/>
    <x v="2"/>
    <n v="2102.88"/>
    <s v="NEGATIVE SALES"/>
    <n v="0"/>
  </r>
  <r>
    <n v="2770"/>
    <s v="Angela"/>
    <s v="Carlson"/>
    <s v="Classic Tee"/>
    <n v="0"/>
    <n v="1439.18"/>
    <n v="0.49"/>
    <n v="0"/>
    <d v="2025-04-13T00:00:00"/>
    <x v="4"/>
    <x v="0"/>
    <n v="2007.56"/>
    <s v="NEGATIVE SALES"/>
    <n v="0"/>
  </r>
  <r>
    <n v="2772"/>
    <s v="Antonio"/>
    <s v="Crosby"/>
    <s v="Ripped Denim"/>
    <n v="0"/>
    <n v="2748.9992000000002"/>
    <n v="0.63535864978903001"/>
    <n v="0"/>
    <d v="2024-02-20T00:00:00"/>
    <x v="5"/>
    <x v="2"/>
    <n v="-865.59"/>
    <s v="NEGATIVE SALES"/>
    <n v="0"/>
  </r>
  <r>
    <n v="2773"/>
    <s v="Erin"/>
    <s v="Kim"/>
    <s v="Bomber Jacket"/>
    <n v="0"/>
    <n v="2745.6718000000001"/>
    <n v="0.63535864978903001"/>
    <n v="0"/>
    <d v="2024-02-20T00:00:00"/>
    <x v="1"/>
    <x v="0"/>
    <n v="1944.87"/>
    <s v="NEGATIVE SALES"/>
    <n v="0"/>
  </r>
  <r>
    <n v="2774"/>
    <s v="Paul"/>
    <s v="Harvey"/>
    <s v="Sunglasses"/>
    <n v="0"/>
    <n v="2745.6718000000001"/>
    <n v="0.63535864978903001"/>
    <n v="0"/>
    <d v="2024-07-24T00:00:00"/>
    <x v="2"/>
    <x v="1"/>
    <n v="1081.4100000000001"/>
    <s v="NEGATIVE SALES"/>
    <n v="0"/>
  </r>
  <r>
    <n v="2775"/>
    <s v="Christopher"/>
    <s v="Kidd"/>
    <s v="Sneakers"/>
    <n v="5"/>
    <n v="2745.6718000000001"/>
    <n v="0.46"/>
    <n v="0"/>
    <d v="2024-07-31T00:00:00"/>
    <x v="1"/>
    <x v="2"/>
    <n v="1182.1199999999999"/>
    <s v="NEGATIVE SALES"/>
    <n v="13728.359"/>
  </r>
  <r>
    <n v="2776"/>
    <s v="Wesley"/>
    <s v="Valencia"/>
    <s v="Leather Jacket"/>
    <n v="0"/>
    <n v="891.42"/>
    <n v="0.63610169491525403"/>
    <n v="0"/>
    <d v="2024-11-21T00:00:00"/>
    <x v="2"/>
    <x v="0"/>
    <n v="664.02"/>
    <s v="NEGATIVE SALES"/>
    <n v="0"/>
  </r>
  <r>
    <n v="2777"/>
    <s v="Janet"/>
    <s v="Chang"/>
    <s v="Sneakers"/>
    <n v="0"/>
    <n v="2745.6718000000001"/>
    <n v="0.42"/>
    <n v="0"/>
    <d v="2024-12-12T00:00:00"/>
    <x v="4"/>
    <x v="2"/>
    <n v="1373.67"/>
    <s v="NEGATIVE SALES"/>
    <n v="0"/>
  </r>
  <r>
    <n v="2778"/>
    <s v="Ashley"/>
    <s v="Bishop"/>
    <s v="Wrap Dress"/>
    <n v="0"/>
    <n v="578.58000000000004"/>
    <n v="1.0900000000000001"/>
    <n v="0"/>
    <d v="2025-01-14T00:00:00"/>
    <x v="1"/>
    <x v="1"/>
    <n v="414.18"/>
    <s v="NEGATIVE SALES"/>
    <n v="0"/>
  </r>
  <r>
    <n v="2779"/>
    <s v="Rebecca"/>
    <s v="Marsh"/>
    <s v="Crop Top"/>
    <n v="0"/>
    <n v="2750.7941000000001"/>
    <n v="0.4"/>
    <n v="0"/>
    <d v="2025-04-27T00:00:00"/>
    <x v="4"/>
    <x v="1"/>
    <n v="2573.85"/>
    <s v="NEGATIVE SALES"/>
    <n v="0"/>
  </r>
  <r>
    <n v="2780"/>
    <s v="Ebony"/>
    <s v="Jones"/>
    <s v="Casual Midi"/>
    <n v="0"/>
    <n v="2534.9"/>
    <n v="0.63609442060085797"/>
    <n v="0"/>
    <d v="2025-05-04T00:00:00"/>
    <x v="1"/>
    <x v="2"/>
    <n v="1529.17"/>
    <s v="NEGATIVE SALES"/>
    <n v="0"/>
  </r>
  <r>
    <n v="2781"/>
    <s v="Frederick"/>
    <s v="Henry"/>
    <s v="Straight Cut"/>
    <n v="0"/>
    <n v="2756.8112999999998"/>
    <n v="1.07"/>
    <n v="0"/>
    <d v="2025-05-03T00:00:00"/>
    <x v="1"/>
    <x v="0"/>
    <n v="1947.29"/>
    <s v="NEGATIVE SALES"/>
    <n v="0"/>
  </r>
  <r>
    <n v="2782"/>
    <s v="Janet"/>
    <s v="Lopez"/>
    <s v="Ripped Denim"/>
    <n v="0"/>
    <n v="449.09"/>
    <n v="0.63422413793103405"/>
    <n v="0"/>
    <d v="2025-05-03T00:00:00"/>
    <x v="2"/>
    <x v="1"/>
    <n v="2797.37"/>
    <s v="NEGATIVE SALES"/>
    <n v="0"/>
  </r>
  <r>
    <n v="2783"/>
    <s v="Frank"/>
    <s v="Mitchell"/>
    <s v="Belts"/>
    <n v="0"/>
    <n v="2757.4277000000002"/>
    <n v="0.63422413793103405"/>
    <n v="0"/>
    <d v="2024-09-12T00:00:00"/>
    <x v="2"/>
    <x v="0"/>
    <n v="45.06"/>
    <s v="NEGATIVE SALES"/>
    <n v="0"/>
  </r>
  <r>
    <n v="2784"/>
    <s v="Matthew"/>
    <s v="Cole"/>
    <s v="Bomber Jacket"/>
    <n v="0"/>
    <n v="2763.8575999999998"/>
    <n v="0.63422413793103405"/>
    <n v="0"/>
    <d v="2025-01-03T00:00:00"/>
    <x v="4"/>
    <x v="0"/>
    <n v="2921.6"/>
    <s v="NEGATIVE SALES"/>
    <n v="0"/>
  </r>
  <r>
    <n v="2785"/>
    <s v="Daniel"/>
    <s v="Perez"/>
    <s v="Sneakers"/>
    <n v="0"/>
    <n v="2763.8575999999998"/>
    <n v="0.63422413793103405"/>
    <n v="0"/>
    <d v="2024-10-04T00:00:00"/>
    <x v="2"/>
    <x v="1"/>
    <n v="385.61"/>
    <s v="NEGATIVE SALES"/>
    <n v="0"/>
  </r>
  <r>
    <n v="2787"/>
    <s v="Tami"/>
    <s v="Leonard"/>
    <s v="Caps"/>
    <n v="0"/>
    <n v="2763.8575999999998"/>
    <n v="0.63683982683982698"/>
    <n v="0"/>
    <d v="2024-09-26T00:00:00"/>
    <x v="5"/>
    <x v="1"/>
    <n v="1459.62"/>
    <s v="NEGATIVE SALES"/>
    <n v="0"/>
  </r>
  <r>
    <n v="2788"/>
    <s v="Gerald"/>
    <s v="Snow"/>
    <s v="Sunglasses"/>
    <n v="-1"/>
    <n v="3267.28"/>
    <n v="0.63683982683982698"/>
    <n v="0"/>
    <d v="2025-03-26T00:00:00"/>
    <x v="3"/>
    <x v="2"/>
    <n v="81.99"/>
    <s v="NEGATIVE SALES"/>
    <n v="-3267.28"/>
  </r>
  <r>
    <n v="2789"/>
    <s v="Alexis"/>
    <s v="Wu"/>
    <s v="Belts"/>
    <n v="3"/>
    <n v="3735.56"/>
    <n v="0.63683982683982698"/>
    <n v="0"/>
    <d v="2025-03-26T00:00:00"/>
    <x v="4"/>
    <x v="0"/>
    <n v="-690.11"/>
    <s v="NEGATIVE SALES"/>
    <n v="11206.68"/>
  </r>
  <r>
    <n v="2790"/>
    <s v="Angela"/>
    <s v="Miller"/>
    <s v="Boyfriend Jeans"/>
    <n v="3"/>
    <n v="2675.27"/>
    <n v="0.41"/>
    <n v="4735.2299999999996"/>
    <d v="2024-11-09T00:00:00"/>
    <x v="0"/>
    <x v="2"/>
    <n v="1960.51"/>
    <s v="POSITIVE SALES"/>
    <n v="8025.81"/>
  </r>
  <r>
    <n v="2791"/>
    <s v="Stephanie"/>
    <s v="Thomas"/>
    <s v="Classic Tee"/>
    <n v="3"/>
    <n v="2759.7256000000002"/>
    <n v="0.63782608695652199"/>
    <n v="0"/>
    <d v="2024-11-08T00:00:00"/>
    <x v="4"/>
    <x v="1"/>
    <n v="-166.3"/>
    <s v="NEGATIVE SALES"/>
    <n v="8279.1767999999993"/>
  </r>
  <r>
    <n v="2792"/>
    <s v="Elizabeth"/>
    <s v="Ford"/>
    <s v="Graphic Tee"/>
    <n v="0"/>
    <n v="1039.1500000000001"/>
    <n v="0.63782608695652199"/>
    <n v="0"/>
    <d v="2024-11-08T00:00:00"/>
    <x v="4"/>
    <x v="0"/>
    <n v="2620.13"/>
    <s v="NEGATIVE SALES"/>
    <n v="0"/>
  </r>
  <r>
    <n v="2793"/>
    <s v="Scott"/>
    <s v="Kent"/>
    <s v="Belts"/>
    <n v="-2"/>
    <n v="4836.47"/>
    <n v="0.63782608695652199"/>
    <n v="0"/>
    <d v="2025-03-19T00:00:00"/>
    <x v="1"/>
    <x v="0"/>
    <n v="-608.29999999999995"/>
    <s v="NEGATIVE SALES"/>
    <n v="-9672.94"/>
  </r>
  <r>
    <n v="2794"/>
    <s v="Eric"/>
    <s v="Fletcher"/>
    <s v="Bodycon"/>
    <n v="0"/>
    <n v="2764.8101999999999"/>
    <n v="0.63782608695652199"/>
    <n v="0"/>
    <d v="2025-01-28T00:00:00"/>
    <x v="3"/>
    <x v="0"/>
    <n v="2860.66"/>
    <s v="NEGATIVE SALES"/>
    <n v="0"/>
  </r>
  <r>
    <n v="2795"/>
    <s v="Paul"/>
    <s v="Smith"/>
    <s v="Boyfriend Jeans"/>
    <n v="0"/>
    <n v="2758.9580999999998"/>
    <n v="0.63782608695652199"/>
    <n v="0"/>
    <d v="2025-01-28T00:00:00"/>
    <x v="2"/>
    <x v="0"/>
    <n v="984.22"/>
    <s v="NEGATIVE SALES"/>
    <n v="0"/>
  </r>
  <r>
    <n v="2796"/>
    <s v="Walter"/>
    <s v="Pham"/>
    <s v="Puffer Coat"/>
    <n v="3"/>
    <n v="2758.9580999999998"/>
    <n v="0.63782608695652199"/>
    <n v="0"/>
    <d v="2025-01-28T00:00:00"/>
    <x v="0"/>
    <x v="1"/>
    <n v="2.81"/>
    <s v="NEGATIVE SALES"/>
    <n v="8276.8742999999995"/>
  </r>
  <r>
    <n v="2797"/>
    <s v="Kaylee"/>
    <s v="Wilkins"/>
    <s v="Belts"/>
    <n v="-1"/>
    <n v="1257.81"/>
    <n v="0.63782608695652199"/>
    <n v="0"/>
    <d v="2025-05-19T00:00:00"/>
    <x v="1"/>
    <x v="0"/>
    <n v="2957.6"/>
    <s v="NEGATIVE SALES"/>
    <n v="-1257.81"/>
  </r>
  <r>
    <n v="2798"/>
    <s v="Christina"/>
    <s v="Barnes"/>
    <s v="Wrap Dress"/>
    <n v="0"/>
    <n v="2758.9580999999998"/>
    <n v="0.63782608695652199"/>
    <n v="0"/>
    <d v="2025-03-15T00:00:00"/>
    <x v="4"/>
    <x v="0"/>
    <n v="386.97"/>
    <s v="NEGATIVE SALES"/>
    <n v="0"/>
  </r>
  <r>
    <n v="2799"/>
    <s v="Mark"/>
    <s v="Olson"/>
    <s v="Classic Tee"/>
    <n v="0"/>
    <n v="2763.2105999999999"/>
    <n v="0.63782608695652199"/>
    <n v="0"/>
    <d v="2025-03-19T00:00:00"/>
    <x v="4"/>
    <x v="1"/>
    <n v="683.04"/>
    <s v="NEGATIVE SALES"/>
    <n v="0"/>
  </r>
  <r>
    <n v="2800"/>
    <s v="Amanda"/>
    <s v="Berry"/>
    <s v="Boyfriend Jeans"/>
    <n v="0"/>
    <n v="3410.38"/>
    <n v="0.63782608695652199"/>
    <n v="0"/>
    <d v="2024-09-04T00:00:00"/>
    <x v="5"/>
    <x v="1"/>
    <n v="1733.81"/>
    <s v="NEGATIVE SALES"/>
    <n v="0"/>
  </r>
  <r>
    <n v="2801"/>
    <s v="Robert"/>
    <s v="Kelly"/>
    <s v="Watches"/>
    <n v="0"/>
    <n v="1870.82"/>
    <n v="0.63782608695652199"/>
    <n v="0"/>
    <d v="2024-09-04T00:00:00"/>
    <x v="1"/>
    <x v="1"/>
    <n v="-45.08"/>
    <s v="NEGATIVE SALES"/>
    <n v="0"/>
  </r>
  <r>
    <n v="2802"/>
    <s v="Sean"/>
    <s v="Medina"/>
    <s v="Sneakers"/>
    <n v="-1"/>
    <n v="2761.3721"/>
    <n v="0.63782608695652199"/>
    <n v="0"/>
    <d v="2024-09-04T00:00:00"/>
    <x v="3"/>
    <x v="1"/>
    <n v="365.63"/>
    <s v="NEGATIVE SALES"/>
    <n v="-2761.3721"/>
  </r>
  <r>
    <n v="2803"/>
    <s v="Benjamin"/>
    <s v="Boyd"/>
    <s v="Crop Top"/>
    <n v="5"/>
    <n v="4418.75"/>
    <n v="0.63782608695652199"/>
    <n v="0"/>
    <d v="2023-08-13T00:00:00"/>
    <x v="3"/>
    <x v="1"/>
    <n v="693.65"/>
    <s v="NEGATIVE SALES"/>
    <n v="22093.75"/>
  </r>
  <r>
    <n v="2804"/>
    <s v="Julie"/>
    <s v="Jones"/>
    <s v="Sunglasses"/>
    <n v="6"/>
    <n v="4784"/>
    <n v="0.63782608695652199"/>
    <n v="0"/>
    <d v="2025-03-16T00:00:00"/>
    <x v="2"/>
    <x v="2"/>
    <n v="2969.42"/>
    <s v="NEGATIVE SALES"/>
    <n v="28704"/>
  </r>
  <r>
    <n v="2805"/>
    <s v="Tanner"/>
    <s v="Nguyen"/>
    <s v="Slip-Ons"/>
    <n v="0"/>
    <n v="4930.08"/>
    <n v="0.92"/>
    <n v="0"/>
    <d v="2025-05-24T00:00:00"/>
    <x v="3"/>
    <x v="2"/>
    <n v="623.04999999999995"/>
    <s v="NEGATIVE SALES"/>
    <n v="0"/>
  </r>
  <r>
    <n v="2806"/>
    <s v="Maria"/>
    <s v="Morris"/>
    <s v="Boyfriend Jeans"/>
    <n v="0"/>
    <n v="2753.3793999999998"/>
    <n v="0.63659388646288195"/>
    <n v="0"/>
    <d v="2024-10-04T00:00:00"/>
    <x v="3"/>
    <x v="1"/>
    <n v="2658.95"/>
    <s v="NEGATIVE SALES"/>
    <n v="0"/>
  </r>
  <r>
    <n v="2807"/>
    <s v="Dylan"/>
    <s v="Serrano"/>
    <s v="Slim Fit Jeans"/>
    <n v="0"/>
    <n v="3064.28"/>
    <n v="1.04"/>
    <n v="0"/>
    <d v="2024-08-12T00:00:00"/>
    <x v="5"/>
    <x v="2"/>
    <n v="2540.5300000000002"/>
    <s v="NEGATIVE SALES"/>
    <n v="0"/>
  </r>
  <r>
    <n v="2808"/>
    <s v="Samantha"/>
    <s v="Wells"/>
    <s v="Slip-Ons"/>
    <n v="0"/>
    <n v="4234.7700000000004"/>
    <n v="0.63482456140350896"/>
    <n v="0"/>
    <d v="2024-08-12T00:00:00"/>
    <x v="0"/>
    <x v="0"/>
    <n v="-664.44"/>
    <s v="NEGATIVE SALES"/>
    <n v="0"/>
  </r>
  <r>
    <n v="2810"/>
    <s v="Margaret"/>
    <s v="Hall"/>
    <s v="Boyfriend Jeans"/>
    <n v="0"/>
    <n v="2038.37"/>
    <n v="1.07"/>
    <n v="0"/>
    <d v="2024-08-12T00:00:00"/>
    <x v="2"/>
    <x v="2"/>
    <n v="1762.96"/>
    <s v="NEGATIVE SALES"/>
    <n v="0"/>
  </r>
  <r>
    <n v="2811"/>
    <s v="Robert"/>
    <s v="Perry"/>
    <s v="Bodycon"/>
    <n v="0"/>
    <n v="4426.1499999999996"/>
    <n v="0.63290748898678395"/>
    <n v="0"/>
    <d v="2024-12-31T00:00:00"/>
    <x v="0"/>
    <x v="2"/>
    <n v="1639.67"/>
    <s v="NEGATIVE SALES"/>
    <n v="0"/>
  </r>
  <r>
    <n v="2812"/>
    <s v="Wesley"/>
    <s v="Lopez"/>
    <s v="Graphic Tee"/>
    <n v="0"/>
    <n v="2743.9475000000002"/>
    <n v="0.63290748898678395"/>
    <n v="0"/>
    <d v="2025-03-11T00:00:00"/>
    <x v="4"/>
    <x v="2"/>
    <n v="-662.74"/>
    <s v="NEGATIVE SALES"/>
    <n v="0"/>
  </r>
  <r>
    <n v="2813"/>
    <s v="Mary"/>
    <s v="Lopez"/>
    <s v="Belts"/>
    <n v="0"/>
    <n v="2739.0574000000001"/>
    <n v="0.41"/>
    <n v="0"/>
    <d v="2024-09-30T00:00:00"/>
    <x v="1"/>
    <x v="1"/>
    <n v="-756.66"/>
    <s v="NEGATIVE SALES"/>
    <n v="0"/>
  </r>
  <r>
    <n v="2814"/>
    <s v="Roger"/>
    <s v="Bennett"/>
    <s v="Boyfriend Jeans"/>
    <n v="0"/>
    <n v="1888.27"/>
    <n v="0.63389380530973505"/>
    <n v="0"/>
    <d v="2025-01-25T00:00:00"/>
    <x v="2"/>
    <x v="2"/>
    <n v="2441.5100000000002"/>
    <s v="NEGATIVE SALES"/>
    <n v="0"/>
  </r>
  <r>
    <n v="2816"/>
    <s v="Isaac"/>
    <s v="Watson"/>
    <s v="Denim Jacket"/>
    <n v="0"/>
    <n v="3817.72"/>
    <n v="0.34"/>
    <n v="0"/>
    <d v="2024-12-02T00:00:00"/>
    <x v="1"/>
    <x v="2"/>
    <n v="-69.09"/>
    <s v="NEGATIVE SALES"/>
    <n v="0"/>
  </r>
  <r>
    <n v="2817"/>
    <s v="Timothy"/>
    <s v="Wilson"/>
    <s v="Casual Midi"/>
    <n v="0"/>
    <n v="2742.4721"/>
    <n v="0.36"/>
    <n v="0"/>
    <d v="2025-04-23T00:00:00"/>
    <x v="2"/>
    <x v="0"/>
    <n v="495.32"/>
    <s v="NEGATIVE SALES"/>
    <n v="0"/>
  </r>
  <r>
    <n v="2818"/>
    <s v="Larry"/>
    <s v="Yang"/>
    <s v="Wrap Dress"/>
    <n v="0"/>
    <n v="739.57"/>
    <n v="0.63642857142857201"/>
    <n v="0"/>
    <d v="2025-04-13T00:00:00"/>
    <x v="2"/>
    <x v="0"/>
    <n v="1148.8699999999999"/>
    <s v="NEGATIVE SALES"/>
    <n v="0"/>
  </r>
  <r>
    <n v="2819"/>
    <s v="Betty"/>
    <s v="Espinoza"/>
    <s v="Watches"/>
    <n v="-1"/>
    <n v="2739.3189000000002"/>
    <n v="0.63642857142857201"/>
    <n v="0"/>
    <d v="2025-04-13T00:00:00"/>
    <x v="1"/>
    <x v="0"/>
    <n v="526.19000000000005"/>
    <s v="NEGATIVE SALES"/>
    <n v="-2739.3189000000002"/>
  </r>
  <r>
    <n v="2820"/>
    <s v="Stephanie"/>
    <s v="Johnson"/>
    <s v="Caps"/>
    <n v="1"/>
    <n v="2454.71"/>
    <n v="0.1"/>
    <n v="2209.2399999999998"/>
    <d v="2024-01-03T00:00:00"/>
    <x v="2"/>
    <x v="2"/>
    <n v="2850.37"/>
    <s v="POSITIVE SALES"/>
    <n v="2454.71"/>
  </r>
  <r>
    <n v="2821"/>
    <s v="Denise"/>
    <s v="Crawford"/>
    <s v="Wrap Dress"/>
    <n v="0"/>
    <n v="2745.2004999999999"/>
    <n v="1.28"/>
    <n v="0"/>
    <d v="2024-12-18T00:00:00"/>
    <x v="1"/>
    <x v="0"/>
    <n v="412.63"/>
    <s v="NEGATIVE SALES"/>
    <n v="0"/>
  </r>
  <r>
    <n v="2822"/>
    <s v="Matthew"/>
    <s v="Bates"/>
    <s v="Classic Tee"/>
    <n v="-2"/>
    <n v="3864.37"/>
    <n v="0.635945945945946"/>
    <n v="0"/>
    <d v="2025-03-09T00:00:00"/>
    <x v="3"/>
    <x v="1"/>
    <n v="957.65"/>
    <s v="NEGATIVE SALES"/>
    <n v="-7728.74"/>
  </r>
  <r>
    <n v="2823"/>
    <s v="Julie"/>
    <s v="Gomez"/>
    <s v="Bomber Jacket"/>
    <n v="0"/>
    <n v="2746.0574000000001"/>
    <n v="0.635945945945946"/>
    <n v="0"/>
    <d v="2024-09-07T00:00:00"/>
    <x v="1"/>
    <x v="0"/>
    <n v="-724.81"/>
    <s v="NEGATIVE SALES"/>
    <n v="0"/>
  </r>
  <r>
    <n v="2824"/>
    <s v="Michele"/>
    <s v="Martin"/>
    <s v="Boots"/>
    <n v="0"/>
    <n v="2742.7487999999998"/>
    <n v="1.08"/>
    <n v="0"/>
    <d v="2024-11-22T00:00:00"/>
    <x v="0"/>
    <x v="0"/>
    <n v="1113.29"/>
    <s v="NEGATIVE SALES"/>
    <n v="0"/>
  </r>
  <r>
    <n v="2825"/>
    <s v="James"/>
    <s v="Maddox"/>
    <s v="Belts"/>
    <n v="0"/>
    <n v="2742.7487999999998"/>
    <n v="0.63393665158371004"/>
    <n v="0"/>
    <d v="2024-11-22T00:00:00"/>
    <x v="1"/>
    <x v="2"/>
    <n v="2935.9"/>
    <s v="NEGATIVE SALES"/>
    <n v="0"/>
  </r>
  <r>
    <n v="2826"/>
    <s v="Richard"/>
    <s v="Dyer"/>
    <s v="Classic Tee"/>
    <n v="-1"/>
    <n v="2742.7487999999998"/>
    <n v="0.63393665158371004"/>
    <n v="0"/>
    <d v="2024-11-22T00:00:00"/>
    <x v="2"/>
    <x v="0"/>
    <n v="2275.7399999999998"/>
    <s v="NEGATIVE SALES"/>
    <n v="-2742.7487999999998"/>
  </r>
  <r>
    <n v="2827"/>
    <s v="Tracy"/>
    <s v="Mitchell"/>
    <s v="Slim Fit Jeans"/>
    <n v="0"/>
    <n v="3996.87"/>
    <n v="0.63393665158371004"/>
    <n v="0"/>
    <d v="2024-09-03T00:00:00"/>
    <x v="2"/>
    <x v="1"/>
    <n v="496.23"/>
    <s v="NEGATIVE SALES"/>
    <n v="0"/>
  </r>
  <r>
    <n v="2828"/>
    <s v="Norman"/>
    <s v="Henderson"/>
    <s v="Loafers"/>
    <n v="0"/>
    <n v="2963.02"/>
    <n v="0.63393665158371004"/>
    <n v="0"/>
    <d v="2025-06-17T00:00:00"/>
    <x v="3"/>
    <x v="2"/>
    <n v="180.31"/>
    <s v="NEGATIVE SALES"/>
    <n v="0"/>
  </r>
  <r>
    <n v="2829"/>
    <s v="Brent"/>
    <s v="Gutierrez"/>
    <s v="Denim Jacket"/>
    <n v="0"/>
    <n v="4817.45"/>
    <n v="1.07"/>
    <n v="0"/>
    <d v="2025-06-17T00:00:00"/>
    <x v="4"/>
    <x v="2"/>
    <n v="2048.06"/>
    <s v="NEGATIVE SALES"/>
    <n v="0"/>
  </r>
  <r>
    <n v="2830"/>
    <s v="Stephen"/>
    <s v="Wright"/>
    <s v="Crop Top"/>
    <n v="0"/>
    <n v="3588.42"/>
    <n v="0.04"/>
    <n v="0"/>
    <d v="2025-06-12T00:00:00"/>
    <x v="0"/>
    <x v="1"/>
    <n v="1952.28"/>
    <s v="NEGATIVE SALES"/>
    <n v="0"/>
  </r>
  <r>
    <n v="2831"/>
    <s v="Zachary"/>
    <s v="Lee"/>
    <s v="Casual Midi"/>
    <n v="0"/>
    <n v="2732.1545000000001"/>
    <n v="0.63465753424657501"/>
    <n v="0"/>
    <d v="2024-07-22T00:00:00"/>
    <x v="1"/>
    <x v="2"/>
    <n v="2091.3000000000002"/>
    <s v="NEGATIVE SALES"/>
    <n v="0"/>
  </r>
  <r>
    <n v="2832"/>
    <s v="Daryl"/>
    <s v="Reynolds"/>
    <s v="Boots"/>
    <n v="0"/>
    <n v="2729.5907999999999"/>
    <n v="0.56000000000000005"/>
    <n v="0"/>
    <d v="2024-10-07T00:00:00"/>
    <x v="2"/>
    <x v="1"/>
    <n v="-402.75"/>
    <s v="NEGATIVE SALES"/>
    <n v="0"/>
  </r>
  <r>
    <n v="2833"/>
    <s v="Meghan"/>
    <s v="Robinson"/>
    <s v="Ripped Denim"/>
    <n v="5"/>
    <n v="4273.33"/>
    <n v="0.63500000000000001"/>
    <n v="0"/>
    <d v="2024-10-07T00:00:00"/>
    <x v="3"/>
    <x v="0"/>
    <n v="900.12"/>
    <s v="NEGATIVE SALES"/>
    <n v="21366.65"/>
  </r>
  <r>
    <n v="2834"/>
    <s v="Patricia"/>
    <s v="Mcbride"/>
    <s v="Leather Jacket"/>
    <n v="-2"/>
    <n v="3522.98"/>
    <n v="0.63500000000000001"/>
    <n v="0"/>
    <d v="2024-11-01T00:00:00"/>
    <x v="0"/>
    <x v="0"/>
    <n v="2242.67"/>
    <s v="NEGATIVE SALES"/>
    <n v="-7045.96"/>
  </r>
  <r>
    <n v="2835"/>
    <s v="Lisa"/>
    <s v="Larsen"/>
    <s v="Maxi Dress"/>
    <n v="5"/>
    <n v="2724.9549999999999"/>
    <n v="0.98"/>
    <n v="0"/>
    <d v="2025-07-01T00:00:00"/>
    <x v="5"/>
    <x v="2"/>
    <n v="-618.55999999999995"/>
    <s v="NEGATIVE SALES"/>
    <n v="13624.775"/>
  </r>
  <r>
    <n v="2836"/>
    <s v="Timothy"/>
    <s v="Brown"/>
    <s v="Bodycon"/>
    <n v="4"/>
    <n v="4609.95"/>
    <n v="0.63341013824884795"/>
    <n v="0"/>
    <d v="2024-06-05T00:00:00"/>
    <x v="3"/>
    <x v="2"/>
    <n v="-154.75"/>
    <s v="NEGATIVE SALES"/>
    <n v="18439.8"/>
  </r>
  <r>
    <n v="2837"/>
    <s v="Lindsey"/>
    <s v="Kelly"/>
    <s v="Slim Fit Jeans"/>
    <n v="0"/>
    <n v="4443.01"/>
    <n v="0.63341013824884795"/>
    <n v="0"/>
    <d v="2025-03-27T00:00:00"/>
    <x v="3"/>
    <x v="2"/>
    <n v="-919.16"/>
    <s v="NEGATIVE SALES"/>
    <n v="0"/>
  </r>
  <r>
    <n v="2838"/>
    <s v="Kathleen"/>
    <s v="Hill"/>
    <s v="Bodycon"/>
    <n v="0"/>
    <n v="2716.8492000000001"/>
    <n v="0.97"/>
    <n v="0"/>
    <d v="2025-03-27T00:00:00"/>
    <x v="2"/>
    <x v="2"/>
    <n v="182.38"/>
    <s v="NEGATIVE SALES"/>
    <n v="0"/>
  </r>
  <r>
    <n v="2839"/>
    <s v="Laura"/>
    <s v="Graham"/>
    <s v="Boots"/>
    <n v="0"/>
    <n v="561.24"/>
    <n v="0.631851851851852"/>
    <n v="0"/>
    <d v="2024-10-24T00:00:00"/>
    <x v="5"/>
    <x v="1"/>
    <n v="2551.12"/>
    <s v="NEGATIVE SALES"/>
    <n v="0"/>
  </r>
  <r>
    <n v="2840"/>
    <s v="Kayla"/>
    <s v="Foster"/>
    <s v="Bomber Jacket"/>
    <n v="0"/>
    <n v="2297.54"/>
    <n v="0.631851851851852"/>
    <n v="0"/>
    <d v="2025-03-23T00:00:00"/>
    <x v="5"/>
    <x v="2"/>
    <n v="490.32"/>
    <s v="NEGATIVE SALES"/>
    <n v="0"/>
  </r>
  <r>
    <n v="2841"/>
    <s v="Rick"/>
    <s v="Peters"/>
    <s v="Ripped Denim"/>
    <n v="0"/>
    <n v="4154.05"/>
    <n v="0.631851851851852"/>
    <n v="0"/>
    <d v="2025-01-08T00:00:00"/>
    <x v="2"/>
    <x v="2"/>
    <n v="265"/>
    <s v="NEGATIVE SALES"/>
    <n v="0"/>
  </r>
  <r>
    <n v="2842"/>
    <s v="Cindy"/>
    <s v="Simmons"/>
    <s v="Sunglasses"/>
    <n v="0"/>
    <n v="1812.58"/>
    <n v="0.631851851851852"/>
    <n v="0"/>
    <d v="2024-09-25T00:00:00"/>
    <x v="0"/>
    <x v="2"/>
    <n v="445.27"/>
    <s v="NEGATIVE SALES"/>
    <n v="0"/>
  </r>
  <r>
    <n v="2843"/>
    <s v="Natalie"/>
    <s v="Smith"/>
    <s v="Graphic Tee"/>
    <n v="0"/>
    <n v="1110.1099999999999"/>
    <n v="0.631851851851852"/>
    <n v="0"/>
    <d v="2025-01-22T00:00:00"/>
    <x v="2"/>
    <x v="2"/>
    <n v="2926.44"/>
    <s v="NEGATIVE SALES"/>
    <n v="0"/>
  </r>
  <r>
    <n v="2844"/>
    <s v="Samuel"/>
    <s v="Torres"/>
    <s v="Straight Cut"/>
    <n v="0"/>
    <n v="2549.59"/>
    <n v="0.631851851851852"/>
    <n v="0"/>
    <d v="2024-05-19T00:00:00"/>
    <x v="0"/>
    <x v="1"/>
    <n v="2612.63"/>
    <s v="NEGATIVE SALES"/>
    <n v="0"/>
  </r>
  <r>
    <n v="2845"/>
    <s v="Robert"/>
    <s v="White"/>
    <s v="Denim Jacket"/>
    <n v="-2"/>
    <n v="2722.7647999999999"/>
    <n v="0.631851851851852"/>
    <n v="0"/>
    <d v="2025-04-04T00:00:00"/>
    <x v="0"/>
    <x v="2"/>
    <n v="-693.63"/>
    <s v="NEGATIVE SALES"/>
    <n v="-5445.5295999999998"/>
  </r>
  <r>
    <n v="2846"/>
    <s v="Cynthia"/>
    <s v="Johnson"/>
    <s v="Slip-Ons"/>
    <n v="-2"/>
    <n v="2525.04"/>
    <n v="0.3"/>
    <n v="-3535.06"/>
    <d v="2024-09-25T00:00:00"/>
    <x v="5"/>
    <x v="1"/>
    <n v="1003.34"/>
    <s v="NEGATIVE SALES"/>
    <n v="-5050.08"/>
  </r>
  <r>
    <n v="2847"/>
    <s v="Ana"/>
    <s v="Davis"/>
    <s v="Boots"/>
    <n v="0"/>
    <n v="3424.29"/>
    <n v="1.08"/>
    <n v="0"/>
    <d v="2024-08-12T00:00:00"/>
    <x v="4"/>
    <x v="2"/>
    <n v="2560.3200000000002"/>
    <s v="NEGATIVE SALES"/>
    <n v="0"/>
  </r>
  <r>
    <n v="2848"/>
    <s v="Alyssa"/>
    <s v="Patel"/>
    <s v="Leather Jacket"/>
    <n v="2"/>
    <n v="2723.9131000000002"/>
    <n v="0.63130841121495396"/>
    <n v="0"/>
    <d v="2024-08-31T00:00:00"/>
    <x v="1"/>
    <x v="0"/>
    <n v="2638.28"/>
    <s v="NEGATIVE SALES"/>
    <n v="5447.8262000000004"/>
  </r>
  <r>
    <n v="2849"/>
    <s v="Jennifer"/>
    <s v="Schultz"/>
    <s v="Sunglasses"/>
    <n v="0"/>
    <n v="2721.7379999999998"/>
    <n v="0.35"/>
    <n v="0"/>
    <d v="2024-08-31T00:00:00"/>
    <x v="2"/>
    <x v="2"/>
    <n v="1750.23"/>
    <s v="NEGATIVE SALES"/>
    <n v="0"/>
  </r>
  <r>
    <n v="2850"/>
    <s v="Janice"/>
    <s v="Ballard"/>
    <s v="Slim Fit Jeans"/>
    <n v="0"/>
    <n v="2687.96"/>
    <n v="0.63262910798122096"/>
    <n v="0"/>
    <d v="2024-09-24T00:00:00"/>
    <x v="0"/>
    <x v="2"/>
    <n v="2288"/>
    <s v="NEGATIVE SALES"/>
    <n v="0"/>
  </r>
  <r>
    <n v="2851"/>
    <s v="Gregg"/>
    <s v="Beck"/>
    <s v="Casual Midi"/>
    <n v="0"/>
    <n v="1525.28"/>
    <n v="0.63262910798122096"/>
    <n v="0"/>
    <d v="2024-09-08T00:00:00"/>
    <x v="5"/>
    <x v="0"/>
    <n v="-560.49"/>
    <s v="NEGATIVE SALES"/>
    <n v="0"/>
  </r>
  <r>
    <n v="2852"/>
    <s v="Stephen"/>
    <s v="Rivera"/>
    <s v="Boots"/>
    <n v="0"/>
    <n v="1816.76"/>
    <n v="0.63262910798122096"/>
    <n v="0"/>
    <d v="2024-09-08T00:00:00"/>
    <x v="2"/>
    <x v="1"/>
    <n v="630.13"/>
    <s v="NEGATIVE SALES"/>
    <n v="0"/>
  </r>
  <r>
    <n v="2853"/>
    <s v="Phillip"/>
    <s v="Lutz"/>
    <s v="Graphic Tee"/>
    <n v="0"/>
    <n v="1212.44"/>
    <n v="0.89"/>
    <n v="0"/>
    <d v="2025-07-22T00:00:00"/>
    <x v="2"/>
    <x v="0"/>
    <n v="175.39"/>
    <s v="NEGATIVE SALES"/>
    <n v="0"/>
  </r>
  <r>
    <n v="2854"/>
    <s v="Robert"/>
    <s v="Miller"/>
    <s v="Slim Fit Jeans"/>
    <n v="0"/>
    <n v="3303.02"/>
    <n v="0.7"/>
    <n v="0"/>
    <d v="2025-07-22T00:00:00"/>
    <x v="2"/>
    <x v="2"/>
    <n v="276.29000000000002"/>
    <s v="NEGATIVE SALES"/>
    <n v="0"/>
  </r>
  <r>
    <n v="2855"/>
    <s v="Jacqueline"/>
    <s v="Cochran"/>
    <s v="Slim Fit Jeans"/>
    <n v="0"/>
    <n v="1831.4"/>
    <n v="0.63109004739336505"/>
    <n v="0"/>
    <d v="2024-10-19T00:00:00"/>
    <x v="5"/>
    <x v="1"/>
    <n v="719.33"/>
    <s v="NEGATIVE SALES"/>
    <n v="0"/>
  </r>
  <r>
    <n v="2856"/>
    <s v="Stephanie"/>
    <s v="Thompson"/>
    <s v="Wrap Dress"/>
    <n v="0"/>
    <n v="2731.4011999999998"/>
    <n v="0.63109004739336505"/>
    <n v="0"/>
    <d v="2024-10-19T00:00:00"/>
    <x v="5"/>
    <x v="2"/>
    <n v="1448.8"/>
    <s v="NEGATIVE SALES"/>
    <n v="0"/>
  </r>
  <r>
    <n v="2857"/>
    <s v="Ricardo"/>
    <s v="Miller"/>
    <s v="Straight Cut"/>
    <n v="5"/>
    <n v="2734.2492999999999"/>
    <n v="0.63109004739336505"/>
    <n v="0"/>
    <d v="2025-04-30T00:00:00"/>
    <x v="2"/>
    <x v="2"/>
    <n v="-625.91999999999996"/>
    <s v="NEGATIVE SALES"/>
    <n v="13671.246499999999"/>
  </r>
  <r>
    <n v="2858"/>
    <s v="Julie"/>
    <s v="Anthony"/>
    <s v="Boyfriend Jeans"/>
    <n v="-1"/>
    <n v="3270.29"/>
    <n v="0.63109004739336505"/>
    <n v="0"/>
    <d v="2025-02-07T00:00:00"/>
    <x v="4"/>
    <x v="0"/>
    <n v="-539.25"/>
    <s v="NEGATIVE SALES"/>
    <n v="-3270.29"/>
  </r>
  <r>
    <n v="2859"/>
    <s v="Jonathan"/>
    <s v="Hughes"/>
    <s v="Sunglasses"/>
    <n v="0"/>
    <n v="2734.2492999999999"/>
    <n v="0.78"/>
    <n v="0"/>
    <d v="2024-06-08T00:00:00"/>
    <x v="3"/>
    <x v="2"/>
    <n v="1686.29"/>
    <s v="NEGATIVE SALES"/>
    <n v="0"/>
  </r>
  <r>
    <n v="2860"/>
    <s v="Wanda"/>
    <s v="Ramos"/>
    <s v="Straight Cut"/>
    <n v="0"/>
    <n v="4428.24"/>
    <n v="0.09"/>
    <n v="0"/>
    <d v="2024-06-08T00:00:00"/>
    <x v="2"/>
    <x v="1"/>
    <n v="-641.59"/>
    <s v="NEGATIVE SALES"/>
    <n v="0"/>
  </r>
  <r>
    <n v="2861"/>
    <s v="Joanne"/>
    <s v="Walls"/>
    <s v="Maxi Dress"/>
    <n v="4"/>
    <n v="2732.5475999999999"/>
    <n v="0.06"/>
    <n v="0"/>
    <d v="2025-07-01T00:00:00"/>
    <x v="0"/>
    <x v="1"/>
    <n v="-936.94"/>
    <s v="NEGATIVE SALES"/>
    <n v="10930.190399999999"/>
  </r>
  <r>
    <n v="2862"/>
    <s v="Stacie"/>
    <s v="Santiago"/>
    <s v="Straight Cut"/>
    <n v="0"/>
    <n v="2727.1473000000001"/>
    <n v="0.63572115384615402"/>
    <n v="0"/>
    <d v="2025-07-01T00:00:00"/>
    <x v="4"/>
    <x v="0"/>
    <n v="824.88"/>
    <s v="NEGATIVE SALES"/>
    <n v="0"/>
  </r>
  <r>
    <n v="2863"/>
    <s v="Casey"/>
    <s v="Watkins"/>
    <s v="Slip-Ons"/>
    <n v="6"/>
    <n v="1459.76"/>
    <n v="1.18"/>
    <n v="-1576.54"/>
    <d v="2024-05-13T00:00:00"/>
    <x v="3"/>
    <x v="2"/>
    <n v="2541"/>
    <s v="NEGATIVE SALES"/>
    <n v="8758.56"/>
  </r>
  <r>
    <n v="2864"/>
    <s v="Felicia"/>
    <s v="Saunders"/>
    <s v="Leather Jacket"/>
    <n v="5"/>
    <n v="2535.29"/>
    <n v="0.63309178743961403"/>
    <n v="0"/>
    <d v="2024-07-27T00:00:00"/>
    <x v="3"/>
    <x v="1"/>
    <n v="-456.39"/>
    <s v="NEGATIVE SALES"/>
    <n v="12676.45"/>
  </r>
  <r>
    <n v="2865"/>
    <s v="Tina"/>
    <s v="Wilson"/>
    <s v="Boyfriend Jeans"/>
    <n v="0"/>
    <n v="2043.3"/>
    <n v="0.33"/>
    <n v="0"/>
    <d v="2024-07-27T00:00:00"/>
    <x v="1"/>
    <x v="2"/>
    <n v="-389.95"/>
    <s v="NEGATIVE SALES"/>
    <n v="0"/>
  </r>
  <r>
    <n v="2866"/>
    <s v="Richard"/>
    <s v="Sanders"/>
    <s v="Ripped Denim"/>
    <n v="0"/>
    <n v="2731.8243000000002"/>
    <n v="0.63456310679611705"/>
    <n v="0"/>
    <d v="2025-03-14T00:00:00"/>
    <x v="3"/>
    <x v="1"/>
    <n v="883.66"/>
    <s v="NEGATIVE SALES"/>
    <n v="0"/>
  </r>
  <r>
    <n v="2867"/>
    <s v="Sherri"/>
    <s v="Roth"/>
    <s v="Ripped Denim"/>
    <n v="0"/>
    <n v="2734.0382"/>
    <n v="0.63456310679611705"/>
    <n v="0"/>
    <d v="2025-03-14T00:00:00"/>
    <x v="0"/>
    <x v="0"/>
    <n v="478.82"/>
    <s v="NEGATIVE SALES"/>
    <n v="0"/>
  </r>
  <r>
    <n v="2868"/>
    <s v="Mallory"/>
    <s v="Lee"/>
    <s v="Sunglasses"/>
    <n v="4"/>
    <n v="1392.21"/>
    <n v="0.63456310679611705"/>
    <n v="0"/>
    <d v="2024-11-15T00:00:00"/>
    <x v="3"/>
    <x v="2"/>
    <n v="758.3"/>
    <s v="NEGATIVE SALES"/>
    <n v="5568.84"/>
  </r>
  <r>
    <n v="2869"/>
    <s v="Briana"/>
    <s v="Robles"/>
    <s v="Casual Midi"/>
    <n v="0"/>
    <n v="4238.91"/>
    <n v="0.63456310679611705"/>
    <n v="0"/>
    <d v="2024-11-15T00:00:00"/>
    <x v="5"/>
    <x v="2"/>
    <n v="-746.44"/>
    <s v="NEGATIVE SALES"/>
    <n v="0"/>
  </r>
  <r>
    <n v="2870"/>
    <s v="Erin"/>
    <s v="Martin"/>
    <s v="Ripped Denim"/>
    <n v="2"/>
    <n v="839.34"/>
    <n v="0.63456310679611705"/>
    <n v="0"/>
    <d v="2024-10-15T00:00:00"/>
    <x v="4"/>
    <x v="0"/>
    <n v="367.87"/>
    <s v="NEGATIVE SALES"/>
    <n v="1678.68"/>
  </r>
  <r>
    <n v="2871"/>
    <s v="Jeffrey"/>
    <s v="Wiggins"/>
    <s v="Wrap Dress"/>
    <n v="0"/>
    <n v="2733.5106000000001"/>
    <n v="0.63456310679611705"/>
    <n v="0"/>
    <d v="2025-04-04T00:00:00"/>
    <x v="2"/>
    <x v="0"/>
    <n v="2126.04"/>
    <s v="NEGATIVE SALES"/>
    <n v="0"/>
  </r>
  <r>
    <n v="2872"/>
    <s v="Julie"/>
    <s v="Welch"/>
    <s v="Straight Cut"/>
    <n v="-1"/>
    <n v="2739.6605"/>
    <n v="0.63456310679611705"/>
    <n v="0"/>
    <d v="2024-10-28T00:00:00"/>
    <x v="3"/>
    <x v="1"/>
    <n v="148.19999999999999"/>
    <s v="NEGATIVE SALES"/>
    <n v="-2739.6605"/>
  </r>
  <r>
    <n v="2873"/>
    <s v="Jennifer"/>
    <s v="Leblanc"/>
    <s v="Loafers"/>
    <n v="5"/>
    <n v="1354.14"/>
    <n v="0.63456310679611705"/>
    <n v="0"/>
    <d v="2025-03-24T00:00:00"/>
    <x v="1"/>
    <x v="2"/>
    <n v="2535.62"/>
    <s v="NEGATIVE SALES"/>
    <n v="6770.7"/>
  </r>
  <r>
    <n v="2874"/>
    <s v="Matthew"/>
    <s v="Marshall"/>
    <s v="Boyfriend Jeans"/>
    <n v="0"/>
    <n v="3754.23"/>
    <n v="0.87"/>
    <n v="0"/>
    <d v="2024-09-26T00:00:00"/>
    <x v="2"/>
    <x v="1"/>
    <n v="-153.77000000000001"/>
    <s v="NEGATIVE SALES"/>
    <n v="0"/>
  </r>
  <r>
    <n v="2875"/>
    <s v="James"/>
    <s v="Case"/>
    <s v="Puffer Coat"/>
    <n v="2"/>
    <n v="2744.1736000000001"/>
    <n v="0.63341463414634203"/>
    <n v="0"/>
    <d v="2024-11-13T00:00:00"/>
    <x v="0"/>
    <x v="2"/>
    <n v="1291.9000000000001"/>
    <s v="NEGATIVE SALES"/>
    <n v="5488.3472000000002"/>
  </r>
  <r>
    <n v="2876"/>
    <s v="Wesley"/>
    <s v="Jackson"/>
    <s v="Straight Cut"/>
    <n v="6"/>
    <n v="3824.82"/>
    <n v="0.82"/>
    <n v="4130.8100000000004"/>
    <d v="2024-08-02T00:00:00"/>
    <x v="3"/>
    <x v="0"/>
    <n v="688.53"/>
    <s v="POSITIVE SALES"/>
    <n v="22948.92"/>
  </r>
  <r>
    <n v="2877"/>
    <s v="Joe"/>
    <s v="Schmitt"/>
    <s v="Boots"/>
    <n v="0"/>
    <n v="2740.8726999999999"/>
    <n v="0.28999999999999998"/>
    <n v="0"/>
    <d v="2024-08-02T00:00:00"/>
    <x v="5"/>
    <x v="2"/>
    <n v="2293.59"/>
    <s v="NEGATIVE SALES"/>
    <n v="0"/>
  </r>
  <r>
    <n v="2878"/>
    <s v="Maria"/>
    <s v="Blackburn"/>
    <s v="Bomber Jacket"/>
    <n v="0"/>
    <n v="2737.3188"/>
    <n v="0.63418719211822605"/>
    <n v="0"/>
    <d v="2025-01-06T00:00:00"/>
    <x v="5"/>
    <x v="0"/>
    <n v="2309.5500000000002"/>
    <s v="NEGATIVE SALES"/>
    <n v="0"/>
  </r>
  <r>
    <n v="2879"/>
    <s v="Angela"/>
    <s v="Diaz"/>
    <s v="Bomber Jacket"/>
    <n v="0"/>
    <n v="2737.3188"/>
    <n v="0.02"/>
    <n v="0"/>
    <d v="2025-01-06T00:00:00"/>
    <x v="0"/>
    <x v="2"/>
    <n v="1146.23"/>
    <s v="NEGATIVE SALES"/>
    <n v="0"/>
  </r>
  <r>
    <n v="2880"/>
    <s v="Garrett"/>
    <s v="Hall"/>
    <s v="Belts"/>
    <n v="0"/>
    <n v="2737.3188"/>
    <n v="0.63722772277227702"/>
    <n v="0"/>
    <d v="2025-06-15T00:00:00"/>
    <x v="2"/>
    <x v="0"/>
    <n v="970.22"/>
    <s v="NEGATIVE SALES"/>
    <n v="0"/>
  </r>
  <r>
    <n v="2881"/>
    <s v="Brandi"/>
    <s v="Powell"/>
    <s v="Boyfriend Jeans"/>
    <n v="-2"/>
    <n v="2737.3188"/>
    <n v="0.63722772277227702"/>
    <n v="0"/>
    <d v="2024-09-03T00:00:00"/>
    <x v="5"/>
    <x v="0"/>
    <n v="1850.77"/>
    <s v="NEGATIVE SALES"/>
    <n v="-5474.6376"/>
  </r>
  <r>
    <n v="2882"/>
    <s v="Laura"/>
    <s v="Robertson"/>
    <s v="Caps"/>
    <n v="3"/>
    <n v="583.53"/>
    <n v="0.63722772277227702"/>
    <n v="0"/>
    <d v="2025-02-13T00:00:00"/>
    <x v="2"/>
    <x v="1"/>
    <n v="2334.42"/>
    <s v="NEGATIVE SALES"/>
    <n v="1750.59"/>
  </r>
  <r>
    <n v="2883"/>
    <s v="Lisa"/>
    <s v="Kline"/>
    <s v="Graphic Tee"/>
    <n v="0"/>
    <n v="2320.7600000000002"/>
    <n v="0.63722772277227702"/>
    <n v="0"/>
    <d v="2025-07-12T00:00:00"/>
    <x v="1"/>
    <x v="0"/>
    <n v="2529.16"/>
    <s v="NEGATIVE SALES"/>
    <n v="0"/>
  </r>
  <r>
    <n v="2884"/>
    <s v="Emily"/>
    <s v="Rhodes"/>
    <s v="Ripped Denim"/>
    <n v="2"/>
    <n v="2744.4036999999998"/>
    <n v="0.4"/>
    <n v="0"/>
    <d v="2025-02-13T00:00:00"/>
    <x v="4"/>
    <x v="2"/>
    <n v="896.38"/>
    <s v="NEGATIVE SALES"/>
    <n v="5488.8073999999997"/>
  </r>
  <r>
    <n v="2885"/>
    <s v="Kevin"/>
    <s v="Skinner"/>
    <s v="Classic Tee"/>
    <n v="2"/>
    <n v="2666.48"/>
    <n v="0.63840796019900503"/>
    <n v="0"/>
    <d v="2025-04-29T00:00:00"/>
    <x v="4"/>
    <x v="2"/>
    <n v="-17.89"/>
    <s v="NEGATIVE SALES"/>
    <n v="5332.96"/>
  </r>
  <r>
    <n v="2886"/>
    <s v="Kathy"/>
    <s v="Patel"/>
    <s v="Graphic Tee"/>
    <n v="0"/>
    <n v="3229.15"/>
    <n v="1.03"/>
    <n v="0"/>
    <d v="2025-03-31T00:00:00"/>
    <x v="1"/>
    <x v="2"/>
    <n v="175.26"/>
    <s v="NEGATIVE SALES"/>
    <n v="0"/>
  </r>
  <r>
    <n v="2887"/>
    <s v="Charles"/>
    <s v="Mcgee"/>
    <s v="Boyfriend Jeans"/>
    <n v="0"/>
    <n v="3331.72"/>
    <n v="1.25"/>
    <n v="0"/>
    <d v="2025-03-31T00:00:00"/>
    <x v="2"/>
    <x v="2"/>
    <n v="-267.95999999999998"/>
    <s v="NEGATIVE SALES"/>
    <n v="0"/>
  </r>
  <r>
    <n v="2888"/>
    <s v="Timothy"/>
    <s v="Farley"/>
    <s v="Casual Midi"/>
    <n v="-1"/>
    <n v="2744.4594999999999"/>
    <n v="0.63336683417085404"/>
    <n v="0"/>
    <d v="2023-08-10T00:00:00"/>
    <x v="1"/>
    <x v="1"/>
    <n v="2007.16"/>
    <s v="NEGATIVE SALES"/>
    <n v="-2744.4594999999999"/>
  </r>
  <r>
    <n v="2889"/>
    <s v="Jasmine"/>
    <s v="Mcgee"/>
    <s v="Loafers"/>
    <n v="5"/>
    <n v="2742.502"/>
    <n v="0.63336683417085404"/>
    <n v="0"/>
    <d v="2023-07-23T00:00:00"/>
    <x v="5"/>
    <x v="1"/>
    <n v="1874.28"/>
    <s v="NEGATIVE SALES"/>
    <n v="13712.51"/>
  </r>
  <r>
    <n v="2890"/>
    <s v="Karen"/>
    <s v="Houston"/>
    <s v="Wrap Dress"/>
    <n v="1"/>
    <n v="2357.36"/>
    <n v="0.63336683417085404"/>
    <n v="0"/>
    <d v="2024-05-01T00:00:00"/>
    <x v="4"/>
    <x v="1"/>
    <n v="468.3"/>
    <s v="NEGATIVE SALES"/>
    <n v="2357.36"/>
  </r>
  <r>
    <n v="2891"/>
    <s v="Suzanne"/>
    <s v="Thomas"/>
    <s v="Puffer Coat"/>
    <n v="0"/>
    <n v="2742.502"/>
    <n v="0.63336683417085404"/>
    <n v="0"/>
    <d v="2024-05-01T00:00:00"/>
    <x v="1"/>
    <x v="1"/>
    <n v="-363.86"/>
    <s v="NEGATIVE SALES"/>
    <n v="0"/>
  </r>
  <r>
    <n v="2892"/>
    <s v="Francisco"/>
    <s v="Flowers"/>
    <s v="Belts"/>
    <n v="0"/>
    <n v="2743.7901000000002"/>
    <n v="0.63336683417085404"/>
    <n v="0"/>
    <d v="2024-08-15T00:00:00"/>
    <x v="1"/>
    <x v="1"/>
    <n v="-502.19"/>
    <s v="NEGATIVE SALES"/>
    <n v="0"/>
  </r>
  <r>
    <n v="2893"/>
    <s v="Lisa"/>
    <s v="Reid"/>
    <s v="Loafers"/>
    <n v="0"/>
    <n v="2743.7901000000002"/>
    <n v="0.63336683417085404"/>
    <n v="0"/>
    <d v="2024-09-07T00:00:00"/>
    <x v="3"/>
    <x v="2"/>
    <n v="1825.47"/>
    <s v="NEGATIVE SALES"/>
    <n v="0"/>
  </r>
  <r>
    <n v="2894"/>
    <s v="Kathy"/>
    <s v="Tate"/>
    <s v="Loafers"/>
    <n v="3"/>
    <n v="2743.7901000000002"/>
    <n v="0.63336683417085404"/>
    <n v="0"/>
    <d v="2024-09-07T00:00:00"/>
    <x v="3"/>
    <x v="2"/>
    <n v="1479.24"/>
    <s v="NEGATIVE SALES"/>
    <n v="8231.3703000000005"/>
  </r>
  <r>
    <n v="2896"/>
    <s v="Derek"/>
    <s v="Richards"/>
    <s v="Wrap Dress"/>
    <n v="0"/>
    <n v="2743.7901000000002"/>
    <n v="0.634848484848485"/>
    <n v="0"/>
    <d v="2024-09-17T00:00:00"/>
    <x v="5"/>
    <x v="0"/>
    <n v="2760.7"/>
    <s v="NEGATIVE SALES"/>
    <n v="0"/>
  </r>
  <r>
    <n v="2897"/>
    <s v="Lisa"/>
    <s v="James"/>
    <s v="Denim Jacket"/>
    <n v="1"/>
    <n v="1194.44"/>
    <n v="0.634848484848485"/>
    <n v="0"/>
    <d v="2025-06-16T00:00:00"/>
    <x v="0"/>
    <x v="2"/>
    <n v="1048.51"/>
    <s v="NEGATIVE SALES"/>
    <n v="1194.44"/>
  </r>
  <r>
    <n v="2898"/>
    <s v="Brian"/>
    <s v="Wallace"/>
    <s v="Wrap Dress"/>
    <n v="6"/>
    <n v="2740.9402"/>
    <n v="0.54"/>
    <n v="0"/>
    <d v="2025-05-18T00:00:00"/>
    <x v="0"/>
    <x v="2"/>
    <n v="-274.57"/>
    <s v="NEGATIVE SALES"/>
    <n v="16445.641199999998"/>
  </r>
  <r>
    <n v="2899"/>
    <s v="Daniel"/>
    <s v="Reyes"/>
    <s v="Sunglasses"/>
    <n v="2"/>
    <n v="3086.59"/>
    <n v="0.635329949238578"/>
    <n v="0"/>
    <d v="2025-01-26T00:00:00"/>
    <x v="0"/>
    <x v="0"/>
    <n v="-745.27"/>
    <s v="NEGATIVE SALES"/>
    <n v="6173.18"/>
  </r>
  <r>
    <n v="2900"/>
    <s v="Kevin"/>
    <s v="Wong"/>
    <s v="Wrap Dress"/>
    <n v="0"/>
    <n v="2746.1473000000001"/>
    <n v="0.635329949238578"/>
    <n v="0"/>
    <d v="2025-01-26T00:00:00"/>
    <x v="1"/>
    <x v="2"/>
    <n v="36.92"/>
    <s v="NEGATIVE SALES"/>
    <n v="0"/>
  </r>
  <r>
    <n v="2901"/>
    <s v="Kaitlin"/>
    <s v="Baldwin"/>
    <s v="Sneakers"/>
    <n v="2"/>
    <n v="1817.71"/>
    <n v="0.635329949238578"/>
    <n v="0"/>
    <d v="2025-04-28T00:00:00"/>
    <x v="2"/>
    <x v="0"/>
    <n v="391.06"/>
    <s v="NEGATIVE SALES"/>
    <n v="3635.42"/>
  </r>
  <r>
    <n v="2902"/>
    <s v="Andrew"/>
    <s v="Brown"/>
    <s v="Boyfriend Jeans"/>
    <n v="5"/>
    <n v="3153.37"/>
    <n v="0.635329949238578"/>
    <n v="0"/>
    <d v="2024-09-28T00:00:00"/>
    <x v="3"/>
    <x v="1"/>
    <n v="-594.19000000000005"/>
    <s v="NEGATIVE SALES"/>
    <n v="15766.85"/>
  </r>
  <r>
    <n v="2903"/>
    <s v="Danielle"/>
    <s v="Nguyen"/>
    <s v="Classic Tee"/>
    <n v="0"/>
    <n v="2748.1405"/>
    <n v="0.635329949238578"/>
    <n v="0"/>
    <d v="2024-09-28T00:00:00"/>
    <x v="5"/>
    <x v="0"/>
    <n v="2232.1799999999998"/>
    <s v="NEGATIVE SALES"/>
    <n v="0"/>
  </r>
  <r>
    <n v="2904"/>
    <s v="David"/>
    <s v="Walker"/>
    <s v="Crop Top"/>
    <n v="5"/>
    <n v="1202.73"/>
    <n v="0.635329949238578"/>
    <n v="0"/>
    <d v="2024-11-03T00:00:00"/>
    <x v="5"/>
    <x v="0"/>
    <n v="658.6"/>
    <s v="NEGATIVE SALES"/>
    <n v="6013.65"/>
  </r>
  <r>
    <n v="2905"/>
    <s v="Tanya"/>
    <s v="Pham"/>
    <s v="Straight Cut"/>
    <n v="0"/>
    <n v="1478.93"/>
    <n v="0.635329949238578"/>
    <n v="0"/>
    <d v="2025-02-27T00:00:00"/>
    <x v="5"/>
    <x v="0"/>
    <n v="25.28"/>
    <s v="NEGATIVE SALES"/>
    <n v="0"/>
  </r>
  <r>
    <n v="2906"/>
    <s v="Sean"/>
    <s v="Cunningham"/>
    <s v="Bodycon"/>
    <n v="0"/>
    <n v="2752.0319"/>
    <n v="0.25"/>
    <n v="0"/>
    <d v="2024-09-04T00:00:00"/>
    <x v="1"/>
    <x v="1"/>
    <n v="-116.3"/>
    <s v="NEGATIVE SALES"/>
    <n v="0"/>
  </r>
  <r>
    <n v="2907"/>
    <s v="Virginia"/>
    <s v="Rowland"/>
    <s v="Graphic Tee"/>
    <n v="0"/>
    <n v="2756.3917999999999"/>
    <n v="0.637295918367347"/>
    <n v="0"/>
    <d v="2025-05-01T00:00:00"/>
    <x v="5"/>
    <x v="2"/>
    <n v="-782.3"/>
    <s v="NEGATIVE SALES"/>
    <n v="0"/>
  </r>
  <r>
    <n v="2908"/>
    <s v="Megan"/>
    <s v="Nixon"/>
    <s v="Straight Cut"/>
    <n v="0"/>
    <n v="2756.3917999999999"/>
    <n v="0.51"/>
    <n v="0"/>
    <d v="2023-07-29T00:00:00"/>
    <x v="4"/>
    <x v="0"/>
    <n v="-61.23"/>
    <s v="NEGATIVE SALES"/>
    <n v="0"/>
  </r>
  <r>
    <n v="2909"/>
    <s v="Albert"/>
    <s v="Fowler"/>
    <s v="Crop Top"/>
    <n v="0"/>
    <n v="2928.84"/>
    <n v="0.63794871794871799"/>
    <n v="0"/>
    <d v="2025-03-11T00:00:00"/>
    <x v="0"/>
    <x v="2"/>
    <n v="-477.2"/>
    <s v="NEGATIVE SALES"/>
    <n v="0"/>
  </r>
  <r>
    <n v="2910"/>
    <s v="Michael"/>
    <s v="Garcia"/>
    <s v="Bodycon"/>
    <n v="0"/>
    <n v="1027.54"/>
    <n v="0.55000000000000004"/>
    <n v="0"/>
    <d v="2025-01-21T00:00:00"/>
    <x v="1"/>
    <x v="0"/>
    <n v="-580.87"/>
    <s v="NEGATIVE SALES"/>
    <n v="0"/>
  </r>
  <r>
    <n v="2911"/>
    <s v="Matthew"/>
    <s v="Jones"/>
    <s v="Casual Midi"/>
    <n v="1"/>
    <n v="2755.7991999999999"/>
    <n v="0.63840206185567006"/>
    <n v="0"/>
    <d v="2025-01-21T00:00:00"/>
    <x v="1"/>
    <x v="2"/>
    <n v="2672.56"/>
    <s v="NEGATIVE SALES"/>
    <n v="2755.7991999999999"/>
  </r>
  <r>
    <n v="2912"/>
    <s v="Stacy"/>
    <s v="Graves"/>
    <s v="Boots"/>
    <n v="0"/>
    <n v="2761.7586999999999"/>
    <n v="0.63840206185567006"/>
    <n v="0"/>
    <d v="2024-08-02T00:00:00"/>
    <x v="4"/>
    <x v="1"/>
    <n v="-97.77"/>
    <s v="NEGATIVE SALES"/>
    <n v="0"/>
  </r>
  <r>
    <n v="2913"/>
    <s v="Chelsea"/>
    <s v="Hunter"/>
    <s v="Sneakers"/>
    <n v="0"/>
    <n v="2761.7586999999999"/>
    <n v="0.63840206185567006"/>
    <n v="0"/>
    <d v="2024-08-02T00:00:00"/>
    <x v="1"/>
    <x v="0"/>
    <n v="1693.76"/>
    <s v="NEGATIVE SALES"/>
    <n v="0"/>
  </r>
  <r>
    <n v="2914"/>
    <s v="Jamie"/>
    <s v="Meyer"/>
    <s v="Belts"/>
    <n v="0"/>
    <n v="2761.7586999999999"/>
    <n v="1.03"/>
    <n v="0"/>
    <d v="2023-12-21T00:00:00"/>
    <x v="0"/>
    <x v="1"/>
    <n v="2321.6"/>
    <s v="NEGATIVE SALES"/>
    <n v="0"/>
  </r>
  <r>
    <n v="2915"/>
    <s v="Kimberly"/>
    <s v="Harrison"/>
    <s v="Belts"/>
    <n v="0"/>
    <n v="3022.15"/>
    <n v="0.63637305699481805"/>
    <n v="0"/>
    <d v="2024-12-19T00:00:00"/>
    <x v="0"/>
    <x v="1"/>
    <n v="-528.82000000000005"/>
    <s v="NEGATIVE SALES"/>
    <n v="0"/>
  </r>
  <r>
    <n v="2916"/>
    <s v="Edward"/>
    <s v="Anderson"/>
    <s v="Denim Jacket"/>
    <n v="0"/>
    <n v="2483.4899999999998"/>
    <n v="0.63637305699481805"/>
    <n v="0"/>
    <d v="2025-04-11T00:00:00"/>
    <x v="1"/>
    <x v="2"/>
    <n v="370.61"/>
    <s v="NEGATIVE SALES"/>
    <n v="0"/>
  </r>
  <r>
    <n v="2918"/>
    <s v="Nicholas"/>
    <s v="Bryant"/>
    <s v="Sneakers"/>
    <n v="0"/>
    <n v="2761.8208"/>
    <n v="0.63637305699481805"/>
    <n v="0"/>
    <d v="2025-04-14T00:00:00"/>
    <x v="0"/>
    <x v="1"/>
    <n v="899.98"/>
    <s v="NEGATIVE SALES"/>
    <n v="0"/>
  </r>
  <r>
    <n v="2919"/>
    <s v="Timothy"/>
    <s v="Peterson"/>
    <s v="Slim Fit Jeans"/>
    <n v="2"/>
    <n v="535.62"/>
    <n v="0.63637305699481805"/>
    <n v="0"/>
    <d v="2024-07-27T00:00:00"/>
    <x v="3"/>
    <x v="0"/>
    <n v="-637.47"/>
    <s v="NEGATIVE SALES"/>
    <n v="1071.24"/>
  </r>
  <r>
    <n v="2920"/>
    <s v="Michael"/>
    <s v="Smith"/>
    <s v="Belts"/>
    <n v="1"/>
    <n v="2764.1534999999999"/>
    <n v="1.3"/>
    <n v="0"/>
    <d v="2024-12-22T00:00:00"/>
    <x v="5"/>
    <x v="1"/>
    <n v="489.94"/>
    <s v="NEGATIVE SALES"/>
    <n v="2764.1534999999999"/>
  </r>
  <r>
    <n v="2921"/>
    <s v="Andrew"/>
    <s v="Lopez"/>
    <s v="Sneakers"/>
    <n v="6"/>
    <n v="2771.9456"/>
    <n v="0.63291666666666602"/>
    <n v="0"/>
    <d v="2025-06-18T00:00:00"/>
    <x v="5"/>
    <x v="1"/>
    <n v="-821.17"/>
    <s v="NEGATIVE SALES"/>
    <n v="16631.673599999998"/>
  </r>
  <r>
    <n v="2922"/>
    <s v="Olivia"/>
    <s v="Decker"/>
    <s v="Leather Jacket"/>
    <n v="0"/>
    <n v="2488.9499999999998"/>
    <n v="1.23"/>
    <n v="0"/>
    <d v="2025-06-18T00:00:00"/>
    <x v="5"/>
    <x v="0"/>
    <n v="2827.47"/>
    <s v="NEGATIVE SALES"/>
    <n v="0"/>
  </r>
  <r>
    <n v="2923"/>
    <s v="Albert"/>
    <s v="Garcia"/>
    <s v="Sunglasses"/>
    <n v="0"/>
    <n v="2771.9456"/>
    <n v="0.17"/>
    <n v="0"/>
    <d v="2024-01-20T00:00:00"/>
    <x v="5"/>
    <x v="0"/>
    <n v="-674.63"/>
    <s v="NEGATIVE SALES"/>
    <n v="0"/>
  </r>
  <r>
    <n v="2924"/>
    <s v="Donald"/>
    <s v="Simmons"/>
    <s v="Bomber Jacket"/>
    <n v="0"/>
    <n v="4151.88"/>
    <n v="0.05"/>
    <n v="0"/>
    <d v="2025-03-30T00:00:00"/>
    <x v="4"/>
    <x v="1"/>
    <n v="577.77"/>
    <s v="NEGATIVE SALES"/>
    <n v="0"/>
  </r>
  <r>
    <n v="2926"/>
    <s v="Zachary"/>
    <s v="Robinson"/>
    <s v="Wrap Dress"/>
    <n v="4"/>
    <n v="3263.06"/>
    <n v="0.16"/>
    <n v="10963.88"/>
    <d v="2024-11-15T00:00:00"/>
    <x v="2"/>
    <x v="1"/>
    <n v="2428.73"/>
    <s v="POSITIVE SALES"/>
    <n v="13052.24"/>
  </r>
  <r>
    <n v="2927"/>
    <s v="Mark"/>
    <s v="Bailey"/>
    <s v="Wrap Dress"/>
    <n v="0"/>
    <n v="2774.4097999999999"/>
    <n v="0.63781914893616998"/>
    <n v="0"/>
    <d v="2025-07-21T00:00:00"/>
    <x v="2"/>
    <x v="2"/>
    <n v="-674.94"/>
    <s v="NEGATIVE SALES"/>
    <n v="0"/>
  </r>
  <r>
    <n v="2928"/>
    <s v="Christine"/>
    <s v="Davenport"/>
    <s v="Sneakers"/>
    <n v="0"/>
    <n v="2772.6770000000001"/>
    <n v="0.78"/>
    <n v="0"/>
    <d v="2024-11-01T00:00:00"/>
    <x v="0"/>
    <x v="1"/>
    <n v="642.22"/>
    <s v="NEGATIVE SALES"/>
    <n v="0"/>
  </r>
  <r>
    <n v="2929"/>
    <s v="William"/>
    <s v="Vargas"/>
    <s v="Classic Tee"/>
    <n v="0"/>
    <n v="4733.41"/>
    <n v="1.1299999999999999"/>
    <n v="0"/>
    <d v="2024-12-11T00:00:00"/>
    <x v="3"/>
    <x v="0"/>
    <n v="2459.5"/>
    <s v="NEGATIVE SALES"/>
    <n v="0"/>
  </r>
  <r>
    <n v="2930"/>
    <s v="David"/>
    <s v="Quinn"/>
    <s v="Wrap Dress"/>
    <n v="0"/>
    <n v="2642.73"/>
    <n v="0.09"/>
    <n v="0"/>
    <d v="2025-02-21T00:00:00"/>
    <x v="1"/>
    <x v="1"/>
    <n v="996.68"/>
    <s v="NEGATIVE SALES"/>
    <n v="0"/>
  </r>
  <r>
    <n v="2931"/>
    <s v="Jeffrey"/>
    <s v="Wilson"/>
    <s v="Ripped Denim"/>
    <n v="0"/>
    <n v="2629.78"/>
    <n v="1.3"/>
    <n v="0"/>
    <d v="2025-02-21T00:00:00"/>
    <x v="0"/>
    <x v="1"/>
    <n v="2826.2"/>
    <s v="NEGATIVE SALES"/>
    <n v="0"/>
  </r>
  <r>
    <n v="2932"/>
    <s v="Sara"/>
    <s v="Woods"/>
    <s v="Sneakers"/>
    <n v="0"/>
    <n v="2766.1385"/>
    <n v="0.63375000000000004"/>
    <n v="0"/>
    <d v="2024-10-06T00:00:00"/>
    <x v="5"/>
    <x v="2"/>
    <n v="700.64"/>
    <s v="NEGATIVE SALES"/>
    <n v="0"/>
  </r>
  <r>
    <n v="2933"/>
    <s v="Miguel"/>
    <s v="Reed"/>
    <s v="Straight Cut"/>
    <n v="0"/>
    <n v="2891"/>
    <n v="0.63375000000000004"/>
    <n v="0"/>
    <d v="2025-04-13T00:00:00"/>
    <x v="0"/>
    <x v="0"/>
    <n v="1279.32"/>
    <s v="NEGATIVE SALES"/>
    <n v="0"/>
  </r>
  <r>
    <n v="2934"/>
    <s v="Cynthia"/>
    <s v="Fox"/>
    <s v="Wrap Dress"/>
    <n v="5"/>
    <n v="2766.6271999999999"/>
    <n v="0.63375000000000004"/>
    <n v="0"/>
    <d v="2024-12-30T00:00:00"/>
    <x v="1"/>
    <x v="1"/>
    <n v="-811.78"/>
    <s v="NEGATIVE SALES"/>
    <n v="13833.136"/>
  </r>
  <r>
    <n v="2935"/>
    <s v="Danielle"/>
    <s v="Hernandez"/>
    <s v="Loafers"/>
    <n v="0"/>
    <n v="3681.08"/>
    <n v="0.63375000000000004"/>
    <n v="0"/>
    <d v="2024-12-30T00:00:00"/>
    <x v="5"/>
    <x v="2"/>
    <n v="2705.42"/>
    <s v="NEGATIVE SALES"/>
    <n v="0"/>
  </r>
  <r>
    <n v="2936"/>
    <s v="David"/>
    <s v="Davis"/>
    <s v="Loafers"/>
    <n v="0"/>
    <n v="4487.5"/>
    <n v="0.63375000000000004"/>
    <n v="0"/>
    <d v="2025-06-23T00:00:00"/>
    <x v="4"/>
    <x v="2"/>
    <n v="2518.5300000000002"/>
    <s v="NEGATIVE SALES"/>
    <n v="0"/>
  </r>
  <r>
    <n v="2937"/>
    <s v="Megan"/>
    <s v="Johnson"/>
    <s v="Sunglasses"/>
    <n v="-2"/>
    <n v="2762.8769000000002"/>
    <n v="0.63375000000000004"/>
    <n v="0"/>
    <d v="2024-11-29T00:00:00"/>
    <x v="2"/>
    <x v="1"/>
    <n v="-889.53"/>
    <s v="NEGATIVE SALES"/>
    <n v="-5525.7538000000004"/>
  </r>
  <r>
    <n v="2938"/>
    <s v="Donald"/>
    <s v="Brown"/>
    <s v="Boots"/>
    <n v="0"/>
    <n v="2429.63"/>
    <n v="0.63375000000000004"/>
    <n v="0"/>
    <d v="2024-11-29T00:00:00"/>
    <x v="1"/>
    <x v="2"/>
    <n v="-7.17"/>
    <s v="NEGATIVE SALES"/>
    <n v="0"/>
  </r>
  <r>
    <n v="2939"/>
    <s v="Maurice"/>
    <s v="Craig"/>
    <s v="Sneakers"/>
    <n v="0"/>
    <n v="2756.6282999999999"/>
    <n v="0.63375000000000004"/>
    <n v="0"/>
    <d v="2025-01-23T00:00:00"/>
    <x v="3"/>
    <x v="1"/>
    <n v="2143.94"/>
    <s v="NEGATIVE SALES"/>
    <n v="0"/>
  </r>
  <r>
    <n v="2940"/>
    <s v="Jerry"/>
    <s v="Gutierrez"/>
    <s v="Slip-Ons"/>
    <n v="0"/>
    <n v="2757.8173999999999"/>
    <n v="0.63375000000000004"/>
    <n v="0"/>
    <d v="2025-02-09T00:00:00"/>
    <x v="5"/>
    <x v="0"/>
    <n v="1992.92"/>
    <s v="NEGATIVE SALES"/>
    <n v="0"/>
  </r>
  <r>
    <n v="2941"/>
    <s v="Lauren"/>
    <s v="Smith"/>
    <s v="Puffer Coat"/>
    <n v="0"/>
    <n v="2144.36"/>
    <n v="0.63375000000000004"/>
    <n v="0"/>
    <d v="2024-07-24T00:00:00"/>
    <x v="4"/>
    <x v="0"/>
    <n v="1435.03"/>
    <s v="NEGATIVE SALES"/>
    <n v="0"/>
  </r>
  <r>
    <n v="2942"/>
    <s v="Amy"/>
    <s v="Kim"/>
    <s v="Sunglasses"/>
    <n v="2"/>
    <n v="2757.8173999999999"/>
    <n v="0.56000000000000005"/>
    <n v="0"/>
    <d v="2024-07-24T00:00:00"/>
    <x v="4"/>
    <x v="1"/>
    <n v="2500.35"/>
    <s v="NEGATIVE SALES"/>
    <n v="5515.6347999999998"/>
  </r>
  <r>
    <n v="2943"/>
    <s v="George"/>
    <s v="Thomas"/>
    <s v="Boyfriend Jeans"/>
    <n v="0"/>
    <n v="4638.0200000000004"/>
    <n v="0.63415300546448095"/>
    <n v="0"/>
    <d v="2025-03-07T00:00:00"/>
    <x v="4"/>
    <x v="1"/>
    <n v="745.3"/>
    <s v="NEGATIVE SALES"/>
    <n v="0"/>
  </r>
  <r>
    <n v="2944"/>
    <s v="John"/>
    <s v="Blankenship"/>
    <s v="Casual Midi"/>
    <n v="1"/>
    <n v="1313.35"/>
    <n v="0.2"/>
    <n v="1050.68"/>
    <d v="2025-03-06T00:00:00"/>
    <x v="5"/>
    <x v="0"/>
    <n v="-384.05"/>
    <s v="POSITIVE SALES"/>
    <n v="1313.35"/>
  </r>
  <r>
    <n v="2945"/>
    <s v="Michael"/>
    <s v="Garcia"/>
    <s v="Boots"/>
    <n v="1"/>
    <n v="2753.1772999999998"/>
    <n v="0.63653846153846105"/>
    <n v="0"/>
    <d v="2024-10-27T00:00:00"/>
    <x v="2"/>
    <x v="1"/>
    <n v="-130.97"/>
    <s v="NEGATIVE SALES"/>
    <n v="2753.1772999999998"/>
  </r>
  <r>
    <n v="2946"/>
    <s v="Chris"/>
    <s v="Russell"/>
    <s v="Wrap Dress"/>
    <n v="-1"/>
    <n v="2758.4708000000001"/>
    <n v="1.2"/>
    <n v="0"/>
    <d v="2023-11-23T00:00:00"/>
    <x v="2"/>
    <x v="2"/>
    <n v="2187.48"/>
    <s v="NEGATIVE SALES"/>
    <n v="-2758.4708000000001"/>
  </r>
  <r>
    <n v="2947"/>
    <s v="Terri"/>
    <s v="Patton"/>
    <s v="Boots"/>
    <n v="2"/>
    <n v="2758.4708000000001"/>
    <n v="0.97"/>
    <n v="0"/>
    <d v="2025-02-11T00:00:00"/>
    <x v="2"/>
    <x v="0"/>
    <n v="1577.91"/>
    <s v="NEGATIVE SALES"/>
    <n v="5516.9416000000001"/>
  </r>
  <r>
    <n v="2948"/>
    <s v="Daniel"/>
    <s v="Haney"/>
    <s v="Slim Fit Jeans"/>
    <n v="5"/>
    <n v="2494.15"/>
    <n v="0.63155555555555498"/>
    <n v="0"/>
    <d v="2025-02-07T00:00:00"/>
    <x v="0"/>
    <x v="2"/>
    <n v="-901.7"/>
    <s v="NEGATIVE SALES"/>
    <n v="12470.75"/>
  </r>
  <r>
    <n v="2949"/>
    <s v="Charlene"/>
    <s v="Knight"/>
    <s v="Boyfriend Jeans"/>
    <n v="0"/>
    <n v="2758.4708000000001"/>
    <n v="0.1"/>
    <n v="0"/>
    <d v="2025-02-07T00:00:00"/>
    <x v="4"/>
    <x v="1"/>
    <n v="1569.63"/>
    <s v="NEGATIVE SALES"/>
    <n v="0"/>
  </r>
  <r>
    <n v="2950"/>
    <s v="Karina"/>
    <s v="Lee"/>
    <s v="Belts"/>
    <n v="2"/>
    <n v="2759.4461000000001"/>
    <n v="0.27"/>
    <n v="0"/>
    <d v="2024-12-26T00:00:00"/>
    <x v="3"/>
    <x v="1"/>
    <n v="1158.28"/>
    <s v="NEGATIVE SALES"/>
    <n v="5518.8922000000002"/>
  </r>
  <r>
    <n v="2951"/>
    <s v="Rebecca"/>
    <s v="West"/>
    <s v="Wrap Dress"/>
    <n v="5"/>
    <n v="2759.4461000000001"/>
    <n v="0.636573033707865"/>
    <n v="0"/>
    <d v="2024-12-26T00:00:00"/>
    <x v="0"/>
    <x v="0"/>
    <n v="2454.0700000000002"/>
    <s v="NEGATIVE SALES"/>
    <n v="13797.2305"/>
  </r>
  <r>
    <n v="2952"/>
    <s v="Jennifer"/>
    <s v="Simpson"/>
    <s v="Boots"/>
    <n v="-2"/>
    <n v="470.68"/>
    <n v="0.06"/>
    <n v="-884.88"/>
    <d v="2024-11-19T00:00:00"/>
    <x v="1"/>
    <x v="2"/>
    <n v="2812.7"/>
    <s v="NEGATIVE SALES"/>
    <n v="-941.36"/>
  </r>
  <r>
    <n v="2953"/>
    <s v="Ronnie"/>
    <s v="Oconnor"/>
    <s v="Boots"/>
    <n v="3"/>
    <n v="3500.98"/>
    <n v="0.63983050847457601"/>
    <n v="0"/>
    <d v="2024-11-19T00:00:00"/>
    <x v="2"/>
    <x v="1"/>
    <n v="-865.81"/>
    <s v="NEGATIVE SALES"/>
    <n v="10502.94"/>
  </r>
  <r>
    <n v="2954"/>
    <s v="Jason"/>
    <s v="Rivera"/>
    <s v="Maxi Dress"/>
    <n v="0"/>
    <n v="2767.9229999999998"/>
    <n v="0.63983050847457601"/>
    <n v="0"/>
    <d v="2024-08-14T00:00:00"/>
    <x v="5"/>
    <x v="2"/>
    <n v="1632.71"/>
    <s v="NEGATIVE SALES"/>
    <n v="0"/>
  </r>
  <r>
    <n v="2955"/>
    <s v="Jody"/>
    <s v="Park"/>
    <s v="Wrap Dress"/>
    <n v="6"/>
    <n v="2765.1979000000001"/>
    <n v="1.28"/>
    <n v="0"/>
    <d v="2025-06-16T00:00:00"/>
    <x v="1"/>
    <x v="2"/>
    <n v="-646.89"/>
    <s v="NEGATIVE SALES"/>
    <n v="16591.187399999999"/>
  </r>
  <r>
    <n v="2956"/>
    <s v="Daniel"/>
    <s v="Hicks"/>
    <s v="Puffer Coat"/>
    <n v="0"/>
    <n v="2710.15"/>
    <n v="0.63619318181818196"/>
    <n v="0"/>
    <d v="2024-12-21T00:00:00"/>
    <x v="0"/>
    <x v="0"/>
    <n v="2.2200000000000002"/>
    <s v="NEGATIVE SALES"/>
    <n v="0"/>
  </r>
  <r>
    <n v="2957"/>
    <s v="Nicholas"/>
    <s v="Molina"/>
    <s v="Belts"/>
    <n v="0"/>
    <n v="2765.1979000000001"/>
    <n v="0.68"/>
    <n v="0"/>
    <d v="2025-03-08T00:00:00"/>
    <x v="1"/>
    <x v="0"/>
    <n v="301.72000000000003"/>
    <s v="NEGATIVE SALES"/>
    <n v="0"/>
  </r>
  <r>
    <n v="2958"/>
    <s v="James"/>
    <s v="Juarez"/>
    <s v="Classic Tee"/>
    <n v="-2"/>
    <n v="2765.4032999999999"/>
    <n v="0.63594285714285703"/>
    <n v="0"/>
    <d v="2024-04-11T00:00:00"/>
    <x v="4"/>
    <x v="0"/>
    <n v="-645.12"/>
    <s v="NEGATIVE SALES"/>
    <n v="-5530.8065999999999"/>
  </r>
  <r>
    <n v="2959"/>
    <s v="Gary"/>
    <s v="Smith"/>
    <s v="Loafers"/>
    <n v="0"/>
    <n v="4113.9799999999996"/>
    <n v="0.63594285714285703"/>
    <n v="0"/>
    <d v="2025-03-04T00:00:00"/>
    <x v="2"/>
    <x v="0"/>
    <n v="477.7"/>
    <s v="NEGATIVE SALES"/>
    <n v="0"/>
  </r>
  <r>
    <n v="2960"/>
    <s v="Angie"/>
    <s v="Garza"/>
    <s v="Belts"/>
    <n v="0"/>
    <n v="1536.53"/>
    <n v="0.96"/>
    <n v="0"/>
    <d v="2025-05-27T00:00:00"/>
    <x v="3"/>
    <x v="2"/>
    <n v="1052.28"/>
    <s v="NEGATIVE SALES"/>
    <n v="0"/>
  </r>
  <r>
    <n v="2962"/>
    <s v="Chelsea"/>
    <s v="Singleton"/>
    <s v="Belts"/>
    <n v="0"/>
    <n v="2764.9533000000001"/>
    <n v="0.87"/>
    <n v="0"/>
    <d v="2024-10-31T00:00:00"/>
    <x v="0"/>
    <x v="0"/>
    <n v="-617.13"/>
    <s v="NEGATIVE SALES"/>
    <n v="0"/>
  </r>
  <r>
    <n v="2963"/>
    <s v="Molly"/>
    <s v="Adams"/>
    <s v="Slim Fit Jeans"/>
    <n v="0"/>
    <n v="570.21"/>
    <n v="0.63616279069767401"/>
    <n v="0"/>
    <d v="2025-04-03T00:00:00"/>
    <x v="0"/>
    <x v="2"/>
    <n v="380.3"/>
    <s v="NEGATIVE SALES"/>
    <n v="0"/>
  </r>
  <r>
    <n v="2964"/>
    <s v="Mario"/>
    <s v="Ponce"/>
    <s v="Boots"/>
    <n v="-1"/>
    <n v="2764.9533000000001"/>
    <n v="0.96"/>
    <n v="0"/>
    <d v="2025-02-09T00:00:00"/>
    <x v="5"/>
    <x v="0"/>
    <n v="-937.17"/>
    <s v="NEGATIVE SALES"/>
    <n v="-2764.9533000000001"/>
  </r>
  <r>
    <n v="2966"/>
    <s v="Carol"/>
    <s v="Williams"/>
    <s v="Crop Top"/>
    <n v="0"/>
    <n v="1650.01"/>
    <n v="0.63426900584795298"/>
    <n v="0"/>
    <d v="2024-12-09T00:00:00"/>
    <x v="5"/>
    <x v="2"/>
    <n v="2561.34"/>
    <s v="NEGATIVE SALES"/>
    <n v="0"/>
  </r>
  <r>
    <n v="2967"/>
    <s v="Angela"/>
    <s v="Palmer"/>
    <s v="Casual Midi"/>
    <n v="0"/>
    <n v="2773.2354"/>
    <n v="0.63426900584795298"/>
    <n v="0"/>
    <d v="2025-04-24T00:00:00"/>
    <x v="5"/>
    <x v="2"/>
    <n v="-346.59"/>
    <s v="NEGATIVE SALES"/>
    <n v="0"/>
  </r>
  <r>
    <n v="2968"/>
    <s v="Charles"/>
    <s v="Morgan"/>
    <s v="Puffer Coat"/>
    <n v="0"/>
    <n v="2777.49"/>
    <n v="0.63426900584795298"/>
    <n v="0"/>
    <d v="2025-05-10T00:00:00"/>
    <x v="2"/>
    <x v="2"/>
    <n v="768.33"/>
    <s v="NEGATIVE SALES"/>
    <n v="0"/>
  </r>
  <r>
    <n v="2969"/>
    <s v="Jacob"/>
    <s v="Taylor"/>
    <s v="Leather Jacket"/>
    <n v="0"/>
    <n v="4858.47"/>
    <n v="0.68"/>
    <n v="0"/>
    <d v="2025-06-18T00:00:00"/>
    <x v="3"/>
    <x v="2"/>
    <n v="1115.8900000000001"/>
    <s v="NEGATIVE SALES"/>
    <n v="0"/>
  </r>
  <r>
    <n v="2970"/>
    <s v="Adam"/>
    <s v="Rowe"/>
    <s v="Oversized T-Shirt"/>
    <n v="1"/>
    <n v="2777.49"/>
    <n v="0.63400000000000001"/>
    <n v="0"/>
    <d v="2024-11-15T00:00:00"/>
    <x v="4"/>
    <x v="0"/>
    <n v="1214.1500000000001"/>
    <s v="NEGATIVE SALES"/>
    <n v="2777.49"/>
  </r>
  <r>
    <n v="2971"/>
    <s v="Danielle"/>
    <s v="Archer"/>
    <s v="Bodycon"/>
    <n v="6"/>
    <n v="1507.6"/>
    <n v="0.63400000000000001"/>
    <n v="0"/>
    <d v="2025-02-11T00:00:00"/>
    <x v="0"/>
    <x v="0"/>
    <n v="2280.06"/>
    <s v="NEGATIVE SALES"/>
    <n v="9045.6"/>
  </r>
  <r>
    <n v="2972"/>
    <s v="Alfred"/>
    <s v="Harris"/>
    <s v="Bodycon"/>
    <n v="5"/>
    <n v="2769.5774999999999"/>
    <n v="0.63400000000000001"/>
    <n v="0"/>
    <d v="2025-02-11T00:00:00"/>
    <x v="4"/>
    <x v="1"/>
    <n v="2532.7600000000002"/>
    <s v="NEGATIVE SALES"/>
    <n v="13847.887500000001"/>
  </r>
  <r>
    <n v="2973"/>
    <s v="Joel"/>
    <s v="Johnson"/>
    <s v="Belts"/>
    <n v="0"/>
    <n v="2774.3942000000002"/>
    <n v="0.63400000000000001"/>
    <n v="0"/>
    <d v="2024-12-15T00:00:00"/>
    <x v="5"/>
    <x v="0"/>
    <n v="1576.16"/>
    <s v="NEGATIVE SALES"/>
    <n v="0"/>
  </r>
  <r>
    <n v="2974"/>
    <s v="Amy"/>
    <s v="Miller"/>
    <s v="Watches"/>
    <n v="6"/>
    <n v="1765.76"/>
    <n v="0.36"/>
    <n v="6780.52"/>
    <d v="2025-05-21T00:00:00"/>
    <x v="1"/>
    <x v="2"/>
    <n v="2947"/>
    <s v="POSITIVE SALES"/>
    <n v="10594.56"/>
  </r>
  <r>
    <n v="2975"/>
    <s v="Alexandra"/>
    <s v="Jones"/>
    <s v="Caps"/>
    <n v="0"/>
    <n v="3835.25"/>
    <n v="0.63562130177514797"/>
    <n v="0"/>
    <d v="2025-02-12T00:00:00"/>
    <x v="1"/>
    <x v="2"/>
    <n v="2378.4"/>
    <s v="NEGATIVE SALES"/>
    <n v="0"/>
  </r>
  <r>
    <n v="2976"/>
    <s v="John"/>
    <s v="Lee"/>
    <s v="Classic Tee"/>
    <n v="0"/>
    <n v="1572.95"/>
    <n v="0.63562130177514797"/>
    <n v="0"/>
    <d v="2025-01-06T00:00:00"/>
    <x v="5"/>
    <x v="2"/>
    <n v="2532.02"/>
    <s v="NEGATIVE SALES"/>
    <n v="0"/>
  </r>
  <r>
    <n v="2977"/>
    <s v="Brendan"/>
    <s v="Martin"/>
    <s v="Casual Midi"/>
    <n v="-2"/>
    <n v="3205.93"/>
    <n v="0.63562130177514797"/>
    <n v="0"/>
    <d v="2025-01-06T00:00:00"/>
    <x v="2"/>
    <x v="0"/>
    <n v="1421.4"/>
    <s v="NEGATIVE SALES"/>
    <n v="-6411.86"/>
  </r>
  <r>
    <n v="2978"/>
    <s v="James"/>
    <s v="Olson"/>
    <s v="Bodycon"/>
    <n v="3"/>
    <n v="2778.8314"/>
    <n v="0.52"/>
    <n v="0"/>
    <d v="2025-07-17T00:00:00"/>
    <x v="5"/>
    <x v="0"/>
    <n v="771.47"/>
    <s v="NEGATIVE SALES"/>
    <n v="8336.4941999999992"/>
  </r>
  <r>
    <n v="2979"/>
    <s v="Christina"/>
    <s v="Simmons"/>
    <s v="Classic Tee"/>
    <n v="0"/>
    <n v="2777.1759999999999"/>
    <n v="0.23"/>
    <n v="0"/>
    <d v="2025-07-17T00:00:00"/>
    <x v="2"/>
    <x v="1"/>
    <n v="862.17"/>
    <s v="NEGATIVE SALES"/>
    <n v="0"/>
  </r>
  <r>
    <n v="2980"/>
    <s v="Tina"/>
    <s v="Williams"/>
    <s v="Classic Tee"/>
    <n v="0"/>
    <n v="2777.1759999999999"/>
    <n v="0.36"/>
    <n v="0"/>
    <d v="2024-12-02T00:00:00"/>
    <x v="0"/>
    <x v="0"/>
    <n v="147.66999999999999"/>
    <s v="NEGATIVE SALES"/>
    <n v="0"/>
  </r>
  <r>
    <n v="2982"/>
    <s v="Bailey"/>
    <s v="Keller"/>
    <s v="Oversized T-Shirt"/>
    <n v="-1"/>
    <n v="2497.52"/>
    <n v="0.64042168674698796"/>
    <n v="0"/>
    <d v="2023-11-23T00:00:00"/>
    <x v="1"/>
    <x v="1"/>
    <n v="-523.42999999999995"/>
    <s v="NEGATIVE SALES"/>
    <n v="-2497.52"/>
  </r>
  <r>
    <n v="2983"/>
    <s v="Bryan"/>
    <s v="Conway"/>
    <s v="Sneakers"/>
    <n v="0"/>
    <n v="2777.1759999999999"/>
    <n v="0.64042168674698796"/>
    <n v="0"/>
    <d v="2023-11-23T00:00:00"/>
    <x v="4"/>
    <x v="1"/>
    <n v="1347.94"/>
    <s v="NEGATIVE SALES"/>
    <n v="0"/>
  </r>
  <r>
    <n v="2984"/>
    <s v="Alexander"/>
    <s v="Gonzalez"/>
    <s v="Loafers"/>
    <n v="4"/>
    <n v="2062.9"/>
    <n v="0.64042168674698796"/>
    <n v="0"/>
    <d v="2024-08-02T00:00:00"/>
    <x v="2"/>
    <x v="0"/>
    <n v="2471.06"/>
    <s v="NEGATIVE SALES"/>
    <n v="8251.6"/>
  </r>
  <r>
    <n v="2985"/>
    <s v="Elizabeth"/>
    <s v="Mills"/>
    <s v="Straight Cut"/>
    <n v="0"/>
    <n v="2778.2640999999999"/>
    <n v="1.1499999999999999"/>
    <n v="0"/>
    <d v="2025-01-15T00:00:00"/>
    <x v="5"/>
    <x v="1"/>
    <n v="774.28"/>
    <s v="NEGATIVE SALES"/>
    <n v="0"/>
  </r>
  <r>
    <n v="2986"/>
    <s v="Jeffrey"/>
    <s v="Kennedy"/>
    <s v="Wrap Dress"/>
    <n v="-2"/>
    <n v="2781.0585000000001"/>
    <n v="0.63733333333333297"/>
    <n v="0"/>
    <d v="2024-10-23T00:00:00"/>
    <x v="2"/>
    <x v="2"/>
    <n v="-283.42"/>
    <s v="NEGATIVE SALES"/>
    <n v="-5562.1170000000002"/>
  </r>
  <r>
    <n v="2987"/>
    <s v="Lauren"/>
    <s v="Harrell"/>
    <s v="Belts"/>
    <n v="6"/>
    <n v="2584.4299999999998"/>
    <n v="0.63733333333333297"/>
    <n v="0"/>
    <d v="2024-10-23T00:00:00"/>
    <x v="0"/>
    <x v="0"/>
    <n v="992.21"/>
    <s v="NEGATIVE SALES"/>
    <n v="15506.58"/>
  </r>
  <r>
    <n v="2988"/>
    <s v="Morgan"/>
    <s v="Bullock"/>
    <s v="Graphic Tee"/>
    <n v="0"/>
    <n v="2781.0585000000001"/>
    <n v="0.63733333333333297"/>
    <n v="0"/>
    <d v="2024-10-23T00:00:00"/>
    <x v="4"/>
    <x v="1"/>
    <n v="2784.91"/>
    <s v="NEGATIVE SALES"/>
    <n v="0"/>
  </r>
  <r>
    <n v="2989"/>
    <s v="Paige"/>
    <s v="Mosley"/>
    <s v="Boots"/>
    <n v="-1"/>
    <n v="4084.97"/>
    <n v="0.83"/>
    <n v="-694.44"/>
    <d v="2024-01-29T00:00:00"/>
    <x v="2"/>
    <x v="2"/>
    <n v="2395.4299999999998"/>
    <s v="NEGATIVE SALES"/>
    <n v="-4084.97"/>
  </r>
  <r>
    <n v="2990"/>
    <s v="Johnny"/>
    <s v="Good"/>
    <s v="Slim Fit Jeans"/>
    <n v="0"/>
    <n v="3205.73"/>
    <n v="0.63615853658536603"/>
    <n v="0"/>
    <d v="2024-09-21T00:00:00"/>
    <x v="2"/>
    <x v="1"/>
    <n v="1600.5"/>
    <s v="NEGATIVE SALES"/>
    <n v="0"/>
  </r>
  <r>
    <n v="2991"/>
    <s v="Brittany"/>
    <s v="Torres"/>
    <s v="Bodycon"/>
    <n v="0"/>
    <n v="2053.65"/>
    <n v="0.63615853658536603"/>
    <n v="0"/>
    <d v="2024-10-17T00:00:00"/>
    <x v="5"/>
    <x v="1"/>
    <n v="-86.89"/>
    <s v="NEGATIVE SALES"/>
    <n v="0"/>
  </r>
  <r>
    <n v="2992"/>
    <s v="Kelly"/>
    <s v="Willis"/>
    <s v="Straight Cut"/>
    <n v="0"/>
    <n v="4747.16"/>
    <n v="0.9"/>
    <n v="0"/>
    <d v="2024-01-26T00:00:00"/>
    <x v="3"/>
    <x v="2"/>
    <n v="2189.0500000000002"/>
    <s v="NEGATIVE SALES"/>
    <n v="0"/>
  </r>
  <r>
    <n v="2993"/>
    <s v="Kara"/>
    <s v="Howell"/>
    <s v="Caps"/>
    <n v="0"/>
    <n v="2777.8658999999998"/>
    <n v="0.63453987730061401"/>
    <n v="0"/>
    <d v="2025-02-23T00:00:00"/>
    <x v="2"/>
    <x v="0"/>
    <n v="-568.91"/>
    <s v="NEGATIVE SALES"/>
    <n v="0"/>
  </r>
  <r>
    <n v="2994"/>
    <s v="Christopher"/>
    <s v="Cannon"/>
    <s v="Oversized T-Shirt"/>
    <n v="5"/>
    <n v="919.26"/>
    <n v="0.63453987730061401"/>
    <n v="0"/>
    <d v="2025-02-23T00:00:00"/>
    <x v="5"/>
    <x v="1"/>
    <n v="2805.22"/>
    <s v="NEGATIVE SALES"/>
    <n v="4596.3"/>
  </r>
  <r>
    <n v="2995"/>
    <s v="Kathleen"/>
    <s v="Rose"/>
    <s v="Sneakers"/>
    <n v="0"/>
    <n v="2617.66"/>
    <n v="0.55000000000000004"/>
    <n v="0"/>
    <d v="2025-02-06T00:00:00"/>
    <x v="2"/>
    <x v="1"/>
    <n v="1406.13"/>
    <s v="NEGATIVE SALES"/>
    <n v="0"/>
  </r>
  <r>
    <n v="2996"/>
    <s v="Travis"/>
    <s v="Wells"/>
    <s v="Wrap Dress"/>
    <n v="2"/>
    <n v="3750.45"/>
    <n v="1.04"/>
    <n v="-300.04000000000002"/>
    <d v="2025-03-08T00:00:00"/>
    <x v="1"/>
    <x v="1"/>
    <n v="1108.3800000000001"/>
    <s v="NEGATIVE SALES"/>
    <n v="7500.9"/>
  </r>
  <r>
    <n v="2998"/>
    <s v="Christine"/>
    <s v="Wilson"/>
    <s v="Puffer Coat"/>
    <n v="0"/>
    <n v="3453.58"/>
    <n v="0.63254658385093199"/>
    <n v="0"/>
    <d v="2024-10-29T00:00:00"/>
    <x v="2"/>
    <x v="2"/>
    <n v="2018.4"/>
    <s v="NEGATIVE SALES"/>
    <n v="0"/>
  </r>
  <r>
    <n v="2999"/>
    <s v="Deborah"/>
    <s v="Frederick"/>
    <s v="Loafers"/>
    <n v="0"/>
    <n v="2774.1437999999998"/>
    <n v="0.63254658385093199"/>
    <n v="0"/>
    <d v="2024-10-29T00:00:00"/>
    <x v="5"/>
    <x v="2"/>
    <n v="-828.2"/>
    <s v="NEGATIVE SALES"/>
    <n v="0"/>
  </r>
  <r>
    <n v="3001"/>
    <s v="Amanda"/>
    <s v="Mclaughlin"/>
    <s v="Denim Jacket"/>
    <n v="-1"/>
    <n v="1171.57"/>
    <n v="0.63254658385093199"/>
    <n v="0"/>
    <d v="2024-11-05T00:00:00"/>
    <x v="4"/>
    <x v="1"/>
    <n v="2541.21"/>
    <s v="NEGATIVE SALES"/>
    <n v="-1171.57"/>
  </r>
  <r>
    <n v="3003"/>
    <s v="Christopher"/>
    <s v="Rice"/>
    <s v="Straight Cut"/>
    <n v="-1"/>
    <n v="2777.8964000000001"/>
    <n v="0.63254658385093199"/>
    <n v="0"/>
    <d v="2024-10-16T00:00:00"/>
    <x v="0"/>
    <x v="2"/>
    <n v="605.98"/>
    <s v="NEGATIVE SALES"/>
    <n v="-2777.8964000000001"/>
  </r>
  <r>
    <n v="3004"/>
    <s v="Laurie"/>
    <s v="Martinez"/>
    <s v="Crop Top"/>
    <n v="3"/>
    <n v="1759.66"/>
    <n v="0.63254658385093199"/>
    <n v="0"/>
    <d v="2025-04-04T00:00:00"/>
    <x v="2"/>
    <x v="1"/>
    <n v="1133.07"/>
    <s v="NEGATIVE SALES"/>
    <n v="5278.98"/>
  </r>
  <r>
    <n v="3005"/>
    <s v="Dave"/>
    <s v="Williams"/>
    <s v="Bomber Jacket"/>
    <n v="0"/>
    <n v="2777.8964000000001"/>
    <n v="0.63254658385093199"/>
    <n v="0"/>
    <d v="2024-05-08T00:00:00"/>
    <x v="5"/>
    <x v="0"/>
    <n v="2378.14"/>
    <s v="NEGATIVE SALES"/>
    <n v="0"/>
  </r>
  <r>
    <n v="3006"/>
    <s v="Lori"/>
    <s v="Alexander"/>
    <s v="Loafers"/>
    <n v="0"/>
    <n v="2782.0524999999998"/>
    <n v="1.26"/>
    <n v="0"/>
    <d v="2024-05-08T00:00:00"/>
    <x v="4"/>
    <x v="2"/>
    <n v="1441.9"/>
    <s v="NEGATIVE SALES"/>
    <n v="0"/>
  </r>
  <r>
    <n v="3007"/>
    <s v="Misty"/>
    <s v="Higgins"/>
    <s v="Loafers"/>
    <n v="-2"/>
    <n v="3922.01"/>
    <n v="0.62862499999999999"/>
    <n v="0"/>
    <d v="2025-03-10T00:00:00"/>
    <x v="3"/>
    <x v="2"/>
    <n v="2186.58"/>
    <s v="NEGATIVE SALES"/>
    <n v="-7844.02"/>
  </r>
  <r>
    <n v="3008"/>
    <s v="Brandon"/>
    <s v="Ritter"/>
    <s v="Sunglasses"/>
    <n v="0"/>
    <n v="2880.85"/>
    <n v="0.62862499999999999"/>
    <n v="0"/>
    <d v="2025-05-21T00:00:00"/>
    <x v="0"/>
    <x v="0"/>
    <n v="2519.23"/>
    <s v="NEGATIVE SALES"/>
    <n v="0"/>
  </r>
  <r>
    <n v="3009"/>
    <s v="Jacob"/>
    <s v="Conrad"/>
    <s v="Slim Fit Jeans"/>
    <n v="0"/>
    <n v="2777.3805000000002"/>
    <n v="0.62862499999999999"/>
    <n v="0"/>
    <d v="2025-03-14T00:00:00"/>
    <x v="3"/>
    <x v="0"/>
    <n v="25.22"/>
    <s v="NEGATIVE SALES"/>
    <n v="0"/>
  </r>
  <r>
    <n v="3010"/>
    <s v="Jessica"/>
    <s v="Nguyen"/>
    <s v="Puffer Coat"/>
    <n v="-2"/>
    <n v="2776.9546999999998"/>
    <n v="0.68"/>
    <n v="0"/>
    <d v="2024-09-30T00:00:00"/>
    <x v="5"/>
    <x v="0"/>
    <n v="671.7"/>
    <s v="NEGATIVE SALES"/>
    <n v="-5553.9093999999996"/>
  </r>
  <r>
    <n v="3011"/>
    <s v="Spencer"/>
    <s v="Collins"/>
    <s v="Belts"/>
    <n v="0"/>
    <n v="4016.78"/>
    <n v="1.03"/>
    <n v="0"/>
    <d v="2025-05-03T00:00:00"/>
    <x v="0"/>
    <x v="2"/>
    <n v="729.73"/>
    <s v="NEGATIVE SALES"/>
    <n v="0"/>
  </r>
  <r>
    <n v="3012"/>
    <s v="Nathan"/>
    <s v="Lyons"/>
    <s v="Caps"/>
    <n v="0"/>
    <n v="673.96"/>
    <n v="0.62575949367088601"/>
    <n v="0"/>
    <d v="2025-05-03T00:00:00"/>
    <x v="3"/>
    <x v="2"/>
    <n v="799.35"/>
    <s v="NEGATIVE SALES"/>
    <n v="0"/>
  </r>
  <r>
    <n v="3013"/>
    <s v="Eric"/>
    <s v="Stone"/>
    <s v="Graphic Tee"/>
    <n v="0"/>
    <n v="2771.8314999999998"/>
    <n v="0.66"/>
    <n v="0"/>
    <d v="2025-02-01T00:00:00"/>
    <x v="3"/>
    <x v="1"/>
    <n v="-572.35"/>
    <s v="NEGATIVE SALES"/>
    <n v="0"/>
  </r>
  <r>
    <n v="3014"/>
    <s v="Anthony"/>
    <s v="Smith"/>
    <s v="Graphic Tee"/>
    <n v="2"/>
    <n v="2780.5363000000002"/>
    <n v="0.62554140127388502"/>
    <n v="0"/>
    <d v="2025-07-02T00:00:00"/>
    <x v="0"/>
    <x v="2"/>
    <n v="1056.99"/>
    <s v="NEGATIVE SALES"/>
    <n v="5561.0726000000004"/>
  </r>
  <r>
    <n v="3015"/>
    <s v="Lindsey"/>
    <s v="Merritt"/>
    <s v="Ripped Denim"/>
    <n v="0"/>
    <n v="3211"/>
    <n v="0.56000000000000005"/>
    <n v="0"/>
    <d v="2024-11-05T00:00:00"/>
    <x v="0"/>
    <x v="0"/>
    <n v="-659.55"/>
    <s v="NEGATIVE SALES"/>
    <n v="0"/>
  </r>
  <r>
    <n v="3016"/>
    <s v="Richard"/>
    <s v="Fuentes"/>
    <s v="Belts"/>
    <n v="5"/>
    <n v="2780.5363000000002"/>
    <n v="0.62596153846153801"/>
    <n v="0"/>
    <d v="2024-12-16T00:00:00"/>
    <x v="5"/>
    <x v="0"/>
    <n v="426.15"/>
    <s v="NEGATIVE SALES"/>
    <n v="13902.681500000001"/>
  </r>
  <r>
    <n v="3017"/>
    <s v="Kimberly"/>
    <s v="Ward"/>
    <s v="Boots"/>
    <n v="0"/>
    <n v="2778.7426999999998"/>
    <n v="0.62596153846153801"/>
    <n v="0"/>
    <d v="2024-12-15T00:00:00"/>
    <x v="1"/>
    <x v="0"/>
    <n v="1237.1300000000001"/>
    <s v="NEGATIVE SALES"/>
    <n v="0"/>
  </r>
  <r>
    <n v="3018"/>
    <s v="David"/>
    <s v="Wheeler"/>
    <s v="Slim Fit Jeans"/>
    <n v="0"/>
    <n v="4744.8599999999997"/>
    <n v="0.62596153846153801"/>
    <n v="0"/>
    <d v="2024-11-27T00:00:00"/>
    <x v="5"/>
    <x v="1"/>
    <n v="2963.16"/>
    <s v="NEGATIVE SALES"/>
    <n v="0"/>
  </r>
  <r>
    <n v="3019"/>
    <s v="Alicia"/>
    <s v="Jones"/>
    <s v="Slim Fit Jeans"/>
    <n v="0"/>
    <n v="2705.09"/>
    <n v="0.62596153846153801"/>
    <n v="0"/>
    <d v="2024-10-05T00:00:00"/>
    <x v="5"/>
    <x v="0"/>
    <n v="-546.72"/>
    <s v="NEGATIVE SALES"/>
    <n v="0"/>
  </r>
  <r>
    <n v="3020"/>
    <s v="Jonathan"/>
    <s v="Leonard"/>
    <s v="Boots"/>
    <n v="0"/>
    <n v="2770.5162999999998"/>
    <n v="0.62596153846153801"/>
    <n v="0"/>
    <d v="2024-08-21T00:00:00"/>
    <x v="3"/>
    <x v="2"/>
    <n v="134.93"/>
    <s v="NEGATIVE SALES"/>
    <n v="0"/>
  </r>
  <r>
    <n v="3021"/>
    <s v="Michelle"/>
    <s v="Duncan"/>
    <s v="Bomber Jacket"/>
    <n v="3"/>
    <n v="2770.7912000000001"/>
    <n v="0.62596153846153801"/>
    <n v="0"/>
    <d v="2025-02-04T00:00:00"/>
    <x v="2"/>
    <x v="2"/>
    <n v="-571.78"/>
    <s v="NEGATIVE SALES"/>
    <n v="8312.3736000000008"/>
  </r>
  <r>
    <n v="3022"/>
    <s v="Jennifer"/>
    <s v="Hancock"/>
    <s v="Belts"/>
    <n v="3"/>
    <n v="1695.61"/>
    <n v="0.62596153846153801"/>
    <n v="0"/>
    <d v="2024-08-08T00:00:00"/>
    <x v="0"/>
    <x v="0"/>
    <n v="297.83"/>
    <s v="NEGATIVE SALES"/>
    <n v="5086.83"/>
  </r>
  <r>
    <n v="3023"/>
    <s v="Tamara"/>
    <s v="Ross"/>
    <s v="Oversized T-Shirt"/>
    <n v="0"/>
    <n v="2770.7912000000001"/>
    <n v="0.62596153846153801"/>
    <n v="0"/>
    <d v="2023-08-28T00:00:00"/>
    <x v="0"/>
    <x v="0"/>
    <n v="2001.88"/>
    <s v="NEGATIVE SALES"/>
    <n v="0"/>
  </r>
  <r>
    <n v="3024"/>
    <s v="Miranda"/>
    <s v="Gutierrez"/>
    <s v="Classic Tee"/>
    <n v="0"/>
    <n v="2775.3278"/>
    <n v="0.18"/>
    <n v="0"/>
    <d v="2023-08-28T00:00:00"/>
    <x v="2"/>
    <x v="1"/>
    <n v="1505.68"/>
    <s v="NEGATIVE SALES"/>
    <n v="0"/>
  </r>
  <r>
    <n v="3025"/>
    <s v="Jennifer"/>
    <s v="Mills"/>
    <s v="Belts"/>
    <n v="2"/>
    <n v="2775.3278"/>
    <n v="0.62883870967741895"/>
    <n v="0"/>
    <d v="2023-12-24T00:00:00"/>
    <x v="3"/>
    <x v="0"/>
    <n v="2275.0700000000002"/>
    <s v="NEGATIVE SALES"/>
    <n v="5550.6556"/>
  </r>
  <r>
    <n v="3026"/>
    <s v="Shawn"/>
    <s v="Campos"/>
    <s v="Straight Cut"/>
    <n v="0"/>
    <n v="3345.45"/>
    <n v="0.62883870967741895"/>
    <n v="0"/>
    <d v="2024-08-08T00:00:00"/>
    <x v="5"/>
    <x v="0"/>
    <n v="2896.95"/>
    <s v="NEGATIVE SALES"/>
    <n v="0"/>
  </r>
  <r>
    <n v="3027"/>
    <s v="William"/>
    <s v="Nelson"/>
    <s v="Watches"/>
    <n v="0"/>
    <n v="2775.3278"/>
    <n v="0.62883870967741895"/>
    <n v="0"/>
    <d v="2024-10-30T00:00:00"/>
    <x v="2"/>
    <x v="2"/>
    <n v="1256.47"/>
    <s v="NEGATIVE SALES"/>
    <n v="0"/>
  </r>
  <r>
    <n v="3028"/>
    <s v="Stephen"/>
    <s v="Williamson"/>
    <s v="Slip-Ons"/>
    <n v="0"/>
    <n v="2772.9121"/>
    <n v="0.74"/>
    <n v="0"/>
    <d v="2025-01-07T00:00:00"/>
    <x v="3"/>
    <x v="1"/>
    <n v="-436.73"/>
    <s v="NEGATIVE SALES"/>
    <n v="0"/>
  </r>
  <r>
    <n v="3030"/>
    <s v="Jeffrey"/>
    <s v="Haynes"/>
    <s v="Watches"/>
    <n v="0"/>
    <n v="4101.8900000000003"/>
    <n v="0.62627450980392196"/>
    <n v="0"/>
    <d v="2024-12-20T00:00:00"/>
    <x v="0"/>
    <x v="0"/>
    <n v="1196.03"/>
    <s v="NEGATIVE SALES"/>
    <n v="0"/>
  </r>
  <r>
    <n v="3031"/>
    <s v="Amber"/>
    <s v="Morales"/>
    <s v="Leather Jacket"/>
    <n v="-1"/>
    <n v="2775.0636"/>
    <n v="0.62627450980392196"/>
    <n v="0"/>
    <d v="2024-07-28T00:00:00"/>
    <x v="5"/>
    <x v="0"/>
    <n v="-970.17"/>
    <s v="NEGATIVE SALES"/>
    <n v="-2775.0636"/>
  </r>
  <r>
    <n v="3032"/>
    <s v="Johnathan"/>
    <s v="Owens"/>
    <s v="Slip-Ons"/>
    <n v="5"/>
    <n v="3654.9"/>
    <n v="0.62627450980392196"/>
    <n v="0"/>
    <d v="2024-07-28T00:00:00"/>
    <x v="1"/>
    <x v="1"/>
    <n v="1069.81"/>
    <s v="NEGATIVE SALES"/>
    <n v="18274.5"/>
  </r>
  <r>
    <n v="3033"/>
    <s v="Clinton"/>
    <s v="Ross"/>
    <s v="Classic Tee"/>
    <n v="0"/>
    <n v="1787.52"/>
    <n v="0.62627450980392196"/>
    <n v="0"/>
    <d v="2025-02-14T00:00:00"/>
    <x v="5"/>
    <x v="2"/>
    <n v="2626.27"/>
    <s v="NEGATIVE SALES"/>
    <n v="0"/>
  </r>
  <r>
    <n v="3034"/>
    <s v="Brian"/>
    <s v="Alexander"/>
    <s v="Oversized T-Shirt"/>
    <n v="0"/>
    <n v="2765.5929999999998"/>
    <n v="0.62627450980392196"/>
    <n v="0"/>
    <d v="2025-02-14T00:00:00"/>
    <x v="1"/>
    <x v="2"/>
    <n v="2599.13"/>
    <s v="NEGATIVE SALES"/>
    <n v="0"/>
  </r>
  <r>
    <n v="3035"/>
    <s v="Dylan"/>
    <s v="Harris"/>
    <s v="Casual Midi"/>
    <n v="4"/>
    <n v="2769.8087999999998"/>
    <n v="1"/>
    <n v="0"/>
    <d v="2025-02-14T00:00:00"/>
    <x v="3"/>
    <x v="2"/>
    <n v="2640.01"/>
    <s v="NEGATIVE SALES"/>
    <n v="11079.235199999999"/>
  </r>
  <r>
    <n v="3036"/>
    <s v="Charlene"/>
    <s v="Garrett"/>
    <s v="Bodycon"/>
    <n v="0"/>
    <n v="3997.83"/>
    <n v="0.62381578947368399"/>
    <n v="0"/>
    <d v="2025-05-07T00:00:00"/>
    <x v="0"/>
    <x v="2"/>
    <n v="1399.12"/>
    <s v="NEGATIVE SALES"/>
    <n v="0"/>
  </r>
  <r>
    <n v="3037"/>
    <s v="Brian"/>
    <s v="Sims"/>
    <s v="Puffer Coat"/>
    <n v="0"/>
    <n v="2769.8087999999998"/>
    <n v="0.85"/>
    <n v="0"/>
    <d v="2024-08-14T00:00:00"/>
    <x v="0"/>
    <x v="0"/>
    <n v="-298.81"/>
    <s v="NEGATIVE SALES"/>
    <n v="0"/>
  </r>
  <r>
    <n v="3038"/>
    <s v="Gloria"/>
    <s v="Barrett"/>
    <s v="Bomber Jacket"/>
    <n v="0"/>
    <n v="1318.04"/>
    <n v="0.62231788079470196"/>
    <n v="0"/>
    <d v="2025-02-08T00:00:00"/>
    <x v="1"/>
    <x v="0"/>
    <n v="-19.53"/>
    <s v="NEGATIVE SALES"/>
    <n v="0"/>
  </r>
  <r>
    <n v="3039"/>
    <s v="Edward"/>
    <s v="Porter"/>
    <s v="Slim Fit Jeans"/>
    <n v="0"/>
    <n v="2764.4926999999998"/>
    <n v="0.62231788079470196"/>
    <n v="0"/>
    <d v="2025-02-08T00:00:00"/>
    <x v="4"/>
    <x v="1"/>
    <n v="748.79"/>
    <s v="NEGATIVE SALES"/>
    <n v="0"/>
  </r>
  <r>
    <n v="3040"/>
    <s v="Mark"/>
    <s v="Soto"/>
    <s v="Slip-Ons"/>
    <n v="-2"/>
    <n v="2770.7815999999998"/>
    <n v="0.62231788079470196"/>
    <n v="0"/>
    <d v="2025-03-19T00:00:00"/>
    <x v="5"/>
    <x v="2"/>
    <n v="2991.73"/>
    <s v="NEGATIVE SALES"/>
    <n v="-5541.5631999999996"/>
  </r>
  <r>
    <n v="3041"/>
    <s v="Cameron"/>
    <s v="Medina"/>
    <s v="Bomber Jacket"/>
    <n v="0"/>
    <n v="2770.7815999999998"/>
    <n v="0.62231788079470196"/>
    <n v="0"/>
    <d v="2024-12-05T00:00:00"/>
    <x v="5"/>
    <x v="1"/>
    <n v="2179.9299999999998"/>
    <s v="NEGATIVE SALES"/>
    <n v="0"/>
  </r>
  <r>
    <n v="3042"/>
    <s v="Gabriel"/>
    <s v="Chen"/>
    <s v="Leather Jacket"/>
    <n v="3"/>
    <n v="848.45"/>
    <n v="0.62231788079470196"/>
    <n v="0"/>
    <d v="2024-12-05T00:00:00"/>
    <x v="3"/>
    <x v="0"/>
    <n v="1334.54"/>
    <s v="NEGATIVE SALES"/>
    <n v="2545.35"/>
  </r>
  <r>
    <n v="3043"/>
    <s v="Dennis"/>
    <s v="Bryant"/>
    <s v="Caps"/>
    <n v="0"/>
    <n v="1137.77"/>
    <n v="0.62231788079470196"/>
    <n v="0"/>
    <d v="2023-12-04T00:00:00"/>
    <x v="0"/>
    <x v="0"/>
    <n v="-471.37"/>
    <s v="NEGATIVE SALES"/>
    <n v="0"/>
  </r>
  <r>
    <n v="3044"/>
    <s v="Rebecca"/>
    <s v="Newman"/>
    <s v="Oversized T-Shirt"/>
    <n v="0"/>
    <n v="431.31"/>
    <n v="1.25"/>
    <n v="0"/>
    <d v="2025-06-03T00:00:00"/>
    <x v="2"/>
    <x v="0"/>
    <n v="2866.66"/>
    <s v="NEGATIVE SALES"/>
    <n v="0"/>
  </r>
  <r>
    <n v="3045"/>
    <s v="Sean"/>
    <s v="Nelson"/>
    <s v="Casual Midi"/>
    <n v="0"/>
    <n v="3180.69"/>
    <n v="0.61813333333333398"/>
    <n v="0"/>
    <d v="2023-08-13T00:00:00"/>
    <x v="5"/>
    <x v="2"/>
    <n v="2237.56"/>
    <s v="NEGATIVE SALES"/>
    <n v="0"/>
  </r>
  <r>
    <n v="3046"/>
    <s v="Jeffrey"/>
    <s v="Levy"/>
    <s v="Straight Cut"/>
    <n v="0"/>
    <n v="2796.75"/>
    <n v="0.61813333333333398"/>
    <n v="0"/>
    <d v="2023-08-13T00:00:00"/>
    <x v="5"/>
    <x v="2"/>
    <n v="372.98"/>
    <s v="NEGATIVE SALES"/>
    <n v="0"/>
  </r>
  <r>
    <n v="3048"/>
    <s v="Patrick"/>
    <s v="Frye"/>
    <s v="Puffer Coat"/>
    <n v="0"/>
    <n v="1136.4100000000001"/>
    <n v="0.61813333333333398"/>
    <n v="0"/>
    <d v="2025-02-11T00:00:00"/>
    <x v="1"/>
    <x v="2"/>
    <n v="2504.79"/>
    <s v="NEGATIVE SALES"/>
    <n v="0"/>
  </r>
  <r>
    <n v="3049"/>
    <s v="Heather"/>
    <s v="Gibson"/>
    <s v="Wrap Dress"/>
    <n v="-2"/>
    <n v="2795.0511000000001"/>
    <n v="0.61813333333333398"/>
    <n v="0"/>
    <d v="2025-05-17T00:00:00"/>
    <x v="2"/>
    <x v="1"/>
    <n v="2001.07"/>
    <s v="NEGATIVE SALES"/>
    <n v="-5590.1022000000003"/>
  </r>
  <r>
    <n v="3050"/>
    <s v="Nicole"/>
    <s v="Miller"/>
    <s v="Ripped Denim"/>
    <n v="0"/>
    <n v="3177.78"/>
    <n v="0.61813333333333398"/>
    <n v="0"/>
    <d v="2024-10-28T00:00:00"/>
    <x v="1"/>
    <x v="0"/>
    <n v="407.14"/>
    <s v="NEGATIVE SALES"/>
    <n v="0"/>
  </r>
  <r>
    <n v="3051"/>
    <s v="Megan"/>
    <s v="Simpson"/>
    <s v="Loafers"/>
    <n v="0"/>
    <n v="2802.4227999999998"/>
    <n v="0.61813333333333398"/>
    <n v="0"/>
    <d v="2024-10-28T00:00:00"/>
    <x v="3"/>
    <x v="2"/>
    <n v="1877.82"/>
    <s v="NEGATIVE SALES"/>
    <n v="0"/>
  </r>
  <r>
    <n v="3052"/>
    <s v="Nathaniel"/>
    <s v="Martin"/>
    <s v="Belts"/>
    <n v="-1"/>
    <n v="1290.42"/>
    <n v="0.61813333333333398"/>
    <n v="0"/>
    <d v="2024-04-21T00:00:00"/>
    <x v="1"/>
    <x v="2"/>
    <n v="-196.63"/>
    <s v="NEGATIVE SALES"/>
    <n v="-1290.42"/>
  </r>
  <r>
    <n v="3053"/>
    <s v="Melissa"/>
    <s v="Fleming"/>
    <s v="Sneakers"/>
    <n v="5"/>
    <n v="2800.7471"/>
    <n v="0.61813333333333398"/>
    <n v="0"/>
    <d v="2024-04-21T00:00:00"/>
    <x v="1"/>
    <x v="0"/>
    <n v="612.53"/>
    <s v="NEGATIVE SALES"/>
    <n v="14003.735500000001"/>
  </r>
  <r>
    <n v="3054"/>
    <s v="Mr."/>
    <s v="Michael"/>
    <s v="Wrap Dress"/>
    <n v="5"/>
    <n v="1722.34"/>
    <n v="1.04"/>
    <n v="-344.47"/>
    <d v="2024-08-01T00:00:00"/>
    <x v="0"/>
    <x v="2"/>
    <n v="2459.2800000000002"/>
    <s v="NEGATIVE SALES"/>
    <n v="8611.7000000000007"/>
  </r>
  <r>
    <n v="3055"/>
    <s v="Jeremy"/>
    <s v="Hendricks"/>
    <s v="Casual Midi"/>
    <n v="1"/>
    <n v="2807.5198999999998"/>
    <n v="0.61530201342281898"/>
    <n v="0"/>
    <d v="2025-06-13T00:00:00"/>
    <x v="2"/>
    <x v="0"/>
    <n v="2024.8"/>
    <s v="NEGATIVE SALES"/>
    <n v="2807.5198999999998"/>
  </r>
  <r>
    <n v="3056"/>
    <s v="Harold"/>
    <s v="Adams"/>
    <s v="Sneakers"/>
    <n v="4"/>
    <n v="2812.4081000000001"/>
    <n v="0.61530201342281898"/>
    <n v="0"/>
    <d v="2024-12-06T00:00:00"/>
    <x v="2"/>
    <x v="1"/>
    <n v="2126.75"/>
    <s v="NEGATIVE SALES"/>
    <n v="11249.6324"/>
  </r>
  <r>
    <n v="3057"/>
    <s v="Angela"/>
    <s v="Kidd"/>
    <s v="Bomber Jacket"/>
    <n v="0"/>
    <n v="2812.4081000000001"/>
    <n v="1.05"/>
    <n v="0"/>
    <d v="2025-07-01T00:00:00"/>
    <x v="1"/>
    <x v="1"/>
    <n v="2241.83"/>
    <s v="NEGATIVE SALES"/>
    <n v="0"/>
  </r>
  <r>
    <n v="3058"/>
    <s v="Eric"/>
    <s v="Ellison"/>
    <s v="Graphic Tee"/>
    <n v="0"/>
    <n v="2948.36"/>
    <n v="0.61236486486486497"/>
    <n v="0"/>
    <d v="2025-07-01T00:00:00"/>
    <x v="4"/>
    <x v="2"/>
    <n v="1074.3499999999999"/>
    <s v="NEGATIVE SALES"/>
    <n v="0"/>
  </r>
  <r>
    <n v="3059"/>
    <s v="Douglas"/>
    <s v="Cummings"/>
    <s v="Crop Top"/>
    <n v="-2"/>
    <n v="4949.17"/>
    <n v="0.61236486486486497"/>
    <n v="0"/>
    <d v="2025-05-08T00:00:00"/>
    <x v="3"/>
    <x v="2"/>
    <n v="1267.49"/>
    <s v="NEGATIVE SALES"/>
    <n v="-9898.34"/>
  </r>
  <r>
    <n v="3060"/>
    <s v="Susan"/>
    <s v="Haynes"/>
    <s v="Watches"/>
    <n v="0"/>
    <n v="2811.7928999999999"/>
    <n v="0.71"/>
    <n v="0"/>
    <d v="2025-01-22T00:00:00"/>
    <x v="2"/>
    <x v="1"/>
    <n v="1011.23"/>
    <s v="NEGATIVE SALES"/>
    <n v="0"/>
  </r>
  <r>
    <n v="3061"/>
    <s v="Melissa"/>
    <s v="Mcdonald"/>
    <s v="Crop Top"/>
    <n v="-1"/>
    <n v="1873.39"/>
    <n v="0.74"/>
    <n v="-487.08"/>
    <d v="2024-12-20T00:00:00"/>
    <x v="5"/>
    <x v="2"/>
    <n v="1596.53"/>
    <s v="NEGATIVE SALES"/>
    <n v="-1873.39"/>
  </r>
  <r>
    <n v="3062"/>
    <s v="Christine"/>
    <s v="Lewis"/>
    <s v="Classic Tee"/>
    <n v="0"/>
    <n v="4312.55"/>
    <n v="0.61082191780821904"/>
    <n v="0"/>
    <d v="2025-01-09T00:00:00"/>
    <x v="5"/>
    <x v="1"/>
    <n v="496.16"/>
    <s v="NEGATIVE SALES"/>
    <n v="0"/>
  </r>
  <r>
    <n v="3063"/>
    <s v="Andrea"/>
    <s v="Smith"/>
    <s v="Graphic Tee"/>
    <n v="0"/>
    <n v="4971.93"/>
    <n v="0.51"/>
    <n v="0"/>
    <d v="2025-04-13T00:00:00"/>
    <x v="5"/>
    <x v="1"/>
    <n v="1941.61"/>
    <s v="NEGATIVE SALES"/>
    <n v="0"/>
  </r>
  <r>
    <n v="3064"/>
    <s v="Alexander"/>
    <s v="Page"/>
    <s v="Puffer Coat"/>
    <n v="0"/>
    <n v="2799.4088999999999"/>
    <n v="1.24"/>
    <n v="0"/>
    <d v="2025-05-02T00:00:00"/>
    <x v="5"/>
    <x v="1"/>
    <n v="2520.12"/>
    <s v="NEGATIVE SALES"/>
    <n v="0"/>
  </r>
  <r>
    <n v="3065"/>
    <s v="Kyle"/>
    <s v="Salinas"/>
    <s v="Crop Top"/>
    <n v="-1"/>
    <n v="873.64"/>
    <n v="0.17"/>
    <n v="-725.12"/>
    <d v="2025-03-20T00:00:00"/>
    <x v="4"/>
    <x v="1"/>
    <n v="1107.8499999999999"/>
    <s v="NEGATIVE SALES"/>
    <n v="-873.64"/>
  </r>
  <r>
    <n v="3066"/>
    <s v="Justin"/>
    <s v="Black"/>
    <s v="Boots"/>
    <n v="0"/>
    <n v="2789.3971999999999"/>
    <n v="1.28"/>
    <n v="0"/>
    <d v="2025-05-29T00:00:00"/>
    <x v="2"/>
    <x v="0"/>
    <n v="80.290000000000006"/>
    <s v="NEGATIVE SALES"/>
    <n v="0"/>
  </r>
  <r>
    <n v="3067"/>
    <s v="Lisa"/>
    <s v="Norris"/>
    <s v="Oversized T-Shirt"/>
    <n v="0"/>
    <n v="2798.2665000000002"/>
    <n v="0.60549295774647904"/>
    <n v="0"/>
    <d v="2024-10-10T00:00:00"/>
    <x v="3"/>
    <x v="1"/>
    <n v="2711.03"/>
    <s v="NEGATIVE SALES"/>
    <n v="0"/>
  </r>
  <r>
    <n v="3068"/>
    <s v="Casey"/>
    <s v="Johnson"/>
    <s v="Sneakers"/>
    <n v="0"/>
    <n v="2798.2665000000002"/>
    <n v="0.99"/>
    <n v="0"/>
    <d v="2024-10-10T00:00:00"/>
    <x v="4"/>
    <x v="0"/>
    <n v="1886.51"/>
    <s v="NEGATIVE SALES"/>
    <n v="0"/>
  </r>
  <r>
    <n v="3069"/>
    <s v="Timothy"/>
    <s v="Thomas"/>
    <s v="Puffer Coat"/>
    <n v="0"/>
    <n v="2798.2665000000002"/>
    <n v="0.60276595744680905"/>
    <n v="0"/>
    <d v="2024-10-26T00:00:00"/>
    <x v="3"/>
    <x v="1"/>
    <n v="-524.33000000000004"/>
    <s v="NEGATIVE SALES"/>
    <n v="0"/>
  </r>
  <r>
    <n v="3070"/>
    <s v="Robert"/>
    <s v="Ballard"/>
    <s v="Leather Jacket"/>
    <n v="0"/>
    <n v="2798.2665000000002"/>
    <n v="0.60276595744680905"/>
    <n v="0"/>
    <d v="2024-08-21T00:00:00"/>
    <x v="0"/>
    <x v="2"/>
    <n v="1136.04"/>
    <s v="NEGATIVE SALES"/>
    <n v="0"/>
  </r>
  <r>
    <n v="3071"/>
    <s v="Michael"/>
    <s v="Martin"/>
    <s v="Sneakers"/>
    <n v="0"/>
    <n v="4617.8500000000004"/>
    <n v="1.02"/>
    <n v="0"/>
    <d v="2023-10-30T00:00:00"/>
    <x v="0"/>
    <x v="0"/>
    <n v="1778.15"/>
    <s v="NEGATIVE SALES"/>
    <n v="0"/>
  </r>
  <r>
    <n v="3072"/>
    <s v="George"/>
    <s v="Bishop"/>
    <s v="Boots"/>
    <n v="6"/>
    <n v="2798.2665000000002"/>
    <n v="0.59978571428571503"/>
    <n v="0"/>
    <d v="2025-01-07T00:00:00"/>
    <x v="1"/>
    <x v="0"/>
    <n v="1650.33"/>
    <s v="NEGATIVE SALES"/>
    <n v="16789.598999999998"/>
  </r>
  <r>
    <n v="3073"/>
    <s v="Jesse"/>
    <s v="Wilson"/>
    <s v="Sunglasses"/>
    <n v="1"/>
    <n v="478.6"/>
    <n v="1.18"/>
    <n v="-86.15"/>
    <d v="2025-04-06T00:00:00"/>
    <x v="3"/>
    <x v="2"/>
    <n v="1139.8399999999999"/>
    <s v="NEGATIVE SALES"/>
    <n v="478.6"/>
  </r>
  <r>
    <n v="3074"/>
    <s v="Robert"/>
    <s v="Cox"/>
    <s v="Caps"/>
    <n v="2"/>
    <n v="2789.8033"/>
    <n v="0.59561151079136698"/>
    <n v="0"/>
    <d v="2024-02-05T00:00:00"/>
    <x v="2"/>
    <x v="2"/>
    <n v="-906.63"/>
    <s v="NEGATIVE SALES"/>
    <n v="5579.6066000000001"/>
  </r>
  <r>
    <n v="3075"/>
    <s v="Maria"/>
    <s v="Yang"/>
    <s v="Watches"/>
    <n v="0"/>
    <n v="1501.49"/>
    <n v="0.43"/>
    <n v="0"/>
    <d v="2024-08-20T00:00:00"/>
    <x v="5"/>
    <x v="0"/>
    <n v="-100.14"/>
    <s v="NEGATIVE SALES"/>
    <n v="0"/>
  </r>
  <r>
    <n v="3076"/>
    <s v="Susan"/>
    <s v="Freeman"/>
    <s v="Crop Top"/>
    <n v="0"/>
    <n v="2800.6033000000002"/>
    <n v="0.59681159420289898"/>
    <n v="0"/>
    <d v="2024-09-03T00:00:00"/>
    <x v="4"/>
    <x v="1"/>
    <n v="1933.72"/>
    <s v="NEGATIVE SALES"/>
    <n v="0"/>
  </r>
  <r>
    <n v="3077"/>
    <s v="Frederick"/>
    <s v="Allen"/>
    <s v="Casual Midi"/>
    <n v="4"/>
    <n v="2806.7024000000001"/>
    <n v="0.92"/>
    <n v="0"/>
    <d v="2025-04-19T00:00:00"/>
    <x v="1"/>
    <x v="0"/>
    <n v="-528.22"/>
    <s v="NEGATIVE SALES"/>
    <n v="11226.809600000001"/>
  </r>
  <r>
    <n v="3078"/>
    <s v="Jesse"/>
    <s v="Bush"/>
    <s v="Puffer Coat"/>
    <n v="0"/>
    <n v="2563.2399999999998"/>
    <n v="0.59445255474452596"/>
    <n v="0"/>
    <d v="2025-04-19T00:00:00"/>
    <x v="1"/>
    <x v="2"/>
    <n v="195.81"/>
    <s v="NEGATIVE SALES"/>
    <n v="0"/>
  </r>
  <r>
    <n v="3079"/>
    <s v="Kelly"/>
    <s v="Baker"/>
    <s v="Boots"/>
    <n v="0"/>
    <n v="2839.98"/>
    <n v="0.59445255474452596"/>
    <n v="0"/>
    <d v="2024-08-15T00:00:00"/>
    <x v="2"/>
    <x v="2"/>
    <n v="-48.25"/>
    <s v="NEGATIVE SALES"/>
    <n v="0"/>
  </r>
  <r>
    <n v="3080"/>
    <s v="Jessica"/>
    <s v="Fox"/>
    <s v="Crop Top"/>
    <n v="0"/>
    <n v="2807.8508000000002"/>
    <n v="0.59445255474452596"/>
    <n v="0"/>
    <d v="2025-04-30T00:00:00"/>
    <x v="3"/>
    <x v="2"/>
    <n v="2067.89"/>
    <s v="NEGATIVE SALES"/>
    <n v="0"/>
  </r>
  <r>
    <n v="3081"/>
    <s v="Tammy"/>
    <s v="Vargas"/>
    <s v="Oversized T-Shirt"/>
    <n v="0"/>
    <n v="2807.6986000000002"/>
    <n v="0.59445255474452596"/>
    <n v="0"/>
    <d v="2025-04-30T00:00:00"/>
    <x v="1"/>
    <x v="1"/>
    <n v="-245.42"/>
    <s v="NEGATIVE SALES"/>
    <n v="0"/>
  </r>
  <r>
    <n v="3082"/>
    <s v="Shelby"/>
    <s v="Bowen"/>
    <s v="Maxi Dress"/>
    <n v="5"/>
    <n v="2807.6986000000002"/>
    <n v="0.59445255474452596"/>
    <n v="0"/>
    <d v="2025-05-20T00:00:00"/>
    <x v="4"/>
    <x v="1"/>
    <n v="664.73"/>
    <s v="NEGATIVE SALES"/>
    <n v="14038.493"/>
  </r>
  <r>
    <n v="3083"/>
    <s v="Joy"/>
    <s v="Ingram"/>
    <s v="Crop Top"/>
    <n v="0"/>
    <n v="1573.64"/>
    <n v="0.59445255474452596"/>
    <n v="0"/>
    <d v="2025-07-08T00:00:00"/>
    <x v="0"/>
    <x v="1"/>
    <n v="792.35"/>
    <s v="NEGATIVE SALES"/>
    <n v="0"/>
  </r>
  <r>
    <n v="3084"/>
    <s v="William"/>
    <s v="Gibson"/>
    <s v="Oversized T-Shirt"/>
    <n v="0"/>
    <n v="2316.64"/>
    <n v="0.7"/>
    <n v="0"/>
    <d v="2024-09-18T00:00:00"/>
    <x v="1"/>
    <x v="2"/>
    <n v="-657.76"/>
    <s v="NEGATIVE SALES"/>
    <n v="0"/>
  </r>
  <r>
    <n v="3085"/>
    <s v="Jennifer"/>
    <s v="Buckley"/>
    <s v="Crop Top"/>
    <n v="4"/>
    <n v="2813.5749999999998"/>
    <n v="0.59367647058823603"/>
    <n v="0"/>
    <d v="2024-08-28T00:00:00"/>
    <x v="2"/>
    <x v="0"/>
    <n v="2563.31"/>
    <s v="NEGATIVE SALES"/>
    <n v="11254.3"/>
  </r>
  <r>
    <n v="3086"/>
    <s v="Alicia"/>
    <s v="Curry"/>
    <s v="Watches"/>
    <n v="-1"/>
    <n v="2815.9526999999998"/>
    <n v="0.59367647058823603"/>
    <n v="0"/>
    <d v="2023-11-23T00:00:00"/>
    <x v="0"/>
    <x v="2"/>
    <n v="918.53"/>
    <s v="NEGATIVE SALES"/>
    <n v="-2815.9526999999998"/>
  </r>
  <r>
    <n v="3087"/>
    <s v="Rebecca"/>
    <s v="Palmer"/>
    <s v="Slim Fit Jeans"/>
    <n v="0"/>
    <n v="692.46"/>
    <n v="1.2"/>
    <n v="0"/>
    <d v="2024-09-07T00:00:00"/>
    <x v="3"/>
    <x v="1"/>
    <n v="-901.21"/>
    <s v="NEGATIVE SALES"/>
    <n v="0"/>
  </r>
  <r>
    <n v="3089"/>
    <s v="Frank"/>
    <s v="Griffin"/>
    <s v="Belts"/>
    <n v="-2"/>
    <n v="3153.72"/>
    <n v="0.58537313432835802"/>
    <n v="0"/>
    <d v="2025-02-04T00:00:00"/>
    <x v="5"/>
    <x v="2"/>
    <n v="2686.96"/>
    <s v="NEGATIVE SALES"/>
    <n v="-6307.44"/>
  </r>
  <r>
    <n v="3090"/>
    <s v="Kenneth"/>
    <s v="Griffith"/>
    <s v="Wrap Dress"/>
    <n v="-2"/>
    <n v="3033.2"/>
    <n v="0.58537313432835802"/>
    <n v="0"/>
    <d v="2024-09-02T00:00:00"/>
    <x v="4"/>
    <x v="2"/>
    <n v="490.69"/>
    <s v="NEGATIVE SALES"/>
    <n v="-6066.4"/>
  </r>
  <r>
    <n v="3091"/>
    <s v="Rick"/>
    <s v="Taylor"/>
    <s v="Watches"/>
    <n v="0"/>
    <n v="1091.76"/>
    <n v="0.54"/>
    <n v="0"/>
    <d v="2024-11-17T00:00:00"/>
    <x v="5"/>
    <x v="1"/>
    <n v="2584.69"/>
    <s v="NEGATIVE SALES"/>
    <n v="0"/>
  </r>
  <r>
    <n v="3092"/>
    <s v="Susan"/>
    <s v="Barajas"/>
    <s v="Puffer Coat"/>
    <n v="0"/>
    <n v="2821.0243999999998"/>
    <n v="0.58571428571428596"/>
    <n v="0"/>
    <d v="2025-02-26T00:00:00"/>
    <x v="3"/>
    <x v="1"/>
    <n v="250.05"/>
    <s v="NEGATIVE SALES"/>
    <n v="0"/>
  </r>
  <r>
    <n v="3093"/>
    <s v="Randy"/>
    <s v="Burke"/>
    <s v="Boots"/>
    <n v="2"/>
    <n v="1551.41"/>
    <n v="0.54"/>
    <n v="1427.3"/>
    <d v="2024-12-20T00:00:00"/>
    <x v="0"/>
    <x v="0"/>
    <n v="763.37"/>
    <s v="POSITIVE SALES"/>
    <n v="3102.82"/>
  </r>
  <r>
    <n v="3094"/>
    <s v="Thomas"/>
    <s v="Martin"/>
    <s v="Wrap Dress"/>
    <n v="0"/>
    <n v="4382.8599999999997"/>
    <n v="0.58606060606060595"/>
    <n v="0"/>
    <d v="2025-04-25T00:00:00"/>
    <x v="4"/>
    <x v="1"/>
    <n v="1172.7"/>
    <s v="NEGATIVE SALES"/>
    <n v="0"/>
  </r>
  <r>
    <n v="3095"/>
    <s v="Peggy"/>
    <s v="Hill"/>
    <s v="Watches"/>
    <n v="1"/>
    <n v="2835.7972"/>
    <n v="0.58606060606060595"/>
    <n v="0"/>
    <d v="2025-07-01T00:00:00"/>
    <x v="4"/>
    <x v="1"/>
    <n v="2699.57"/>
    <s v="NEGATIVE SALES"/>
    <n v="2835.7972"/>
  </r>
  <r>
    <n v="3096"/>
    <s v="Charles"/>
    <s v="Francis"/>
    <s v="Boots"/>
    <n v="2"/>
    <n v="2312.09"/>
    <n v="0.58606060606060595"/>
    <n v="0"/>
    <d v="2025-06-13T00:00:00"/>
    <x v="3"/>
    <x v="1"/>
    <n v="508.96"/>
    <s v="NEGATIVE SALES"/>
    <n v="4624.18"/>
  </r>
  <r>
    <n v="3097"/>
    <s v="Tracy"/>
    <s v="Mejia"/>
    <s v="Boots"/>
    <n v="0"/>
    <n v="3111.65"/>
    <n v="0.58606060606060595"/>
    <n v="0"/>
    <d v="2024-09-03T00:00:00"/>
    <x v="5"/>
    <x v="2"/>
    <n v="2868.09"/>
    <s v="NEGATIVE SALES"/>
    <n v="0"/>
  </r>
  <r>
    <n v="3099"/>
    <s v="Jessica"/>
    <s v="Hudson"/>
    <s v="Watches"/>
    <n v="0"/>
    <n v="4426.87"/>
    <n v="0.58606060606060595"/>
    <n v="0"/>
    <d v="2024-12-21T00:00:00"/>
    <x v="4"/>
    <x v="2"/>
    <n v="2480.9499999999998"/>
    <s v="NEGATIVE SALES"/>
    <n v="0"/>
  </r>
  <r>
    <n v="3100"/>
    <s v="Mr."/>
    <s v="Mark"/>
    <s v="Leather Jacket"/>
    <n v="0"/>
    <n v="2828.4612999999999"/>
    <n v="0.58606060606060595"/>
    <n v="0"/>
    <d v="2024-08-29T00:00:00"/>
    <x v="1"/>
    <x v="2"/>
    <n v="2379.7399999999998"/>
    <s v="NEGATIVE SALES"/>
    <n v="0"/>
  </r>
  <r>
    <n v="3101"/>
    <s v="Mary"/>
    <s v="Long"/>
    <s v="Belts"/>
    <n v="1"/>
    <n v="2820.3885"/>
    <n v="0.58606060606060595"/>
    <n v="0"/>
    <d v="2025-07-18T00:00:00"/>
    <x v="2"/>
    <x v="2"/>
    <n v="478.53"/>
    <s v="NEGATIVE SALES"/>
    <n v="2820.3885"/>
  </r>
  <r>
    <n v="3103"/>
    <s v="Paul"/>
    <s v="Frederick"/>
    <s v="Graphic Tee"/>
    <n v="5"/>
    <n v="2820.3885"/>
    <n v="0.58606060606060595"/>
    <n v="0"/>
    <d v="2024-11-18T00:00:00"/>
    <x v="3"/>
    <x v="0"/>
    <n v="654.74"/>
    <s v="NEGATIVE SALES"/>
    <n v="14101.942499999999"/>
  </r>
  <r>
    <n v="3104"/>
    <s v="Connie"/>
    <s v="Meyer"/>
    <s v="Casual Midi"/>
    <n v="0"/>
    <n v="4274.01"/>
    <n v="0.28000000000000003"/>
    <n v="0"/>
    <d v="2024-12-11T00:00:00"/>
    <x v="1"/>
    <x v="2"/>
    <n v="2263.5700000000002"/>
    <s v="NEGATIVE SALES"/>
    <n v="0"/>
  </r>
  <r>
    <n v="3105"/>
    <s v="Christina"/>
    <s v="Crawford"/>
    <s v="Belts"/>
    <n v="0"/>
    <n v="2820.3885"/>
    <n v="0.58839694656488595"/>
    <n v="0"/>
    <d v="2025-05-09T00:00:00"/>
    <x v="5"/>
    <x v="0"/>
    <n v="1488.64"/>
    <s v="NEGATIVE SALES"/>
    <n v="0"/>
  </r>
  <r>
    <n v="3106"/>
    <s v="Luis"/>
    <s v="Flores"/>
    <s v="Sunglasses"/>
    <n v="6"/>
    <n v="2813.0097000000001"/>
    <n v="0.58839694656488595"/>
    <n v="0"/>
    <d v="2025-06-24T00:00:00"/>
    <x v="0"/>
    <x v="1"/>
    <n v="-521.15"/>
    <s v="NEGATIVE SALES"/>
    <n v="16878.058199999999"/>
  </r>
  <r>
    <n v="3107"/>
    <s v="Catherine"/>
    <s v="Mendoza"/>
    <s v="Slim Fit Jeans"/>
    <n v="0"/>
    <n v="2068.64"/>
    <n v="0.58839694656488595"/>
    <n v="0"/>
    <d v="2025-06-24T00:00:00"/>
    <x v="2"/>
    <x v="0"/>
    <n v="2447.29"/>
    <s v="NEGATIVE SALES"/>
    <n v="0"/>
  </r>
  <r>
    <n v="3108"/>
    <s v="Matthew"/>
    <s v="Thomas"/>
    <s v="Wrap Dress"/>
    <n v="0"/>
    <n v="2813.0097000000001"/>
    <n v="0.58839694656488595"/>
    <n v="0"/>
    <d v="2025-07-09T00:00:00"/>
    <x v="2"/>
    <x v="1"/>
    <n v="-815.76"/>
    <s v="NEGATIVE SALES"/>
    <n v="0"/>
  </r>
  <r>
    <n v="3109"/>
    <s v="Ryan"/>
    <s v="Porter"/>
    <s v="Crop Top"/>
    <n v="5"/>
    <n v="2816.8076000000001"/>
    <n v="0.35"/>
    <n v="0"/>
    <d v="2025-07-09T00:00:00"/>
    <x v="1"/>
    <x v="1"/>
    <n v="445.05"/>
    <s v="NEGATIVE SALES"/>
    <n v="14084.038"/>
  </r>
  <r>
    <n v="3110"/>
    <s v="Amy"/>
    <s v="Kline"/>
    <s v="Boyfriend Jeans"/>
    <n v="0"/>
    <n v="4103.32"/>
    <n v="0.59023076923077"/>
    <n v="0"/>
    <d v="2025-02-21T00:00:00"/>
    <x v="0"/>
    <x v="1"/>
    <n v="-828.25"/>
    <s v="NEGATIVE SALES"/>
    <n v="0"/>
  </r>
  <r>
    <n v="3111"/>
    <s v="Joel"/>
    <s v="Chambers"/>
    <s v="Classic Tee"/>
    <n v="-1"/>
    <n v="839.87"/>
    <n v="0.59023076923077"/>
    <n v="0"/>
    <d v="2025-02-21T00:00:00"/>
    <x v="3"/>
    <x v="0"/>
    <n v="-286.10000000000002"/>
    <s v="NEGATIVE SALES"/>
    <n v="-839.87"/>
  </r>
  <r>
    <n v="3112"/>
    <s v="Joseph"/>
    <s v="Gilmore"/>
    <s v="Loafers"/>
    <n v="0"/>
    <n v="3026.75"/>
    <n v="0.59023076923077"/>
    <n v="0"/>
    <d v="2024-08-28T00:00:00"/>
    <x v="0"/>
    <x v="2"/>
    <n v="-565.91999999999996"/>
    <s v="NEGATIVE SALES"/>
    <n v="0"/>
  </r>
  <r>
    <n v="3113"/>
    <s v="Veronica"/>
    <s v="Goodwin"/>
    <s v="Loafers"/>
    <n v="4"/>
    <n v="3256.86"/>
    <n v="0.77"/>
    <n v="2996.31"/>
    <d v="2024-09-13T00:00:00"/>
    <x v="3"/>
    <x v="2"/>
    <n v="-109.08"/>
    <s v="POSITIVE SALES"/>
    <n v="13027.44"/>
  </r>
  <r>
    <n v="3114"/>
    <s v="Eric"/>
    <s v="Bridges"/>
    <s v="Slim Fit Jeans"/>
    <n v="2"/>
    <n v="4082.61"/>
    <n v="0.58883720930232597"/>
    <n v="0"/>
    <d v="2024-09-13T00:00:00"/>
    <x v="4"/>
    <x v="1"/>
    <n v="-454.61"/>
    <s v="NEGATIVE SALES"/>
    <n v="8165.22"/>
  </r>
  <r>
    <n v="3115"/>
    <s v="Vickie"/>
    <s v="Brown"/>
    <s v="Caps"/>
    <n v="0"/>
    <n v="2817.0180999999998"/>
    <n v="0.58883720930232597"/>
    <n v="0"/>
    <d v="2024-08-23T00:00:00"/>
    <x v="5"/>
    <x v="1"/>
    <n v="-546.69000000000005"/>
    <s v="NEGATIVE SALES"/>
    <n v="0"/>
  </r>
  <r>
    <n v="3116"/>
    <s v="Margaret"/>
    <s v="Porter"/>
    <s v="Wrap Dress"/>
    <n v="0"/>
    <n v="1237.1500000000001"/>
    <n v="0.58883720930232597"/>
    <n v="0"/>
    <d v="2025-03-24T00:00:00"/>
    <x v="3"/>
    <x v="2"/>
    <n v="1357.42"/>
    <s v="NEGATIVE SALES"/>
    <n v="0"/>
  </r>
  <r>
    <n v="3117"/>
    <s v="Whitney"/>
    <s v="Nelson"/>
    <s v="Denim Jacket"/>
    <n v="4"/>
    <n v="2810.3919999999998"/>
    <n v="0.28999999999999998"/>
    <n v="0"/>
    <d v="2024-09-28T00:00:00"/>
    <x v="3"/>
    <x v="2"/>
    <n v="-706.51"/>
    <s v="NEGATIVE SALES"/>
    <n v="11241.567999999999"/>
  </r>
  <r>
    <n v="3118"/>
    <s v="Karen"/>
    <s v="Harmon"/>
    <s v="Puffer Coat"/>
    <n v="0"/>
    <n v="948.06"/>
    <n v="0.6"/>
    <n v="0"/>
    <d v="2024-11-15T00:00:00"/>
    <x v="4"/>
    <x v="2"/>
    <n v="69.349999999999994"/>
    <s v="NEGATIVE SALES"/>
    <n v="0"/>
  </r>
  <r>
    <n v="3119"/>
    <s v="Andrew"/>
    <s v="Forbes"/>
    <s v="Slim Fit Jeans"/>
    <n v="0"/>
    <n v="722.74"/>
    <n v="0.59110236220472401"/>
    <n v="0"/>
    <d v="2024-12-11T00:00:00"/>
    <x v="4"/>
    <x v="0"/>
    <n v="1610.64"/>
    <s v="NEGATIVE SALES"/>
    <n v="0"/>
  </r>
  <r>
    <n v="3120"/>
    <s v="David"/>
    <s v="Chambers"/>
    <s v="Sunglasses"/>
    <n v="0"/>
    <n v="824.59"/>
    <n v="0.13"/>
    <n v="0"/>
    <d v="2025-06-10T00:00:00"/>
    <x v="5"/>
    <x v="1"/>
    <n v="-276.22000000000003"/>
    <s v="NEGATIVE SALES"/>
    <n v="0"/>
  </r>
  <r>
    <n v="3121"/>
    <s v="Alyssa"/>
    <s v="Nichols"/>
    <s v="Bomber Jacket"/>
    <n v="0"/>
    <n v="1049.27"/>
    <n v="0.59476190476190505"/>
    <n v="0"/>
    <d v="2025-03-01T00:00:00"/>
    <x v="5"/>
    <x v="0"/>
    <n v="-648.45000000000005"/>
    <s v="NEGATIVE SALES"/>
    <n v="0"/>
  </r>
  <r>
    <n v="3122"/>
    <s v="Joshua"/>
    <s v="Oconnor"/>
    <s v="Belts"/>
    <n v="0"/>
    <n v="2850.5472"/>
    <n v="1.19"/>
    <n v="0"/>
    <d v="2024-12-23T00:00:00"/>
    <x v="4"/>
    <x v="0"/>
    <n v="551.79"/>
    <s v="NEGATIVE SALES"/>
    <n v="0"/>
  </r>
  <r>
    <n v="3123"/>
    <s v="Edward"/>
    <s v="Fischer"/>
    <s v="Bomber Jacket"/>
    <n v="5"/>
    <n v="2860.2314999999999"/>
    <n v="0.59"/>
    <n v="0"/>
    <d v="2025-03-06T00:00:00"/>
    <x v="5"/>
    <x v="0"/>
    <n v="1980.42"/>
    <s v="NEGATIVE SALES"/>
    <n v="14301.157499999999"/>
  </r>
  <r>
    <n v="3124"/>
    <s v="Mark"/>
    <s v="West"/>
    <s v="Crop Top"/>
    <n v="0"/>
    <n v="2860.2314999999999"/>
    <n v="0.87"/>
    <n v="0"/>
    <d v="2023-08-17T00:00:00"/>
    <x v="4"/>
    <x v="2"/>
    <n v="-399.81"/>
    <s v="NEGATIVE SALES"/>
    <n v="0"/>
  </r>
  <r>
    <n v="3125"/>
    <s v="Stephanie"/>
    <s v="Cook"/>
    <s v="Casual Midi"/>
    <n v="5"/>
    <n v="4264.79"/>
    <n v="0.58774193548387099"/>
    <n v="0"/>
    <d v="2024-10-03T00:00:00"/>
    <x v="1"/>
    <x v="0"/>
    <n v="2388.91"/>
    <s v="NEGATIVE SALES"/>
    <n v="21323.95"/>
  </r>
  <r>
    <n v="3126"/>
    <s v="Marilyn"/>
    <s v="Garcia"/>
    <s v="Graphic Tee"/>
    <n v="4"/>
    <n v="2860.2314999999999"/>
    <n v="0.58774193548387099"/>
    <n v="0"/>
    <d v="2024-11-13T00:00:00"/>
    <x v="2"/>
    <x v="2"/>
    <n v="2624.13"/>
    <s v="NEGATIVE SALES"/>
    <n v="11440.925999999999"/>
  </r>
  <r>
    <n v="3127"/>
    <s v="Suzanne"/>
    <s v="Doyle"/>
    <s v="Boots"/>
    <n v="0"/>
    <n v="491.77"/>
    <n v="0.9"/>
    <n v="0"/>
    <d v="2025-01-06T00:00:00"/>
    <x v="4"/>
    <x v="2"/>
    <n v="2069.0500000000002"/>
    <s v="NEGATIVE SALES"/>
    <n v="0"/>
  </r>
  <r>
    <n v="3128"/>
    <s v="Maria"/>
    <s v="Garcia"/>
    <s v="Casual Midi"/>
    <n v="0"/>
    <n v="3216.9"/>
    <n v="0.58520325203251999"/>
    <n v="0"/>
    <d v="2025-06-03T00:00:00"/>
    <x v="5"/>
    <x v="1"/>
    <n v="192.22"/>
    <s v="NEGATIVE SALES"/>
    <n v="0"/>
  </r>
  <r>
    <n v="3129"/>
    <s v="Michael"/>
    <s v="Knight"/>
    <s v="Straight Cut"/>
    <n v="0"/>
    <n v="3201.09"/>
    <n v="0.58520325203251999"/>
    <n v="0"/>
    <d v="2025-05-24T00:00:00"/>
    <x v="4"/>
    <x v="0"/>
    <n v="2989.88"/>
    <s v="NEGATIVE SALES"/>
    <n v="0"/>
  </r>
  <r>
    <n v="3130"/>
    <s v="Shelly"/>
    <s v="Jordan"/>
    <s v="Casual Midi"/>
    <n v="0"/>
    <n v="3742.62"/>
    <n v="0.58520325203251999"/>
    <n v="0"/>
    <d v="2025-04-18T00:00:00"/>
    <x v="2"/>
    <x v="0"/>
    <n v="2886.26"/>
    <s v="NEGATIVE SALES"/>
    <n v="0"/>
  </r>
  <r>
    <n v="3131"/>
    <s v="Andrea"/>
    <s v="Perry"/>
    <s v="Belts"/>
    <n v="0"/>
    <n v="4938.03"/>
    <n v="0.58520325203251999"/>
    <n v="0"/>
    <d v="2023-12-18T00:00:00"/>
    <x v="0"/>
    <x v="2"/>
    <n v="878.99"/>
    <s v="NEGATIVE SALES"/>
    <n v="0"/>
  </r>
  <r>
    <n v="3132"/>
    <s v="Raymond"/>
    <s v="Robinson"/>
    <s v="Denim Jacket"/>
    <n v="6"/>
    <n v="2940.45"/>
    <n v="0.58520325203251999"/>
    <n v="0"/>
    <d v="2023-12-18T00:00:00"/>
    <x v="5"/>
    <x v="0"/>
    <n v="-583.80999999999995"/>
    <s v="NEGATIVE SALES"/>
    <n v="17642.7"/>
  </r>
  <r>
    <n v="3133"/>
    <s v="Catherine"/>
    <s v="Spencer"/>
    <s v="Denim Jacket"/>
    <n v="1"/>
    <n v="974.54"/>
    <n v="0.44"/>
    <n v="545.74"/>
    <d v="2024-10-05T00:00:00"/>
    <x v="5"/>
    <x v="2"/>
    <n v="2655.22"/>
    <s v="POSITIVE SALES"/>
    <n v="974.54"/>
  </r>
  <r>
    <n v="3134"/>
    <s v="Tara"/>
    <s v="Day"/>
    <s v="Bomber Jacket"/>
    <n v="0"/>
    <n v="2844.7341000000001"/>
    <n v="0.53"/>
    <n v="0"/>
    <d v="2024-10-05T00:00:00"/>
    <x v="1"/>
    <x v="2"/>
    <n v="1130.74"/>
    <s v="NEGATIVE SALES"/>
    <n v="0"/>
  </r>
  <r>
    <n v="3135"/>
    <s v="Heather"/>
    <s v="Knight"/>
    <s v="Puffer Coat"/>
    <n v="1"/>
    <n v="2855.2408"/>
    <n v="0.67"/>
    <n v="0"/>
    <d v="2024-10-05T00:00:00"/>
    <x v="5"/>
    <x v="2"/>
    <n v="2619.5"/>
    <s v="NEGATIVE SALES"/>
    <n v="2855.2408"/>
  </r>
  <r>
    <n v="3136"/>
    <s v="Patricia"/>
    <s v="Jackson"/>
    <s v="Graphic Tee"/>
    <n v="0"/>
    <n v="3622.93"/>
    <n v="0.58616666666666695"/>
    <n v="0"/>
    <d v="2024-01-22T00:00:00"/>
    <x v="0"/>
    <x v="0"/>
    <n v="813.36"/>
    <s v="NEGATIVE SALES"/>
    <n v="0"/>
  </r>
  <r>
    <n v="3137"/>
    <s v="Taylor"/>
    <s v="Maxwell"/>
    <s v="Puffer Coat"/>
    <n v="0"/>
    <n v="2855.2408"/>
    <n v="0.58616666666666695"/>
    <n v="0"/>
    <d v="2024-11-17T00:00:00"/>
    <x v="3"/>
    <x v="1"/>
    <n v="-122.35"/>
    <s v="NEGATIVE SALES"/>
    <n v="0"/>
  </r>
  <r>
    <n v="3138"/>
    <s v="Justin"/>
    <s v="Rice"/>
    <s v="Caps"/>
    <n v="0"/>
    <n v="855.81"/>
    <n v="0.31"/>
    <n v="0"/>
    <d v="2025-07-04T00:00:00"/>
    <x v="0"/>
    <x v="0"/>
    <n v="1801"/>
    <s v="NEGATIVE SALES"/>
    <n v="0"/>
  </r>
  <r>
    <n v="3139"/>
    <s v="Valerie"/>
    <s v="Grant"/>
    <s v="Oversized T-Shirt"/>
    <n v="6"/>
    <n v="2850.9036000000001"/>
    <n v="0.58848739495798297"/>
    <n v="0"/>
    <d v="2025-07-04T00:00:00"/>
    <x v="5"/>
    <x v="2"/>
    <n v="563.12"/>
    <s v="NEGATIVE SALES"/>
    <n v="17105.421600000001"/>
  </r>
  <r>
    <n v="3140"/>
    <s v="Trevor"/>
    <s v="Higgins"/>
    <s v="Ripped Denim"/>
    <n v="0"/>
    <n v="2862.2393999999999"/>
    <n v="0.58848739495798297"/>
    <n v="0"/>
    <d v="2025-07-04T00:00:00"/>
    <x v="1"/>
    <x v="2"/>
    <n v="2551.31"/>
    <s v="NEGATIVE SALES"/>
    <n v="0"/>
  </r>
  <r>
    <n v="3141"/>
    <s v="Rodney"/>
    <s v="Ellis"/>
    <s v="Denim Jacket"/>
    <n v="0"/>
    <n v="2862.2393999999999"/>
    <n v="0.58848739495798297"/>
    <n v="0"/>
    <d v="2024-05-18T00:00:00"/>
    <x v="2"/>
    <x v="0"/>
    <n v="2279.1799999999998"/>
    <s v="NEGATIVE SALES"/>
    <n v="0"/>
  </r>
  <r>
    <n v="3142"/>
    <s v="Dale"/>
    <s v="Davis"/>
    <s v="Bodycon"/>
    <n v="1"/>
    <n v="4887.3599999999997"/>
    <n v="0.58848739495798297"/>
    <n v="0"/>
    <d v="2024-10-29T00:00:00"/>
    <x v="5"/>
    <x v="2"/>
    <n v="-243.32"/>
    <s v="NEGATIVE SALES"/>
    <n v="4887.3599999999997"/>
  </r>
  <r>
    <n v="3143"/>
    <s v="Paul"/>
    <s v="Lewis"/>
    <s v="Oversized T-Shirt"/>
    <n v="0"/>
    <n v="2862.2393999999999"/>
    <n v="0.58848739495798297"/>
    <n v="0"/>
    <d v="2024-10-29T00:00:00"/>
    <x v="5"/>
    <x v="2"/>
    <n v="-525.49"/>
    <s v="NEGATIVE SALES"/>
    <n v="0"/>
  </r>
  <r>
    <n v="3144"/>
    <s v="Daniel"/>
    <s v="Blanchard"/>
    <s v="Casual Midi"/>
    <n v="0"/>
    <n v="2664.43"/>
    <n v="0.58848739495798297"/>
    <n v="0"/>
    <d v="2025-04-27T00:00:00"/>
    <x v="5"/>
    <x v="1"/>
    <n v="1324.18"/>
    <s v="NEGATIVE SALES"/>
    <n v="0"/>
  </r>
  <r>
    <n v="3145"/>
    <s v="Rachel"/>
    <s v="Harris"/>
    <s v="Bomber Jacket"/>
    <n v="0"/>
    <n v="4414.97"/>
    <n v="0.58848739495798297"/>
    <n v="0"/>
    <d v="2025-04-27T00:00:00"/>
    <x v="5"/>
    <x v="2"/>
    <n v="2754.74"/>
    <s v="NEGATIVE SALES"/>
    <n v="0"/>
  </r>
  <r>
    <n v="3146"/>
    <s v="Patricia"/>
    <s v="Moore"/>
    <s v="Bomber Jacket"/>
    <n v="0"/>
    <n v="2851.7375999999999"/>
    <n v="0.58848739495798297"/>
    <n v="0"/>
    <d v="2025-04-27T00:00:00"/>
    <x v="5"/>
    <x v="2"/>
    <n v="146.19"/>
    <s v="NEGATIVE SALES"/>
    <n v="0"/>
  </r>
  <r>
    <n v="3147"/>
    <s v="Andrew"/>
    <s v="Williams"/>
    <s v="Casual Midi"/>
    <n v="0"/>
    <n v="2842.7015999999999"/>
    <n v="0.58848739495798297"/>
    <n v="0"/>
    <d v="2025-07-15T00:00:00"/>
    <x v="3"/>
    <x v="1"/>
    <n v="2987.89"/>
    <s v="NEGATIVE SALES"/>
    <n v="0"/>
  </r>
  <r>
    <n v="3148"/>
    <s v="Linda"/>
    <s v="Dunn"/>
    <s v="Casual Midi"/>
    <n v="6"/>
    <n v="2842.7015999999999"/>
    <n v="0.5"/>
    <n v="0"/>
    <d v="2024-03-27T00:00:00"/>
    <x v="1"/>
    <x v="0"/>
    <n v="605.46"/>
    <s v="NEGATIVE SALES"/>
    <n v="17056.209599999998"/>
  </r>
  <r>
    <n v="3149"/>
    <s v="Kendra"/>
    <s v="May"/>
    <s v="Loafers"/>
    <n v="5"/>
    <n v="2842.7015999999999"/>
    <n v="0.58923728813559295"/>
    <n v="0"/>
    <d v="2024-03-27T00:00:00"/>
    <x v="3"/>
    <x v="0"/>
    <n v="-681.76"/>
    <s v="NEGATIVE SALES"/>
    <n v="14213.508"/>
  </r>
  <r>
    <n v="3150"/>
    <s v="Lori"/>
    <s v="Martin"/>
    <s v="Graphic Tee"/>
    <n v="0"/>
    <n v="850.69"/>
    <n v="0.41"/>
    <n v="0"/>
    <d v="2024-09-10T00:00:00"/>
    <x v="3"/>
    <x v="1"/>
    <n v="2291.9299999999998"/>
    <s v="NEGATIVE SALES"/>
    <n v="0"/>
  </r>
  <r>
    <n v="3151"/>
    <s v="Justin"/>
    <s v="Walker"/>
    <s v="Slim Fit Jeans"/>
    <n v="0"/>
    <n v="2842.7015999999999"/>
    <n v="0.19"/>
    <n v="0"/>
    <d v="2025-06-28T00:00:00"/>
    <x v="2"/>
    <x v="2"/>
    <n v="-858.13"/>
    <s v="NEGATIVE SALES"/>
    <n v="0"/>
  </r>
  <r>
    <n v="3152"/>
    <s v="Brianna"/>
    <s v="Patel"/>
    <s v="Graphic Tee"/>
    <n v="-2"/>
    <n v="2116.65"/>
    <n v="0.21"/>
    <n v="-3344.31"/>
    <d v="2024-09-28T00:00:00"/>
    <x v="2"/>
    <x v="1"/>
    <n v="385.42"/>
    <s v="NEGATIVE SALES"/>
    <n v="-4233.3"/>
  </r>
  <r>
    <n v="3153"/>
    <s v="Jennifer"/>
    <s v="Anderson"/>
    <s v="Casual Midi"/>
    <n v="0"/>
    <n v="4723.0200000000004"/>
    <n v="0.52"/>
    <n v="0"/>
    <d v="2024-09-28T00:00:00"/>
    <x v="1"/>
    <x v="2"/>
    <n v="316.63"/>
    <s v="NEGATIVE SALES"/>
    <n v="0"/>
  </r>
  <r>
    <n v="3155"/>
    <s v="Paul"/>
    <s v="Allen"/>
    <s v="Caps"/>
    <n v="0"/>
    <n v="2847.6295"/>
    <n v="0.27"/>
    <n v="0"/>
    <d v="2024-07-28T00:00:00"/>
    <x v="2"/>
    <x v="0"/>
    <n v="2621.96"/>
    <s v="NEGATIVE SALES"/>
    <n v="0"/>
  </r>
  <r>
    <n v="3156"/>
    <s v="Scott"/>
    <s v="Griffin"/>
    <s v="Loafers"/>
    <n v="1"/>
    <n v="2845.8137999999999"/>
    <n v="0.52"/>
    <n v="0"/>
    <d v="2024-07-28T00:00:00"/>
    <x v="1"/>
    <x v="0"/>
    <n v="2568.9"/>
    <s v="NEGATIVE SALES"/>
    <n v="2845.8137999999999"/>
  </r>
  <r>
    <n v="3157"/>
    <s v="Matthew"/>
    <s v="Bryant"/>
    <s v="Caps"/>
    <n v="6"/>
    <n v="1768.88"/>
    <n v="0.60187500000000005"/>
    <n v="0"/>
    <d v="2024-01-19T00:00:00"/>
    <x v="4"/>
    <x v="2"/>
    <n v="-750.14"/>
    <s v="NEGATIVE SALES"/>
    <n v="10613.28"/>
  </r>
  <r>
    <n v="3158"/>
    <s v="Melinda"/>
    <s v="Hood"/>
    <s v="Boots"/>
    <n v="0"/>
    <n v="2845.8137999999999"/>
    <n v="0.60187500000000005"/>
    <n v="0"/>
    <d v="2024-07-27T00:00:00"/>
    <x v="4"/>
    <x v="1"/>
    <n v="-274.08999999999997"/>
    <s v="NEGATIVE SALES"/>
    <n v="0"/>
  </r>
  <r>
    <n v="3159"/>
    <s v="Tiffany"/>
    <s v="Smith"/>
    <s v="Graphic Tee"/>
    <n v="0"/>
    <n v="2852.2240999999999"/>
    <n v="0.60187500000000005"/>
    <n v="0"/>
    <d v="2025-03-12T00:00:00"/>
    <x v="0"/>
    <x v="2"/>
    <n v="1668.66"/>
    <s v="NEGATIVE SALES"/>
    <n v="0"/>
  </r>
  <r>
    <n v="3160"/>
    <s v="Denise"/>
    <s v="Ashley"/>
    <s v="Ripped Denim"/>
    <n v="6"/>
    <n v="4976.8100000000004"/>
    <n v="0.60187500000000005"/>
    <n v="0"/>
    <d v="2025-05-17T00:00:00"/>
    <x v="1"/>
    <x v="0"/>
    <n v="845.06"/>
    <s v="NEGATIVE SALES"/>
    <n v="29860.86"/>
  </r>
  <r>
    <n v="3161"/>
    <s v="Donna"/>
    <s v="Rodriguez"/>
    <s v="Belts"/>
    <n v="0"/>
    <n v="2852.2240999999999"/>
    <n v="0.60187500000000005"/>
    <n v="0"/>
    <d v="2024-05-10T00:00:00"/>
    <x v="2"/>
    <x v="0"/>
    <n v="1399.1"/>
    <s v="NEGATIVE SALES"/>
    <n v="0"/>
  </r>
  <r>
    <n v="3162"/>
    <s v="Scott"/>
    <s v="Lee"/>
    <s v="Sunglasses"/>
    <n v="0"/>
    <n v="2839.502"/>
    <n v="0.60187500000000005"/>
    <n v="0"/>
    <d v="2024-12-29T00:00:00"/>
    <x v="3"/>
    <x v="1"/>
    <n v="344.06"/>
    <s v="NEGATIVE SALES"/>
    <n v="0"/>
  </r>
  <r>
    <n v="3163"/>
    <s v="Michelle"/>
    <s v="Cruz"/>
    <s v="Ripped Denim"/>
    <n v="0"/>
    <n v="2839.502"/>
    <n v="0.60187500000000005"/>
    <n v="0"/>
    <d v="2025-06-08T00:00:00"/>
    <x v="1"/>
    <x v="0"/>
    <n v="-13.76"/>
    <s v="NEGATIVE SALES"/>
    <n v="0"/>
  </r>
  <r>
    <n v="3164"/>
    <s v="Michelle"/>
    <s v="Morrow"/>
    <s v="Bomber Jacket"/>
    <n v="3"/>
    <n v="2839.502"/>
    <n v="0.09"/>
    <n v="0"/>
    <d v="2025-04-02T00:00:00"/>
    <x v="3"/>
    <x v="0"/>
    <n v="-750.61"/>
    <s v="NEGATIVE SALES"/>
    <n v="8518.5059999999994"/>
  </r>
  <r>
    <n v="3165"/>
    <s v="Tina"/>
    <s v="Hartman"/>
    <s v="Bodycon"/>
    <n v="0"/>
    <n v="2994.31"/>
    <n v="0.60648648648648695"/>
    <n v="0"/>
    <d v="2025-04-02T00:00:00"/>
    <x v="3"/>
    <x v="0"/>
    <n v="-990.57"/>
    <s v="NEGATIVE SALES"/>
    <n v="0"/>
  </r>
  <r>
    <n v="3166"/>
    <s v="Gregory"/>
    <s v="Pierce"/>
    <s v="Bodycon"/>
    <n v="-2"/>
    <n v="2839.502"/>
    <n v="0.60648648648648695"/>
    <n v="0"/>
    <d v="2025-01-17T00:00:00"/>
    <x v="4"/>
    <x v="2"/>
    <n v="1384.25"/>
    <s v="NEGATIVE SALES"/>
    <n v="-5679.0039999999999"/>
  </r>
  <r>
    <n v="3167"/>
    <s v="Christine"/>
    <s v="Brock"/>
    <s v="Ripped Denim"/>
    <n v="0"/>
    <n v="2838.5695000000001"/>
    <n v="0.60648648648648695"/>
    <n v="0"/>
    <d v="2024-09-23T00:00:00"/>
    <x v="2"/>
    <x v="2"/>
    <n v="1078.74"/>
    <s v="NEGATIVE SALES"/>
    <n v="0"/>
  </r>
  <r>
    <n v="3168"/>
    <s v="Christine"/>
    <s v="Young"/>
    <s v="Ripped Denim"/>
    <n v="-1"/>
    <n v="1845.75"/>
    <n v="0.60648648648648695"/>
    <n v="0"/>
    <d v="2025-06-06T00:00:00"/>
    <x v="3"/>
    <x v="2"/>
    <n v="268.45"/>
    <s v="NEGATIVE SALES"/>
    <n v="-1845.75"/>
  </r>
  <r>
    <n v="3169"/>
    <s v="James"/>
    <s v="Villarreal"/>
    <s v="Puffer Coat"/>
    <n v="-2"/>
    <n v="2838.5695000000001"/>
    <n v="0.60648648648648695"/>
    <n v="0"/>
    <d v="2024-03-29T00:00:00"/>
    <x v="5"/>
    <x v="0"/>
    <n v="796.19"/>
    <s v="NEGATIVE SALES"/>
    <n v="-5677.1390000000001"/>
  </r>
  <r>
    <n v="3170"/>
    <s v="Timothy"/>
    <s v="Sheppard"/>
    <s v="Denim Jacket"/>
    <n v="2"/>
    <n v="2229.77"/>
    <n v="0.60648648648648695"/>
    <n v="0"/>
    <d v="2024-03-29T00:00:00"/>
    <x v="1"/>
    <x v="0"/>
    <n v="2733.99"/>
    <s v="NEGATIVE SALES"/>
    <n v="4459.54"/>
  </r>
  <r>
    <n v="3171"/>
    <s v="William"/>
    <s v="Goodman"/>
    <s v="Classic Tee"/>
    <n v="0"/>
    <n v="3618.17"/>
    <n v="0.60648648648648695"/>
    <n v="0"/>
    <d v="2025-06-08T00:00:00"/>
    <x v="1"/>
    <x v="2"/>
    <n v="726.81"/>
    <s v="NEGATIVE SALES"/>
    <n v="0"/>
  </r>
  <r>
    <n v="3172"/>
    <s v="Robert"/>
    <s v="Rogers"/>
    <s v="Sneakers"/>
    <n v="3"/>
    <n v="4433.3500000000004"/>
    <n v="0.60648648648648695"/>
    <n v="0"/>
    <d v="2024-11-28T00:00:00"/>
    <x v="4"/>
    <x v="1"/>
    <n v="329.75"/>
    <s v="NEGATIVE SALES"/>
    <n v="13300.05"/>
  </r>
  <r>
    <n v="3174"/>
    <s v="Gerald"/>
    <s v="Drake"/>
    <s v="Puffer Coat"/>
    <n v="4"/>
    <n v="4345.79"/>
    <n v="1.1399999999999999"/>
    <n v="-2433.64"/>
    <d v="2025-02-17T00:00:00"/>
    <x v="4"/>
    <x v="1"/>
    <n v="2747.47"/>
    <s v="NEGATIVE SALES"/>
    <n v="17383.16"/>
  </r>
  <r>
    <n v="3175"/>
    <s v="Brittany"/>
    <s v="Brown"/>
    <s v="Straight Cut"/>
    <n v="3"/>
    <n v="2937.09"/>
    <n v="0.60163636363636397"/>
    <n v="0"/>
    <d v="2024-03-27T00:00:00"/>
    <x v="4"/>
    <x v="0"/>
    <n v="2471.63"/>
    <s v="NEGATIVE SALES"/>
    <n v="8811.27"/>
  </r>
  <r>
    <n v="3176"/>
    <s v="Shelby"/>
    <s v="Johnson"/>
    <s v="Wrap Dress"/>
    <n v="0"/>
    <n v="4473.84"/>
    <n v="0.3"/>
    <n v="0"/>
    <d v="2024-08-11T00:00:00"/>
    <x v="4"/>
    <x v="2"/>
    <n v="2874.33"/>
    <s v="NEGATIVE SALES"/>
    <n v="0"/>
  </r>
  <r>
    <n v="3177"/>
    <s v="Melissa"/>
    <s v="Larson"/>
    <s v="Slim Fit Jeans"/>
    <n v="-1"/>
    <n v="2833.8782000000001"/>
    <n v="0.604403669724771"/>
    <n v="0"/>
    <d v="2025-02-09T00:00:00"/>
    <x v="1"/>
    <x v="0"/>
    <n v="2693.49"/>
    <s v="NEGATIVE SALES"/>
    <n v="-2833.8782000000001"/>
  </r>
  <r>
    <n v="3178"/>
    <s v="Cindy"/>
    <s v="Bowen"/>
    <s v="Denim Jacket"/>
    <n v="0"/>
    <n v="2823.4987000000001"/>
    <n v="0.66"/>
    <n v="0"/>
    <d v="2025-02-09T00:00:00"/>
    <x v="5"/>
    <x v="0"/>
    <n v="-174.17"/>
    <s v="NEGATIVE SALES"/>
    <n v="0"/>
  </r>
  <r>
    <n v="3179"/>
    <s v="Christopher"/>
    <s v="Martin"/>
    <s v="Puffer Coat"/>
    <n v="1"/>
    <n v="2057.88"/>
    <n v="0.60388888888888903"/>
    <n v="0"/>
    <d v="2024-10-23T00:00:00"/>
    <x v="1"/>
    <x v="0"/>
    <n v="932.33"/>
    <s v="NEGATIVE SALES"/>
    <n v="2057.88"/>
  </r>
  <r>
    <n v="3180"/>
    <s v="Elizabeth"/>
    <s v="Deleon"/>
    <s v="Boots"/>
    <n v="5"/>
    <n v="1981.32"/>
    <n v="0.60388888888888903"/>
    <n v="0"/>
    <d v="2024-08-15T00:00:00"/>
    <x v="3"/>
    <x v="1"/>
    <n v="1113.19"/>
    <s v="NEGATIVE SALES"/>
    <n v="9906.6"/>
  </r>
  <r>
    <n v="3181"/>
    <s v="Timothy"/>
    <s v="Tyler"/>
    <s v="Loafers"/>
    <n v="0"/>
    <n v="2828.3751999999999"/>
    <n v="0.60388888888888903"/>
    <n v="0"/>
    <d v="2024-05-29T00:00:00"/>
    <x v="1"/>
    <x v="1"/>
    <n v="1727.03"/>
    <s v="NEGATIVE SALES"/>
    <n v="0"/>
  </r>
  <r>
    <n v="3182"/>
    <s v="Christopher"/>
    <s v="Martinez"/>
    <s v="Wrap Dress"/>
    <n v="0"/>
    <n v="3078.92"/>
    <n v="0.60388888888888903"/>
    <n v="0"/>
    <d v="2024-05-29T00:00:00"/>
    <x v="5"/>
    <x v="2"/>
    <n v="1935.04"/>
    <s v="NEGATIVE SALES"/>
    <n v="0"/>
  </r>
  <r>
    <n v="3183"/>
    <s v="Danielle"/>
    <s v="Jones"/>
    <s v="Watches"/>
    <n v="0"/>
    <n v="2833.8051"/>
    <n v="0.60388888888888903"/>
    <n v="0"/>
    <d v="2024-06-01T00:00:00"/>
    <x v="3"/>
    <x v="1"/>
    <n v="2332.84"/>
    <s v="NEGATIVE SALES"/>
    <n v="0"/>
  </r>
  <r>
    <n v="3184"/>
    <s v="Jeffrey"/>
    <s v="Maynard"/>
    <s v="Slip-Ons"/>
    <n v="3"/>
    <n v="2832.2237"/>
    <n v="1"/>
    <n v="0"/>
    <d v="2023-07-28T00:00:00"/>
    <x v="4"/>
    <x v="1"/>
    <n v="386.15"/>
    <s v="NEGATIVE SALES"/>
    <n v="8496.6710999999996"/>
  </r>
  <r>
    <n v="3185"/>
    <s v="Bonnie"/>
    <s v="Huerta"/>
    <s v="Ripped Denim"/>
    <n v="2"/>
    <n v="2832.2237"/>
    <n v="0.60018691588785"/>
    <n v="0"/>
    <d v="2024-11-05T00:00:00"/>
    <x v="1"/>
    <x v="1"/>
    <n v="-726.08"/>
    <s v="NEGATIVE SALES"/>
    <n v="5664.4474"/>
  </r>
  <r>
    <n v="3186"/>
    <s v="Xavier"/>
    <s v="Sampson"/>
    <s v="Ripped Denim"/>
    <n v="5"/>
    <n v="2832.2237"/>
    <n v="0.60018691588785"/>
    <n v="0"/>
    <d v="2024-11-05T00:00:00"/>
    <x v="5"/>
    <x v="2"/>
    <n v="-637.71"/>
    <s v="NEGATIVE SALES"/>
    <n v="14161.1185"/>
  </r>
  <r>
    <n v="3187"/>
    <s v="Karen"/>
    <s v="Clayton"/>
    <s v="Maxi Dress"/>
    <n v="6"/>
    <n v="3998.97"/>
    <n v="0.60018691588785"/>
    <n v="0"/>
    <d v="2024-01-30T00:00:00"/>
    <x v="2"/>
    <x v="0"/>
    <n v="716.49"/>
    <s v="NEGATIVE SALES"/>
    <n v="23993.82"/>
  </r>
  <r>
    <n v="3188"/>
    <s v="Mr."/>
    <s v="David"/>
    <s v="Belts"/>
    <n v="0"/>
    <n v="936.76"/>
    <n v="0.60018691588785"/>
    <n v="0"/>
    <d v="2024-01-30T00:00:00"/>
    <x v="5"/>
    <x v="2"/>
    <n v="1308.49"/>
    <s v="NEGATIVE SALES"/>
    <n v="0"/>
  </r>
  <r>
    <n v="3189"/>
    <s v="Jason"/>
    <s v="Watson"/>
    <s v="Boots"/>
    <n v="0"/>
    <n v="1299.74"/>
    <n v="0.09"/>
    <n v="0"/>
    <d v="2024-12-18T00:00:00"/>
    <x v="3"/>
    <x v="0"/>
    <n v="1607.44"/>
    <s v="NEGATIVE SALES"/>
    <n v="0"/>
  </r>
  <r>
    <n v="3190"/>
    <s v="Tammy"/>
    <s v="Smith"/>
    <s v="Sneakers"/>
    <n v="0"/>
    <n v="2836.9865"/>
    <n v="0.44"/>
    <n v="0"/>
    <d v="2024-12-18T00:00:00"/>
    <x v="5"/>
    <x v="2"/>
    <n v="620.19000000000005"/>
    <s v="NEGATIVE SALES"/>
    <n v="0"/>
  </r>
  <r>
    <n v="3191"/>
    <s v="David"/>
    <s v="Gillespie"/>
    <s v="Denim Jacket"/>
    <n v="0"/>
    <n v="2847.1"/>
    <n v="0.60657142857142798"/>
    <n v="0"/>
    <d v="2025-01-30T00:00:00"/>
    <x v="0"/>
    <x v="1"/>
    <n v="173.16"/>
    <s v="NEGATIVE SALES"/>
    <n v="0"/>
  </r>
  <r>
    <n v="3192"/>
    <s v="Brittany"/>
    <s v="Sweeney"/>
    <s v="Straight Cut"/>
    <n v="-2"/>
    <n v="3568.45"/>
    <n v="0.37"/>
    <n v="-4496.25"/>
    <d v="2023-07-29T00:00:00"/>
    <x v="0"/>
    <x v="0"/>
    <n v="1683.74"/>
    <s v="NEGATIVE SALES"/>
    <n v="-7136.9"/>
  </r>
  <r>
    <n v="3193"/>
    <s v="Michelle"/>
    <s v="Kennedy"/>
    <s v="Boyfriend Jeans"/>
    <n v="3"/>
    <n v="2847.1"/>
    <n v="0.60884615384615404"/>
    <n v="0"/>
    <d v="2024-06-22T00:00:00"/>
    <x v="1"/>
    <x v="0"/>
    <n v="1236.54"/>
    <s v="NEGATIVE SALES"/>
    <n v="8541.2999999999993"/>
  </r>
  <r>
    <n v="3195"/>
    <s v="Cody"/>
    <s v="Williams"/>
    <s v="Denim Jacket"/>
    <n v="0"/>
    <n v="958.16"/>
    <n v="0.60884615384615404"/>
    <n v="0"/>
    <d v="2024-01-11T00:00:00"/>
    <x v="0"/>
    <x v="0"/>
    <n v="2567.6999999999998"/>
    <s v="NEGATIVE SALES"/>
    <n v="0"/>
  </r>
  <r>
    <n v="3196"/>
    <s v="Kelly"/>
    <s v="Henry"/>
    <s v="Wrap Dress"/>
    <n v="0"/>
    <n v="4897.24"/>
    <n v="0.60884615384615404"/>
    <n v="0"/>
    <d v="2024-08-14T00:00:00"/>
    <x v="4"/>
    <x v="2"/>
    <n v="2989.6"/>
    <s v="NEGATIVE SALES"/>
    <n v="0"/>
  </r>
  <r>
    <n v="3197"/>
    <s v="Brian"/>
    <s v="Clark"/>
    <s v="Caps"/>
    <n v="5"/>
    <n v="2849.8069999999998"/>
    <n v="1.1200000000000001"/>
    <n v="0"/>
    <d v="2024-09-05T00:00:00"/>
    <x v="5"/>
    <x v="0"/>
    <n v="2348.85"/>
    <s v="NEGATIVE SALES"/>
    <n v="14249.035"/>
  </r>
  <r>
    <n v="3198"/>
    <s v="Dale"/>
    <s v="Palmer"/>
    <s v="Puffer Coat"/>
    <n v="0"/>
    <n v="2835.973"/>
    <n v="0.603883495145631"/>
    <n v="0"/>
    <d v="2025-04-01T00:00:00"/>
    <x v="4"/>
    <x v="0"/>
    <n v="816.72"/>
    <s v="NEGATIVE SALES"/>
    <n v="0"/>
  </r>
  <r>
    <n v="3200"/>
    <s v="Andrew"/>
    <s v="Perry"/>
    <s v="Caps"/>
    <n v="0"/>
    <n v="2835.973"/>
    <n v="0.603883495145631"/>
    <n v="0"/>
    <d v="2024-08-18T00:00:00"/>
    <x v="2"/>
    <x v="2"/>
    <n v="2779.48"/>
    <s v="NEGATIVE SALES"/>
    <n v="0"/>
  </r>
  <r>
    <n v="3201"/>
    <s v="Jennifer"/>
    <s v="Casey"/>
    <s v="Sneakers"/>
    <n v="0"/>
    <n v="3494.89"/>
    <n v="0.603883495145631"/>
    <n v="0"/>
    <d v="2024-09-11T00:00:00"/>
    <x v="5"/>
    <x v="0"/>
    <n v="1036.32"/>
    <s v="NEGATIVE SALES"/>
    <n v="0"/>
  </r>
  <r>
    <n v="3203"/>
    <s v="Nicholas"/>
    <s v="Mclaughlin"/>
    <s v="Denim Jacket"/>
    <n v="-1"/>
    <n v="4883.5200000000004"/>
    <n v="0.60833333333333295"/>
    <n v="0"/>
    <d v="2025-02-10T00:00:00"/>
    <x v="4"/>
    <x v="1"/>
    <n v="1510.55"/>
    <s v="NEGATIVE SALES"/>
    <n v="-4883.5200000000004"/>
  </r>
  <r>
    <n v="3204"/>
    <s v="Juan"/>
    <s v="Morris"/>
    <s v="Sunglasses"/>
    <n v="0"/>
    <n v="781.13"/>
    <n v="0.60833333333333295"/>
    <n v="0"/>
    <d v="2024-07-28T00:00:00"/>
    <x v="2"/>
    <x v="0"/>
    <n v="2822.85"/>
    <s v="NEGATIVE SALES"/>
    <n v="0"/>
  </r>
  <r>
    <n v="3205"/>
    <s v="Patrick"/>
    <s v="Olson"/>
    <s v="Sneakers"/>
    <n v="0"/>
    <n v="2819.4838"/>
    <n v="0.60833333333333295"/>
    <n v="0"/>
    <d v="2024-12-20T00:00:00"/>
    <x v="5"/>
    <x v="1"/>
    <n v="1723.22"/>
    <s v="NEGATIVE SALES"/>
    <n v="0"/>
  </r>
  <r>
    <n v="3206"/>
    <s v="Yvonne"/>
    <s v="Gibbs"/>
    <s v="Bodycon"/>
    <n v="-1"/>
    <n v="2833.6390000000001"/>
    <n v="0.54"/>
    <n v="0"/>
    <d v="2024-12-08T00:00:00"/>
    <x v="0"/>
    <x v="0"/>
    <n v="550.46"/>
    <s v="NEGATIVE SALES"/>
    <n v="-2833.6390000000001"/>
  </r>
  <r>
    <n v="3207"/>
    <s v="Monique"/>
    <s v="Robles"/>
    <s v="Straight Cut"/>
    <n v="0"/>
    <n v="2833.6390000000001"/>
    <n v="0.609009900990099"/>
    <n v="0"/>
    <d v="2024-12-08T00:00:00"/>
    <x v="1"/>
    <x v="0"/>
    <n v="-547.29"/>
    <s v="NEGATIVE SALES"/>
    <n v="0"/>
  </r>
  <r>
    <n v="3208"/>
    <s v="Melissa"/>
    <s v="Davila"/>
    <s v="Watches"/>
    <n v="4"/>
    <n v="4280.7"/>
    <n v="0.609009900990099"/>
    <n v="0"/>
    <d v="2024-09-19T00:00:00"/>
    <x v="4"/>
    <x v="2"/>
    <n v="68.36"/>
    <s v="NEGATIVE SALES"/>
    <n v="17122.8"/>
  </r>
  <r>
    <n v="3209"/>
    <s v="Jessica"/>
    <s v="Ward"/>
    <s v="Boots"/>
    <n v="0"/>
    <n v="3221.55"/>
    <n v="0.609009900990099"/>
    <n v="0"/>
    <d v="2023-12-19T00:00:00"/>
    <x v="1"/>
    <x v="2"/>
    <n v="1996.4"/>
    <s v="NEGATIVE SALES"/>
    <n v="0"/>
  </r>
  <r>
    <n v="3210"/>
    <s v="Nicholas"/>
    <s v="Glenn"/>
    <s v="Ripped Denim"/>
    <n v="0"/>
    <n v="2823.5196999999998"/>
    <n v="0.609009900990099"/>
    <n v="0"/>
    <d v="2025-01-19T00:00:00"/>
    <x v="2"/>
    <x v="2"/>
    <n v="1580.66"/>
    <s v="NEGATIVE SALES"/>
    <n v="0"/>
  </r>
  <r>
    <n v="3211"/>
    <s v="Linda"/>
    <s v="Taylor"/>
    <s v="Crop Top"/>
    <n v="0"/>
    <n v="1624.28"/>
    <n v="1.29"/>
    <n v="0"/>
    <d v="2025-02-09T00:00:00"/>
    <x v="3"/>
    <x v="2"/>
    <n v="1863.17"/>
    <s v="NEGATIVE SALES"/>
    <n v="0"/>
  </r>
  <r>
    <n v="3212"/>
    <s v="David"/>
    <s v="Walker"/>
    <s v="Puffer Coat"/>
    <n v="0"/>
    <n v="4606.8500000000004"/>
    <n v="0.28000000000000003"/>
    <n v="0"/>
    <d v="2024-08-26T00:00:00"/>
    <x v="1"/>
    <x v="0"/>
    <n v="188.97"/>
    <s v="NEGATIVE SALES"/>
    <n v="0"/>
  </r>
  <r>
    <n v="3213"/>
    <s v="Cynthia"/>
    <s v="Vargas"/>
    <s v="Bomber Jacket"/>
    <n v="6"/>
    <n v="1213.25"/>
    <n v="1.1100000000000001"/>
    <n v="-800.75"/>
    <d v="2024-10-27T00:00:00"/>
    <x v="1"/>
    <x v="0"/>
    <n v="-82.79"/>
    <s v="NEGATIVE SALES"/>
    <n v="7279.5"/>
  </r>
  <r>
    <n v="3214"/>
    <s v="Taylor"/>
    <s v="Martin"/>
    <s v="Ripped Denim"/>
    <n v="0"/>
    <n v="2816.5046000000002"/>
    <n v="0.60030612244897996"/>
    <n v="0"/>
    <d v="2025-04-27T00:00:00"/>
    <x v="2"/>
    <x v="0"/>
    <n v="1084.99"/>
    <s v="NEGATIVE SALES"/>
    <n v="0"/>
  </r>
  <r>
    <n v="3215"/>
    <s v="Kelly"/>
    <s v="Contreras"/>
    <s v="Ripped Denim"/>
    <n v="1"/>
    <n v="552.80999999999995"/>
    <n v="0.56999999999999995"/>
    <n v="237.71"/>
    <d v="2025-04-27T00:00:00"/>
    <x v="0"/>
    <x v="1"/>
    <n v="206.75"/>
    <s v="POSITIVE SALES"/>
    <n v="552.80999999999995"/>
  </r>
  <r>
    <n v="3216"/>
    <s v="Mathew"/>
    <s v="Jackson"/>
    <s v="Sneakers"/>
    <n v="0"/>
    <n v="2828.0387999999998"/>
    <n v="7.0000000000000007E-2"/>
    <n v="0"/>
    <d v="2024-10-31T00:00:00"/>
    <x v="4"/>
    <x v="1"/>
    <n v="1989.05"/>
    <s v="NEGATIVE SALES"/>
    <n v="0"/>
  </r>
  <r>
    <n v="3217"/>
    <s v="Kathleen"/>
    <s v="Villarreal"/>
    <s v="Wrap Dress"/>
    <n v="0"/>
    <n v="1039.75"/>
    <n v="0.60614583333333305"/>
    <n v="0"/>
    <d v="2023-07-29T00:00:00"/>
    <x v="4"/>
    <x v="0"/>
    <n v="902.04"/>
    <s v="NEGATIVE SALES"/>
    <n v="0"/>
  </r>
  <r>
    <n v="3218"/>
    <s v="Nancy"/>
    <s v="Guerrero"/>
    <s v="Crop Top"/>
    <n v="0"/>
    <n v="2844.5259000000001"/>
    <n v="0.16"/>
    <n v="0"/>
    <d v="2024-08-16T00:00:00"/>
    <x v="4"/>
    <x v="2"/>
    <n v="946.6"/>
    <s v="NEGATIVE SALES"/>
    <n v="0"/>
  </r>
  <r>
    <n v="3219"/>
    <s v="Melissa"/>
    <s v="Parker"/>
    <s v="Boots"/>
    <n v="5"/>
    <n v="2857.6995000000002"/>
    <n v="0.61084210526315796"/>
    <n v="0"/>
    <d v="2024-03-24T00:00:00"/>
    <x v="3"/>
    <x v="0"/>
    <n v="908.45"/>
    <s v="NEGATIVE SALES"/>
    <n v="14288.497499999999"/>
  </r>
  <r>
    <n v="3221"/>
    <s v="Paul"/>
    <s v="Orozco"/>
    <s v="Belts"/>
    <n v="-2"/>
    <n v="2857.6995000000002"/>
    <n v="0.615106382978724"/>
    <n v="0"/>
    <d v="2025-07-17T00:00:00"/>
    <x v="4"/>
    <x v="1"/>
    <n v="2141.34"/>
    <s v="NEGATIVE SALES"/>
    <n v="-5715.3990000000003"/>
  </r>
  <r>
    <n v="3222"/>
    <s v="Edward"/>
    <s v="Saunders"/>
    <s v="Bodycon"/>
    <n v="-2"/>
    <n v="2873.3226"/>
    <n v="0.615106382978724"/>
    <n v="0"/>
    <d v="2025-02-15T00:00:00"/>
    <x v="4"/>
    <x v="2"/>
    <n v="-545.96"/>
    <s v="NEGATIVE SALES"/>
    <n v="-5746.6451999999999"/>
  </r>
  <r>
    <n v="3223"/>
    <s v="Christopher"/>
    <s v="Haley"/>
    <s v="Graphic Tee"/>
    <n v="0"/>
    <n v="2873.3226"/>
    <n v="0.615106382978724"/>
    <n v="0"/>
    <d v="2024-03-05T00:00:00"/>
    <x v="2"/>
    <x v="0"/>
    <n v="1477.87"/>
    <s v="NEGATIVE SALES"/>
    <n v="0"/>
  </r>
  <r>
    <n v="3224"/>
    <s v="Elizabeth"/>
    <s v="Smith"/>
    <s v="Slim Fit Jeans"/>
    <n v="6"/>
    <n v="878.95"/>
    <n v="0.01"/>
    <n v="5220.96"/>
    <d v="2025-04-22T00:00:00"/>
    <x v="2"/>
    <x v="1"/>
    <n v="2099.52"/>
    <s v="POSITIVE SALES"/>
    <n v="5273.7"/>
  </r>
  <r>
    <n v="3225"/>
    <s v="Daniel"/>
    <s v="Burnett"/>
    <s v="Casual Midi"/>
    <n v="6"/>
    <n v="2873.3226"/>
    <n v="0.62161290322580598"/>
    <n v="0"/>
    <d v="2025-04-22T00:00:00"/>
    <x v="4"/>
    <x v="1"/>
    <n v="2666.58"/>
    <s v="NEGATIVE SALES"/>
    <n v="17239.935600000001"/>
  </r>
  <r>
    <n v="3226"/>
    <s v="Michelle"/>
    <s v="Gonzalez"/>
    <s v="Wrap Dress"/>
    <n v="0"/>
    <n v="2888.0956999999999"/>
    <n v="0.62161290322580598"/>
    <n v="0"/>
    <d v="2023-08-08T00:00:00"/>
    <x v="3"/>
    <x v="0"/>
    <n v="2715.65"/>
    <s v="NEGATIVE SALES"/>
    <n v="0"/>
  </r>
  <r>
    <n v="3227"/>
    <s v="Cheryl"/>
    <s v="Allen"/>
    <s v="Belts"/>
    <n v="0"/>
    <n v="2888.0956999999999"/>
    <n v="0.62161290322580598"/>
    <n v="0"/>
    <d v="2024-08-01T00:00:00"/>
    <x v="2"/>
    <x v="0"/>
    <n v="2498.2199999999998"/>
    <s v="NEGATIVE SALES"/>
    <n v="0"/>
  </r>
  <r>
    <n v="3228"/>
    <s v="Scott"/>
    <s v="Levine"/>
    <s v="Graphic Tee"/>
    <n v="0"/>
    <n v="2125.02"/>
    <n v="0.62161290322580598"/>
    <n v="0"/>
    <d v="2024-09-28T00:00:00"/>
    <x v="5"/>
    <x v="0"/>
    <n v="1154.25"/>
    <s v="NEGATIVE SALES"/>
    <n v="0"/>
  </r>
  <r>
    <n v="3229"/>
    <s v="Kimberly"/>
    <s v="Lee"/>
    <s v="Caps"/>
    <n v="-1"/>
    <n v="2888.0956999999999"/>
    <n v="0.62161290322580598"/>
    <n v="0"/>
    <d v="2024-09-28T00:00:00"/>
    <x v="0"/>
    <x v="0"/>
    <n v="1178.45"/>
    <s v="NEGATIVE SALES"/>
    <n v="-2888.0956999999999"/>
  </r>
  <r>
    <n v="3230"/>
    <s v="Dana"/>
    <s v="Erickson"/>
    <s v="Puffer Coat"/>
    <n v="3"/>
    <n v="4694.3100000000004"/>
    <n v="0.09"/>
    <n v="12815.47"/>
    <d v="2024-09-28T00:00:00"/>
    <x v="3"/>
    <x v="2"/>
    <n v="-215.18"/>
    <s v="POSITIVE SALES"/>
    <n v="14082.93"/>
  </r>
  <r>
    <n v="3231"/>
    <s v="Paul"/>
    <s v="West"/>
    <s v="Loafers"/>
    <n v="0"/>
    <n v="2893.7903000000001"/>
    <n v="0.62739130434782597"/>
    <n v="0"/>
    <d v="2024-02-23T00:00:00"/>
    <x v="4"/>
    <x v="2"/>
    <n v="2837.72"/>
    <s v="NEGATIVE SALES"/>
    <n v="0"/>
  </r>
  <r>
    <n v="3232"/>
    <s v="Jeremy"/>
    <s v="Garcia"/>
    <s v="Puffer Coat"/>
    <n v="-2"/>
    <n v="2880.2525999999998"/>
    <n v="0.3"/>
    <n v="0"/>
    <d v="2024-11-30T00:00:00"/>
    <x v="3"/>
    <x v="1"/>
    <n v="1045.42"/>
    <s v="NEGATIVE SALES"/>
    <n v="-5760.5051999999996"/>
  </r>
  <r>
    <n v="3233"/>
    <s v="Briana"/>
    <s v="Greer"/>
    <s v="Crop Top"/>
    <n v="0"/>
    <n v="2654.66"/>
    <n v="0.63098901098901095"/>
    <n v="0"/>
    <d v="2024-07-18T00:00:00"/>
    <x v="3"/>
    <x v="2"/>
    <n v="2008.66"/>
    <s v="NEGATIVE SALES"/>
    <n v="0"/>
  </r>
  <r>
    <n v="3234"/>
    <s v="Thomas"/>
    <s v="White"/>
    <s v="Ripped Denim"/>
    <n v="0"/>
    <n v="2068.3000000000002"/>
    <n v="0.63098901098901095"/>
    <n v="0"/>
    <d v="2024-11-27T00:00:00"/>
    <x v="5"/>
    <x v="1"/>
    <n v="-896.79"/>
    <s v="NEGATIVE SALES"/>
    <n v="0"/>
  </r>
  <r>
    <n v="3235"/>
    <s v="Elaine"/>
    <s v="Cohen"/>
    <s v="Loafers"/>
    <n v="0"/>
    <n v="3466.1"/>
    <n v="0.63098901098901095"/>
    <n v="0"/>
    <d v="2025-05-27T00:00:00"/>
    <x v="3"/>
    <x v="1"/>
    <n v="1011.48"/>
    <s v="NEGATIVE SALES"/>
    <n v="0"/>
  </r>
  <r>
    <n v="3236"/>
    <s v="Caroline"/>
    <s v="Perry"/>
    <s v="Leather Jacket"/>
    <n v="0"/>
    <n v="3253.51"/>
    <n v="0.55000000000000004"/>
    <n v="0"/>
    <d v="2024-12-28T00:00:00"/>
    <x v="4"/>
    <x v="0"/>
    <n v="713.71"/>
    <s v="NEGATIVE SALES"/>
    <n v="0"/>
  </r>
  <r>
    <n v="3237"/>
    <s v="Joyce"/>
    <s v="Dixon"/>
    <s v="Puffer Coat"/>
    <n v="3"/>
    <n v="2883.7271999999998"/>
    <n v="0.63188888888888906"/>
    <n v="0"/>
    <d v="2024-09-27T00:00:00"/>
    <x v="1"/>
    <x v="1"/>
    <n v="1866.05"/>
    <s v="NEGATIVE SALES"/>
    <n v="8651.1815999999999"/>
  </r>
  <r>
    <n v="3238"/>
    <s v="John"/>
    <s v="Woods"/>
    <s v="Classic Tee"/>
    <n v="0"/>
    <n v="2880.8606"/>
    <n v="0.87"/>
    <n v="0"/>
    <d v="2024-09-25T00:00:00"/>
    <x v="0"/>
    <x v="1"/>
    <n v="744.17"/>
    <s v="NEGATIVE SALES"/>
    <n v="0"/>
  </r>
  <r>
    <n v="3239"/>
    <s v="Mariah"/>
    <s v="Kidd"/>
    <s v="Straight Cut"/>
    <n v="1"/>
    <n v="4585.71"/>
    <n v="0.62921348314606695"/>
    <n v="0"/>
    <d v="2025-05-18T00:00:00"/>
    <x v="1"/>
    <x v="2"/>
    <n v="1277.56"/>
    <s v="NEGATIVE SALES"/>
    <n v="4585.71"/>
  </r>
  <r>
    <n v="3240"/>
    <s v="Sabrina"/>
    <s v="Copeland"/>
    <s v="Casual Midi"/>
    <n v="0"/>
    <n v="2880.8606"/>
    <n v="0.62921348314606695"/>
    <n v="0"/>
    <d v="2024-10-10T00:00:00"/>
    <x v="3"/>
    <x v="2"/>
    <n v="940.05"/>
    <s v="NEGATIVE SALES"/>
    <n v="0"/>
  </r>
  <r>
    <n v="3242"/>
    <s v="Sarah"/>
    <s v="Clark"/>
    <s v="Loafers"/>
    <n v="0"/>
    <n v="2867.5414999999998"/>
    <n v="0.16"/>
    <n v="0"/>
    <d v="2024-03-16T00:00:00"/>
    <x v="2"/>
    <x v="2"/>
    <n v="2996.49"/>
    <s v="NEGATIVE SALES"/>
    <n v="0"/>
  </r>
  <r>
    <n v="3243"/>
    <s v="Daniel"/>
    <s v="Bernard"/>
    <s v="Bodycon"/>
    <n v="4"/>
    <n v="2865.0331000000001"/>
    <n v="0.87"/>
    <n v="0"/>
    <d v="2024-03-16T00:00:00"/>
    <x v="0"/>
    <x v="2"/>
    <n v="1345.46"/>
    <s v="NEGATIVE SALES"/>
    <n v="11460.1324"/>
  </r>
  <r>
    <n v="3244"/>
    <s v="Jennifer"/>
    <s v="Manning"/>
    <s v="Watches"/>
    <n v="-2"/>
    <n v="2865.0331000000001"/>
    <n v="0.47"/>
    <n v="0"/>
    <d v="2025-02-26T00:00:00"/>
    <x v="1"/>
    <x v="2"/>
    <n v="2205.34"/>
    <s v="NEGATIVE SALES"/>
    <n v="-5730.0662000000002"/>
  </r>
  <r>
    <n v="3245"/>
    <s v="Gregory"/>
    <s v="Daugherty"/>
    <s v="Sneakers"/>
    <n v="0"/>
    <n v="2865.0331000000001"/>
    <n v="0.63247058823529401"/>
    <n v="0"/>
    <d v="2023-12-22T00:00:00"/>
    <x v="5"/>
    <x v="2"/>
    <n v="1403.98"/>
    <s v="NEGATIVE SALES"/>
    <n v="0"/>
  </r>
  <r>
    <n v="3246"/>
    <s v="Brenda"/>
    <s v="Rodriguez"/>
    <s v="Boyfriend Jeans"/>
    <n v="0"/>
    <n v="4842.74"/>
    <n v="0.63247058823529401"/>
    <n v="0"/>
    <d v="2023-12-22T00:00:00"/>
    <x v="4"/>
    <x v="1"/>
    <n v="2628.24"/>
    <s v="NEGATIVE SALES"/>
    <n v="0"/>
  </r>
  <r>
    <n v="3247"/>
    <s v="Pamela"/>
    <s v="Wolf"/>
    <s v="Casual Midi"/>
    <n v="0"/>
    <n v="2865.0331000000001"/>
    <n v="0.63247058823529401"/>
    <n v="0"/>
    <d v="2024-12-05T00:00:00"/>
    <x v="0"/>
    <x v="2"/>
    <n v="2182.4899999999998"/>
    <s v="NEGATIVE SALES"/>
    <n v="0"/>
  </r>
  <r>
    <n v="3248"/>
    <s v="Angela"/>
    <s v="Leon"/>
    <s v="Casual Midi"/>
    <n v="0"/>
    <n v="2061.91"/>
    <n v="0.63247058823529401"/>
    <n v="0"/>
    <d v="2025-05-23T00:00:00"/>
    <x v="1"/>
    <x v="1"/>
    <n v="-729.1"/>
    <s v="NEGATIVE SALES"/>
    <n v="0"/>
  </r>
  <r>
    <n v="3249"/>
    <s v="Jeffery"/>
    <s v="Hubbard"/>
    <s v="Crop Top"/>
    <n v="0"/>
    <n v="2849.337"/>
    <n v="0.63247058823529401"/>
    <n v="0"/>
    <d v="2025-05-23T00:00:00"/>
    <x v="0"/>
    <x v="1"/>
    <n v="1787.82"/>
    <s v="NEGATIVE SALES"/>
    <n v="0"/>
  </r>
  <r>
    <n v="3250"/>
    <s v="Dawn"/>
    <s v="Barrett"/>
    <s v="Crop Top"/>
    <n v="0"/>
    <n v="2855.6363999999999"/>
    <n v="0.63247058823529401"/>
    <n v="0"/>
    <d v="2025-05-23T00:00:00"/>
    <x v="3"/>
    <x v="1"/>
    <n v="2200.6"/>
    <s v="NEGATIVE SALES"/>
    <n v="0"/>
  </r>
  <r>
    <n v="3251"/>
    <s v="Evelyn"/>
    <s v="Mckenzie"/>
    <s v="Maxi Dress"/>
    <n v="0"/>
    <n v="2855.6363999999999"/>
    <n v="0.63247058823529401"/>
    <n v="0"/>
    <d v="2025-01-15T00:00:00"/>
    <x v="0"/>
    <x v="0"/>
    <n v="2977.81"/>
    <s v="NEGATIVE SALES"/>
    <n v="0"/>
  </r>
  <r>
    <n v="3252"/>
    <s v="Michelle"/>
    <s v="Smith"/>
    <s v="Slip-Ons"/>
    <n v="0"/>
    <n v="2855.6363999999999"/>
    <n v="0.63247058823529401"/>
    <n v="0"/>
    <d v="2025-02-12T00:00:00"/>
    <x v="1"/>
    <x v="2"/>
    <n v="-544.70000000000005"/>
    <s v="NEGATIVE SALES"/>
    <n v="0"/>
  </r>
  <r>
    <n v="3253"/>
    <s v="Anita"/>
    <s v="Ramirez"/>
    <s v="Bomber Jacket"/>
    <n v="5"/>
    <n v="4429.95"/>
    <n v="0.35"/>
    <n v="14397.34"/>
    <d v="2025-03-11T00:00:00"/>
    <x v="5"/>
    <x v="1"/>
    <n v="-746.94"/>
    <s v="POSITIVE SALES"/>
    <n v="22149.75"/>
  </r>
  <r>
    <n v="3254"/>
    <s v="Donna"/>
    <s v="Terry"/>
    <s v="Bomber Jacket"/>
    <n v="-2"/>
    <n v="2855.6363999999999"/>
    <n v="1.02"/>
    <n v="0"/>
    <d v="2025-06-07T00:00:00"/>
    <x v="4"/>
    <x v="0"/>
    <n v="2285.19"/>
    <s v="NEGATIVE SALES"/>
    <n v="-5711.2727999999997"/>
  </r>
  <r>
    <n v="3255"/>
    <s v="George"/>
    <s v="Gonzales"/>
    <s v="Watches"/>
    <n v="6"/>
    <n v="3904.86"/>
    <n v="0.63120481927710803"/>
    <n v="0"/>
    <d v="2024-12-04T00:00:00"/>
    <x v="2"/>
    <x v="0"/>
    <n v="1504.25"/>
    <s v="NEGATIVE SALES"/>
    <n v="23429.16"/>
  </r>
  <r>
    <n v="3256"/>
    <s v="Samantha"/>
    <s v="Mora"/>
    <s v="Crop Top"/>
    <n v="2"/>
    <n v="2842.9403000000002"/>
    <n v="0.63120481927710803"/>
    <n v="0"/>
    <d v="2025-07-22T00:00:00"/>
    <x v="2"/>
    <x v="2"/>
    <n v="298.94"/>
    <s v="NEGATIVE SALES"/>
    <n v="5685.8806000000004"/>
  </r>
  <r>
    <n v="3257"/>
    <s v="Nicholas"/>
    <s v="Lee"/>
    <s v="Graphic Tee"/>
    <n v="-2"/>
    <n v="2834.3067999999998"/>
    <n v="0.63120481927710803"/>
    <n v="0"/>
    <d v="2025-03-18T00:00:00"/>
    <x v="5"/>
    <x v="2"/>
    <n v="-271.48"/>
    <s v="NEGATIVE SALES"/>
    <n v="-5668.6135999999997"/>
  </r>
  <r>
    <n v="3258"/>
    <s v="Max"/>
    <s v="Everett"/>
    <s v="Loafers"/>
    <n v="0"/>
    <n v="2834.3067999999998"/>
    <n v="0.63120481927710803"/>
    <n v="0"/>
    <d v="2025-03-06T00:00:00"/>
    <x v="1"/>
    <x v="2"/>
    <n v="682.17"/>
    <s v="NEGATIVE SALES"/>
    <n v="0"/>
  </r>
  <r>
    <n v="3259"/>
    <s v="Crystal"/>
    <s v="Thomas"/>
    <s v="Boots"/>
    <n v="0"/>
    <n v="2834.3067999999998"/>
    <n v="0.63120481927710803"/>
    <n v="0"/>
    <d v="2025-04-19T00:00:00"/>
    <x v="2"/>
    <x v="2"/>
    <n v="2448.2199999999998"/>
    <s v="NEGATIVE SALES"/>
    <n v="0"/>
  </r>
  <r>
    <n v="3261"/>
    <s v="Henry"/>
    <s v="Bryan"/>
    <s v="Denim Jacket"/>
    <n v="-1"/>
    <n v="2834.3067999999998"/>
    <n v="0.63073170731707295"/>
    <n v="0"/>
    <d v="2025-05-12T00:00:00"/>
    <x v="4"/>
    <x v="0"/>
    <n v="-602.39"/>
    <s v="NEGATIVE SALES"/>
    <n v="-2834.3067999999998"/>
  </r>
  <r>
    <n v="3262"/>
    <s v="Melanie"/>
    <s v="Wolf"/>
    <s v="Caps"/>
    <n v="0"/>
    <n v="3727.53"/>
    <n v="0.63073170731707295"/>
    <n v="0"/>
    <d v="2025-05-12T00:00:00"/>
    <x v="1"/>
    <x v="1"/>
    <n v="29.62"/>
    <s v="NEGATIVE SALES"/>
    <n v="0"/>
  </r>
  <r>
    <n v="3263"/>
    <s v="Tammy"/>
    <s v="Hatfield"/>
    <s v="Sneakers"/>
    <n v="6"/>
    <n v="3121.49"/>
    <n v="0.63073170731707295"/>
    <n v="0"/>
    <d v="2025-01-21T00:00:00"/>
    <x v="3"/>
    <x v="2"/>
    <n v="1156.27"/>
    <s v="NEGATIVE SALES"/>
    <n v="18728.939999999999"/>
  </r>
  <r>
    <n v="3264"/>
    <s v="Erin"/>
    <s v="Beck"/>
    <s v="Wrap Dress"/>
    <n v="0"/>
    <n v="944.36"/>
    <n v="7.0000000000000007E-2"/>
    <n v="0"/>
    <d v="2025-06-23T00:00:00"/>
    <x v="5"/>
    <x v="1"/>
    <n v="1133.74"/>
    <s v="NEGATIVE SALES"/>
    <n v="0"/>
  </r>
  <r>
    <n v="3265"/>
    <s v="Sandra"/>
    <s v="Patrick"/>
    <s v="Leather Jacket"/>
    <n v="-1"/>
    <n v="1882.93"/>
    <n v="0.63765432098765396"/>
    <n v="0"/>
    <d v="2025-06-27T00:00:00"/>
    <x v="3"/>
    <x v="2"/>
    <n v="520.85"/>
    <s v="NEGATIVE SALES"/>
    <n v="-1882.93"/>
  </r>
  <r>
    <n v="3266"/>
    <s v="Alan"/>
    <s v="Hall"/>
    <s v="Classic Tee"/>
    <n v="0"/>
    <n v="3349.58"/>
    <n v="0.63765432098765396"/>
    <n v="0"/>
    <d v="2025-06-27T00:00:00"/>
    <x v="2"/>
    <x v="2"/>
    <n v="1085.2"/>
    <s v="NEGATIVE SALES"/>
    <n v="0"/>
  </r>
  <r>
    <n v="3267"/>
    <s v="Cathy"/>
    <s v="Zamora"/>
    <s v="Maxi Dress"/>
    <n v="1"/>
    <n v="3965.8"/>
    <n v="0.48"/>
    <n v="2062.2199999999998"/>
    <d v="2024-10-22T00:00:00"/>
    <x v="3"/>
    <x v="2"/>
    <n v="1222.8499999999999"/>
    <s v="POSITIVE SALES"/>
    <n v="3965.8"/>
  </r>
  <r>
    <n v="3269"/>
    <s v="Lindsay"/>
    <s v="Harris"/>
    <s v="Crop Top"/>
    <n v="0"/>
    <n v="2998.25"/>
    <n v="1.19"/>
    <n v="0"/>
    <d v="2024-03-29T00:00:00"/>
    <x v="1"/>
    <x v="1"/>
    <n v="-781.65"/>
    <s v="NEGATIVE SALES"/>
    <n v="0"/>
  </r>
  <r>
    <n v="3270"/>
    <s v="Richard"/>
    <s v="Gregory"/>
    <s v="Oversized T-Shirt"/>
    <n v="3"/>
    <n v="3190.74"/>
    <n v="0.96"/>
    <n v="382.89"/>
    <d v="2024-03-29T00:00:00"/>
    <x v="1"/>
    <x v="1"/>
    <n v="2195.96"/>
    <s v="POSITIVE SALES"/>
    <n v="9572.2199999999993"/>
  </r>
  <r>
    <n v="3271"/>
    <s v="Matthew"/>
    <s v="Ortega"/>
    <s v="Watches"/>
    <n v="0"/>
    <n v="2672.26"/>
    <n v="0.28999999999999998"/>
    <n v="0"/>
    <d v="2025-01-05T00:00:00"/>
    <x v="1"/>
    <x v="0"/>
    <n v="722.57"/>
    <s v="NEGATIVE SALES"/>
    <n v="0"/>
  </r>
  <r>
    <n v="3272"/>
    <s v="Christopher"/>
    <s v="Davis"/>
    <s v="Boots"/>
    <n v="3"/>
    <n v="4236.45"/>
    <n v="0.63285714285714301"/>
    <n v="0"/>
    <d v="2024-08-27T00:00:00"/>
    <x v="2"/>
    <x v="0"/>
    <n v="-849.83"/>
    <s v="NEGATIVE SALES"/>
    <n v="12709.35"/>
  </r>
  <r>
    <n v="3273"/>
    <s v="Leslie"/>
    <s v="Clark"/>
    <s v="Boots"/>
    <n v="0"/>
    <n v="4089.68"/>
    <n v="0.63285714285714301"/>
    <n v="0"/>
    <d v="2024-08-12T00:00:00"/>
    <x v="3"/>
    <x v="2"/>
    <n v="-713.14"/>
    <s v="NEGATIVE SALES"/>
    <n v="0"/>
  </r>
  <r>
    <n v="3274"/>
    <s v="Nathan"/>
    <s v="Maynard"/>
    <s v="Casual Midi"/>
    <n v="-2"/>
    <n v="4409.22"/>
    <n v="0.63285714285714301"/>
    <n v="0"/>
    <d v="2024-08-30T00:00:00"/>
    <x v="0"/>
    <x v="0"/>
    <n v="2886.62"/>
    <s v="NEGATIVE SALES"/>
    <n v="-8818.44"/>
  </r>
  <r>
    <n v="3275"/>
    <s v="Stacie"/>
    <s v="Duncan"/>
    <s v="Watches"/>
    <n v="6"/>
    <n v="2824.3245999999999"/>
    <n v="0.63285714285714301"/>
    <n v="0"/>
    <d v="2024-08-16T00:00:00"/>
    <x v="1"/>
    <x v="0"/>
    <n v="-733.06"/>
    <s v="NEGATIVE SALES"/>
    <n v="16945.9476"/>
  </r>
  <r>
    <n v="3276"/>
    <s v="Hannah"/>
    <s v="Nguyen"/>
    <s v="Oversized T-Shirt"/>
    <n v="6"/>
    <n v="2809.9164999999998"/>
    <n v="0.63285714285714301"/>
    <n v="0"/>
    <d v="2025-01-07T00:00:00"/>
    <x v="4"/>
    <x v="0"/>
    <n v="-659.65"/>
    <s v="NEGATIVE SALES"/>
    <n v="16859.499"/>
  </r>
  <r>
    <n v="3277"/>
    <s v="Keith"/>
    <s v="Jones"/>
    <s v="Denim Jacket"/>
    <n v="0"/>
    <n v="3583.06"/>
    <n v="0.63285714285714301"/>
    <n v="0"/>
    <d v="2025-01-07T00:00:00"/>
    <x v="1"/>
    <x v="0"/>
    <n v="2185.25"/>
    <s v="NEGATIVE SALES"/>
    <n v="0"/>
  </r>
  <r>
    <n v="3278"/>
    <s v="Barbara"/>
    <s v="Gutierrez"/>
    <s v="Belts"/>
    <n v="0"/>
    <n v="3767.69"/>
    <n v="0.46"/>
    <n v="0"/>
    <d v="2024-09-21T00:00:00"/>
    <x v="3"/>
    <x v="0"/>
    <n v="746.84"/>
    <s v="NEGATIVE SALES"/>
    <n v="0"/>
  </r>
  <r>
    <n v="3279"/>
    <s v="Christine"/>
    <s v="Burns"/>
    <s v="Watches"/>
    <n v="0"/>
    <n v="4643.96"/>
    <n v="0.82"/>
    <n v="0"/>
    <d v="2024-09-18T00:00:00"/>
    <x v="3"/>
    <x v="0"/>
    <n v="2569.86"/>
    <s v="NEGATIVE SALES"/>
    <n v="0"/>
  </r>
  <r>
    <n v="3280"/>
    <s v="Courtney"/>
    <s v="Munoz"/>
    <s v="Wrap Dress"/>
    <n v="0"/>
    <n v="2793.8894"/>
    <n v="0.63266666666666704"/>
    <n v="0"/>
    <d v="2023-10-12T00:00:00"/>
    <x v="5"/>
    <x v="1"/>
    <n v="601.65"/>
    <s v="NEGATIVE SALES"/>
    <n v="0"/>
  </r>
  <r>
    <n v="3281"/>
    <s v="Jason"/>
    <s v="Bradley"/>
    <s v="Bomber Jacket"/>
    <n v="0"/>
    <n v="2776.5990999999999"/>
    <n v="0.23"/>
    <n v="0"/>
    <d v="2024-04-05T00:00:00"/>
    <x v="3"/>
    <x v="1"/>
    <n v="1469.72"/>
    <s v="NEGATIVE SALES"/>
    <n v="0"/>
  </r>
  <r>
    <n v="3282"/>
    <s v="Nicholas"/>
    <s v="Cox"/>
    <s v="Ripped Denim"/>
    <n v="2"/>
    <n v="4405.96"/>
    <n v="0.28000000000000003"/>
    <n v="6344.58"/>
    <d v="2024-08-24T00:00:00"/>
    <x v="3"/>
    <x v="2"/>
    <n v="503.27"/>
    <s v="POSITIVE SALES"/>
    <n v="8811.92"/>
  </r>
  <r>
    <n v="3283"/>
    <s v="Emily"/>
    <s v="Sosa"/>
    <s v="Casual Midi"/>
    <n v="3"/>
    <n v="2776.5990999999999"/>
    <n v="0.64301369863013702"/>
    <n v="0"/>
    <d v="2024-08-24T00:00:00"/>
    <x v="2"/>
    <x v="0"/>
    <n v="1653.09"/>
    <s v="NEGATIVE SALES"/>
    <n v="8329.7973000000002"/>
  </r>
  <r>
    <n v="3284"/>
    <s v="Daniel"/>
    <s v="Mullins"/>
    <s v="Sunglasses"/>
    <n v="2"/>
    <n v="2761.2276999999999"/>
    <n v="0.64301369863013702"/>
    <n v="0"/>
    <d v="2025-03-19T00:00:00"/>
    <x v="0"/>
    <x v="0"/>
    <n v="1560.64"/>
    <s v="NEGATIVE SALES"/>
    <n v="5522.4553999999998"/>
  </r>
  <r>
    <n v="3285"/>
    <s v="Jessica"/>
    <s v="Villa"/>
    <s v="Graphic Tee"/>
    <n v="0"/>
    <n v="4347.43"/>
    <n v="0.64301369863013702"/>
    <n v="0"/>
    <d v="2025-02-21T00:00:00"/>
    <x v="0"/>
    <x v="1"/>
    <n v="1440.27"/>
    <s v="NEGATIVE SALES"/>
    <n v="0"/>
  </r>
  <r>
    <n v="3286"/>
    <s v="Benjamin"/>
    <s v="Jenkins"/>
    <s v="Denim Jacket"/>
    <n v="-2"/>
    <n v="2761.2276999999999"/>
    <n v="0.64301369863013702"/>
    <n v="0"/>
    <d v="2025-07-14T00:00:00"/>
    <x v="5"/>
    <x v="1"/>
    <n v="2616.2800000000002"/>
    <s v="NEGATIVE SALES"/>
    <n v="-5522.4553999999998"/>
  </r>
  <r>
    <n v="3287"/>
    <s v="Jennifer"/>
    <s v="Johnson"/>
    <s v="Leather Jacket"/>
    <n v="0"/>
    <n v="2746.1210000000001"/>
    <n v="0.21"/>
    <n v="0"/>
    <d v="2025-02-25T00:00:00"/>
    <x v="3"/>
    <x v="0"/>
    <n v="1684.69"/>
    <s v="NEGATIVE SALES"/>
    <n v="0"/>
  </r>
  <r>
    <n v="3288"/>
    <s v="Amanda"/>
    <s v="Simmons"/>
    <s v="Bomber Jacket"/>
    <n v="5"/>
    <n v="2746.1210000000001"/>
    <n v="0.64902777777777798"/>
    <n v="0"/>
    <d v="2025-02-25T00:00:00"/>
    <x v="3"/>
    <x v="0"/>
    <n v="1657.65"/>
    <s v="NEGATIVE SALES"/>
    <n v="13730.605"/>
  </r>
  <r>
    <n v="3289"/>
    <s v="Kevin"/>
    <s v="Carson"/>
    <s v="Sunglasses"/>
    <n v="0"/>
    <n v="2746.1210000000001"/>
    <n v="1.08"/>
    <n v="0"/>
    <d v="2025-02-25T00:00:00"/>
    <x v="1"/>
    <x v="2"/>
    <n v="-272.83999999999997"/>
    <s v="NEGATIVE SALES"/>
    <n v="0"/>
  </r>
  <r>
    <n v="3290"/>
    <s v="Lauren"/>
    <s v="Cook"/>
    <s v="Puffer Coat"/>
    <n v="0"/>
    <n v="2746.1210000000001"/>
    <n v="0.64295774647887305"/>
    <n v="0"/>
    <d v="2025-06-20T00:00:00"/>
    <x v="4"/>
    <x v="2"/>
    <n v="1001.31"/>
    <s v="NEGATIVE SALES"/>
    <n v="0"/>
  </r>
  <r>
    <n v="3291"/>
    <s v="Wendy"/>
    <s v="Coleman"/>
    <s v="Belts"/>
    <n v="3"/>
    <n v="2746.1210000000001"/>
    <n v="0.27"/>
    <n v="0"/>
    <d v="2024-11-29T00:00:00"/>
    <x v="0"/>
    <x v="0"/>
    <n v="1907.94"/>
    <s v="NEGATIVE SALES"/>
    <n v="8238.3629999999994"/>
  </r>
  <r>
    <n v="3292"/>
    <s v="Jessica"/>
    <s v="Bradley"/>
    <s v="Oversized T-Shirt"/>
    <n v="0"/>
    <n v="2746.1210000000001"/>
    <n v="0.5"/>
    <n v="0"/>
    <d v="2024-03-27T00:00:00"/>
    <x v="5"/>
    <x v="2"/>
    <n v="-774.38"/>
    <s v="NEGATIVE SALES"/>
    <n v="0"/>
  </r>
  <r>
    <n v="3294"/>
    <s v="Gregory"/>
    <s v="Mitchell"/>
    <s v="Oversized T-Shirt"/>
    <n v="4"/>
    <n v="1316.9"/>
    <n v="0.11"/>
    <n v="4688.16"/>
    <d v="2024-09-15T00:00:00"/>
    <x v="0"/>
    <x v="0"/>
    <n v="2743.65"/>
    <s v="POSITIVE SALES"/>
    <n v="5267.6"/>
  </r>
  <r>
    <n v="3295"/>
    <s v="Justin"/>
    <s v="Frye"/>
    <s v="Crop Top"/>
    <n v="0"/>
    <n v="2746.1210000000001"/>
    <n v="0.65358208955223895"/>
    <n v="0"/>
    <d v="2024-09-15T00:00:00"/>
    <x v="5"/>
    <x v="1"/>
    <n v="-623.54999999999995"/>
    <s v="NEGATIVE SALES"/>
    <n v="0"/>
  </r>
  <r>
    <n v="3297"/>
    <s v="George"/>
    <s v="Macdonald"/>
    <s v="Slip-Ons"/>
    <n v="0"/>
    <n v="2759.8636000000001"/>
    <n v="0.65757575757575804"/>
    <n v="0"/>
    <d v="2025-01-21T00:00:00"/>
    <x v="0"/>
    <x v="0"/>
    <n v="1746.36"/>
    <s v="NEGATIVE SALES"/>
    <n v="0"/>
  </r>
  <r>
    <n v="3298"/>
    <s v="Christopher"/>
    <s v="Gordon"/>
    <s v="Belts"/>
    <n v="1"/>
    <n v="2124.13"/>
    <n v="0.85"/>
    <n v="318.62"/>
    <d v="2024-08-03T00:00:00"/>
    <x v="5"/>
    <x v="1"/>
    <n v="1126.81"/>
    <s v="POSITIVE SALES"/>
    <n v="2124.13"/>
  </r>
  <r>
    <n v="3299"/>
    <s v="Kristen"/>
    <s v="Alexander"/>
    <s v="Leather Jacket"/>
    <n v="-1"/>
    <n v="4090.34"/>
    <n v="0.99"/>
    <n v="-40.9"/>
    <d v="2025-06-01T00:00:00"/>
    <x v="2"/>
    <x v="2"/>
    <n v="1676.64"/>
    <s v="NEGATIVE SALES"/>
    <n v="-4090.34"/>
  </r>
  <r>
    <n v="3300"/>
    <s v="Debbie"/>
    <s v="Cross"/>
    <s v="Sunglasses"/>
    <n v="5"/>
    <n v="2766.0356999999999"/>
    <n v="1.06"/>
    <n v="0"/>
    <d v="2025-06-01T00:00:00"/>
    <x v="3"/>
    <x v="0"/>
    <n v="525.1"/>
    <s v="NEGATIVE SALES"/>
    <n v="13830.1785"/>
  </r>
  <r>
    <n v="3301"/>
    <s v="Holly"/>
    <s v="Lopez"/>
    <s v="Graphic Tee"/>
    <n v="5"/>
    <n v="2590.44"/>
    <n v="0.64285714285714302"/>
    <n v="0"/>
    <d v="2024-08-10T00:00:00"/>
    <x v="5"/>
    <x v="1"/>
    <n v="-613.96"/>
    <s v="NEGATIVE SALES"/>
    <n v="12952.2"/>
  </r>
  <r>
    <n v="3302"/>
    <s v="Leslie"/>
    <s v="Castro"/>
    <s v="Straight Cut"/>
    <n v="3"/>
    <n v="2753.0524"/>
    <n v="0.64285714285714302"/>
    <n v="0"/>
    <d v="2025-05-27T00:00:00"/>
    <x v="0"/>
    <x v="2"/>
    <n v="2938.26"/>
    <s v="NEGATIVE SALES"/>
    <n v="8259.1571999999996"/>
  </r>
  <r>
    <n v="3303"/>
    <s v="Joshua"/>
    <s v="Carter"/>
    <s v="Slip-Ons"/>
    <n v="0"/>
    <n v="2754.6624000000002"/>
    <n v="0.64285714285714302"/>
    <n v="0"/>
    <d v="2024-11-26T00:00:00"/>
    <x v="5"/>
    <x v="1"/>
    <n v="295.89"/>
    <s v="NEGATIVE SALES"/>
    <n v="0"/>
  </r>
  <r>
    <n v="3304"/>
    <s v="Cheyenne"/>
    <s v="Benson"/>
    <s v="Watches"/>
    <n v="0"/>
    <n v="4452.04"/>
    <n v="0.64285714285714302"/>
    <n v="0"/>
    <d v="2024-03-27T00:00:00"/>
    <x v="3"/>
    <x v="0"/>
    <n v="2932.37"/>
    <s v="NEGATIVE SALES"/>
    <n v="0"/>
  </r>
  <r>
    <n v="3305"/>
    <s v="Allison"/>
    <s v="Hill"/>
    <s v="Boyfriend Jeans"/>
    <n v="0"/>
    <n v="2754.6624000000002"/>
    <n v="0.64285714285714302"/>
    <n v="0"/>
    <d v="2024-11-27T00:00:00"/>
    <x v="2"/>
    <x v="0"/>
    <n v="1362.42"/>
    <s v="NEGATIVE SALES"/>
    <n v="0"/>
  </r>
  <r>
    <n v="3306"/>
    <s v="John"/>
    <s v="Davis"/>
    <s v="Oversized T-Shirt"/>
    <n v="0"/>
    <n v="4536.09"/>
    <n v="0.64285714285714302"/>
    <n v="0"/>
    <d v="2024-11-27T00:00:00"/>
    <x v="5"/>
    <x v="1"/>
    <n v="1015.71"/>
    <s v="NEGATIVE SALES"/>
    <n v="0"/>
  </r>
  <r>
    <n v="3307"/>
    <s v="Cynthia"/>
    <s v="Fisher"/>
    <s v="Sunglasses"/>
    <n v="0"/>
    <n v="3896.07"/>
    <n v="0.64285714285714302"/>
    <n v="0"/>
    <d v="2025-03-29T00:00:00"/>
    <x v="4"/>
    <x v="0"/>
    <n v="409.14"/>
    <s v="NEGATIVE SALES"/>
    <n v="0"/>
  </r>
  <r>
    <n v="3308"/>
    <s v="Carolyn"/>
    <s v="Mitchell"/>
    <s v="Denim Jacket"/>
    <n v="0"/>
    <n v="2719.5228999999999"/>
    <n v="0.64285714285714302"/>
    <n v="0"/>
    <d v="2024-01-13T00:00:00"/>
    <x v="1"/>
    <x v="0"/>
    <n v="1711.84"/>
    <s v="NEGATIVE SALES"/>
    <n v="0"/>
  </r>
  <r>
    <n v="3309"/>
    <s v="Katrina"/>
    <s v="Pugh"/>
    <s v="Casual Midi"/>
    <n v="-2"/>
    <n v="3944.46"/>
    <n v="0.64285714285714302"/>
    <n v="0"/>
    <d v="2023-10-02T00:00:00"/>
    <x v="1"/>
    <x v="0"/>
    <n v="1392.37"/>
    <s v="NEGATIVE SALES"/>
    <n v="-7888.92"/>
  </r>
  <r>
    <n v="3310"/>
    <s v="Marissa"/>
    <s v="Howard"/>
    <s v="Wrap Dress"/>
    <n v="0"/>
    <n v="2707.5173"/>
    <n v="0.64285714285714302"/>
    <n v="0"/>
    <d v="2023-08-25T00:00:00"/>
    <x v="4"/>
    <x v="0"/>
    <n v="463.6"/>
    <s v="NEGATIVE SALES"/>
    <n v="0"/>
  </r>
  <r>
    <n v="3311"/>
    <s v="Amanda"/>
    <s v="Dixon"/>
    <s v="Maxi Dress"/>
    <n v="-1"/>
    <n v="3108.69"/>
    <n v="0.64285714285714302"/>
    <n v="0"/>
    <d v="2024-04-06T00:00:00"/>
    <x v="0"/>
    <x v="1"/>
    <n v="2986.53"/>
    <s v="NEGATIVE SALES"/>
    <n v="-3108.69"/>
  </r>
  <r>
    <n v="3312"/>
    <s v="Sarah"/>
    <s v="Bradley"/>
    <s v="Classic Tee"/>
    <n v="2"/>
    <n v="4878.8100000000004"/>
    <n v="0.64285714285714302"/>
    <n v="0"/>
    <d v="2024-09-02T00:00:00"/>
    <x v="3"/>
    <x v="1"/>
    <n v="327.38"/>
    <s v="NEGATIVE SALES"/>
    <n v="9757.6200000000008"/>
  </r>
  <r>
    <n v="3313"/>
    <s v="Dylan"/>
    <s v="Price"/>
    <s v="Bodycon"/>
    <n v="5"/>
    <n v="2690.4535999999998"/>
    <n v="1.03"/>
    <n v="0"/>
    <d v="2024-10-01T00:00:00"/>
    <x v="3"/>
    <x v="1"/>
    <n v="2022.75"/>
    <s v="NEGATIVE SALES"/>
    <n v="13452.268"/>
  </r>
  <r>
    <n v="3314"/>
    <s v="Kevin"/>
    <s v="Walker"/>
    <s v="Denim Jacket"/>
    <n v="0"/>
    <n v="2537.59"/>
    <n v="0.63661290322580599"/>
    <n v="0"/>
    <d v="2024-09-26T00:00:00"/>
    <x v="4"/>
    <x v="2"/>
    <n v="2708.81"/>
    <s v="NEGATIVE SALES"/>
    <n v="0"/>
  </r>
  <r>
    <n v="3315"/>
    <s v="Caitlin"/>
    <s v="Baker"/>
    <s v="Bodycon"/>
    <n v="4"/>
    <n v="2667.4182999999998"/>
    <n v="0.63661290322580599"/>
    <n v="0"/>
    <d v="2024-09-26T00:00:00"/>
    <x v="5"/>
    <x v="0"/>
    <n v="2293.04"/>
    <s v="NEGATIVE SALES"/>
    <n v="10669.673199999999"/>
  </r>
  <r>
    <n v="3316"/>
    <s v="Cassandra"/>
    <s v="Gill"/>
    <s v="Slim Fit Jeans"/>
    <n v="0"/>
    <n v="2668.7995000000001"/>
    <n v="0.63661290322580599"/>
    <n v="0"/>
    <d v="2025-05-31T00:00:00"/>
    <x v="2"/>
    <x v="0"/>
    <n v="1628.03"/>
    <s v="NEGATIVE SALES"/>
    <n v="0"/>
  </r>
  <r>
    <n v="3317"/>
    <s v="Joy"/>
    <s v="Hester"/>
    <s v="Leather Jacket"/>
    <n v="0"/>
    <n v="2140.2199999999998"/>
    <n v="0.63661290322580599"/>
    <n v="0"/>
    <d v="2024-11-02T00:00:00"/>
    <x v="1"/>
    <x v="2"/>
    <n v="-415.92"/>
    <s v="NEGATIVE SALES"/>
    <n v="0"/>
  </r>
  <r>
    <n v="3318"/>
    <s v="James"/>
    <s v="Cooper"/>
    <s v="Watches"/>
    <n v="0"/>
    <n v="2912.6"/>
    <n v="0.63661290322580599"/>
    <n v="0"/>
    <d v="2025-03-29T00:00:00"/>
    <x v="0"/>
    <x v="1"/>
    <n v="1847.45"/>
    <s v="NEGATIVE SALES"/>
    <n v="0"/>
  </r>
  <r>
    <n v="3319"/>
    <s v="Christopher"/>
    <s v="Bell"/>
    <s v="Loafers"/>
    <n v="0"/>
    <n v="2674.4830999999999"/>
    <n v="0.63661290322580599"/>
    <n v="0"/>
    <d v="2023-12-24T00:00:00"/>
    <x v="1"/>
    <x v="1"/>
    <n v="1419.51"/>
    <s v="NEGATIVE SALES"/>
    <n v="0"/>
  </r>
  <r>
    <n v="3320"/>
    <s v="Erin"/>
    <s v="Rodriguez"/>
    <s v="Slip-Ons"/>
    <n v="0"/>
    <n v="2671.8948999999998"/>
    <n v="0.63661290322580599"/>
    <n v="0"/>
    <d v="2024-10-14T00:00:00"/>
    <x v="4"/>
    <x v="1"/>
    <n v="-251.71"/>
    <s v="NEGATIVE SALES"/>
    <n v="0"/>
  </r>
  <r>
    <n v="3321"/>
    <s v="Hector"/>
    <s v="Morris"/>
    <s v="Bomber Jacket"/>
    <n v="5"/>
    <n v="1804.56"/>
    <n v="0.63661290322580599"/>
    <n v="0"/>
    <d v="2023-11-24T00:00:00"/>
    <x v="5"/>
    <x v="1"/>
    <n v="2534.37"/>
    <s v="NEGATIVE SALES"/>
    <n v="9022.7999999999993"/>
  </r>
  <r>
    <n v="3322"/>
    <s v="Regina"/>
    <s v="Wilson"/>
    <s v="Oversized T-Shirt"/>
    <n v="0"/>
    <n v="4480.24"/>
    <n v="0.63661290322580599"/>
    <n v="0"/>
    <d v="2024-09-09T00:00:00"/>
    <x v="0"/>
    <x v="0"/>
    <n v="397.15"/>
    <s v="NEGATIVE SALES"/>
    <n v="0"/>
  </r>
  <r>
    <n v="3323"/>
    <s v="Felicia"/>
    <s v="Young"/>
    <s v="Boots"/>
    <n v="3"/>
    <n v="4009.45"/>
    <n v="0.63661290322580599"/>
    <n v="0"/>
    <d v="2024-09-09T00:00:00"/>
    <x v="5"/>
    <x v="1"/>
    <n v="-495.81"/>
    <s v="NEGATIVE SALES"/>
    <n v="12028.35"/>
  </r>
  <r>
    <n v="3324"/>
    <s v="Rachel"/>
    <s v="Martin"/>
    <s v="Casual Midi"/>
    <n v="0"/>
    <n v="2661.4391999999998"/>
    <n v="0.51"/>
    <n v="0"/>
    <d v="2024-09-09T00:00:00"/>
    <x v="1"/>
    <x v="0"/>
    <n v="-214.24"/>
    <s v="NEGATIVE SALES"/>
    <n v="0"/>
  </r>
  <r>
    <n v="3325"/>
    <s v="John"/>
    <s v="Brown"/>
    <s v="Maxi Dress"/>
    <n v="6"/>
    <n v="2646.2930000000001"/>
    <n v="0.61"/>
    <n v="0"/>
    <d v="2025-06-25T00:00:00"/>
    <x v="3"/>
    <x v="1"/>
    <n v="686.84"/>
    <s v="NEGATIVE SALES"/>
    <n v="15877.758"/>
  </r>
  <r>
    <n v="3326"/>
    <s v="Shawn"/>
    <s v="Campbell"/>
    <s v="Boots"/>
    <n v="-2"/>
    <n v="3047.68"/>
    <n v="0.63916666666666699"/>
    <n v="0"/>
    <d v="2024-08-22T00:00:00"/>
    <x v="3"/>
    <x v="0"/>
    <n v="827.95"/>
    <s v="NEGATIVE SALES"/>
    <n v="-6095.36"/>
  </r>
  <r>
    <n v="3327"/>
    <s v="Andrew"/>
    <s v="Berger"/>
    <s v="Straight Cut"/>
    <n v="0"/>
    <n v="2646.2930000000001"/>
    <n v="0.96"/>
    <n v="0"/>
    <d v="2024-08-22T00:00:00"/>
    <x v="3"/>
    <x v="1"/>
    <n v="-361.79"/>
    <s v="NEGATIVE SALES"/>
    <n v="0"/>
  </r>
  <r>
    <n v="3328"/>
    <s v="Scott"/>
    <s v="Hernandez"/>
    <s v="Boyfriend Jeans"/>
    <n v="1"/>
    <n v="4390.32"/>
    <n v="0.63372881355932198"/>
    <n v="0"/>
    <d v="2025-03-17T00:00:00"/>
    <x v="3"/>
    <x v="1"/>
    <n v="2785.75"/>
    <s v="NEGATIVE SALES"/>
    <n v="4390.32"/>
  </r>
  <r>
    <n v="3329"/>
    <s v="Zachary"/>
    <s v="Price"/>
    <s v="Puffer Coat"/>
    <n v="0"/>
    <n v="2641.7318"/>
    <n v="0.63372881355932198"/>
    <n v="0"/>
    <d v="2024-05-28T00:00:00"/>
    <x v="0"/>
    <x v="0"/>
    <n v="1954.02"/>
    <s v="NEGATIVE SALES"/>
    <n v="0"/>
  </r>
  <r>
    <n v="3330"/>
    <s v="Adrian"/>
    <s v="Cross"/>
    <s v="Loafers"/>
    <n v="6"/>
    <n v="2217.9499999999998"/>
    <n v="0.63372881355932198"/>
    <n v="0"/>
    <d v="2025-06-18T00:00:00"/>
    <x v="5"/>
    <x v="1"/>
    <n v="146.52000000000001"/>
    <s v="NEGATIVE SALES"/>
    <n v="13307.7"/>
  </r>
  <r>
    <n v="3332"/>
    <s v="Mark"/>
    <s v="Peters"/>
    <s v="Loafers"/>
    <n v="5"/>
    <n v="1297.04"/>
    <n v="0.3"/>
    <n v="4539.6400000000003"/>
    <d v="2025-03-10T00:00:00"/>
    <x v="5"/>
    <x v="1"/>
    <n v="2887.23"/>
    <s v="POSITIVE SALES"/>
    <n v="6485.2"/>
  </r>
  <r>
    <n v="3333"/>
    <s v="Tanner"/>
    <s v="Gates"/>
    <s v="Leather Jacket"/>
    <n v="-2"/>
    <n v="2641.1694000000002"/>
    <n v="0.63824561403508795"/>
    <n v="0"/>
    <d v="2023-08-12T00:00:00"/>
    <x v="2"/>
    <x v="0"/>
    <n v="617.99"/>
    <s v="NEGATIVE SALES"/>
    <n v="-5282.3388000000004"/>
  </r>
  <r>
    <n v="3334"/>
    <s v="Steve"/>
    <s v="Gonzalez"/>
    <s v="Boyfriend Jeans"/>
    <n v="0"/>
    <n v="2657.1709999999998"/>
    <n v="0.63824561403508795"/>
    <n v="0"/>
    <d v="2025-06-14T00:00:00"/>
    <x v="5"/>
    <x v="2"/>
    <n v="-933.34"/>
    <s v="NEGATIVE SALES"/>
    <n v="0"/>
  </r>
  <r>
    <n v="3335"/>
    <s v="Hector"/>
    <s v="Brewer"/>
    <s v="Bomber Jacket"/>
    <n v="5"/>
    <n v="4289.91"/>
    <n v="1.23"/>
    <n v="-4933.3999999999996"/>
    <d v="2024-10-19T00:00:00"/>
    <x v="4"/>
    <x v="1"/>
    <n v="533.83000000000004"/>
    <s v="NEGATIVE SALES"/>
    <n v="21449.55"/>
  </r>
  <r>
    <n v="3336"/>
    <s v="Rebecca"/>
    <s v="Burnett"/>
    <s v="Denim Jacket"/>
    <n v="2"/>
    <n v="2657.1709999999998"/>
    <n v="0.62767857142857097"/>
    <n v="0"/>
    <d v="2025-06-18T00:00:00"/>
    <x v="1"/>
    <x v="1"/>
    <n v="1872.26"/>
    <s v="NEGATIVE SALES"/>
    <n v="5314.3419999999996"/>
  </r>
  <r>
    <n v="3338"/>
    <s v="Wesley"/>
    <s v="Walker"/>
    <s v="Wrap Dress"/>
    <n v="0"/>
    <n v="2637.4994000000002"/>
    <n v="0.06"/>
    <n v="0"/>
    <d v="2025-07-18T00:00:00"/>
    <x v="4"/>
    <x v="0"/>
    <n v="1067.6600000000001"/>
    <s v="NEGATIVE SALES"/>
    <n v="0"/>
  </r>
  <r>
    <n v="3339"/>
    <s v="Corey"/>
    <s v="Sanchez"/>
    <s v="Watches"/>
    <n v="0"/>
    <n v="2634.9340000000002"/>
    <n v="0.636851851851852"/>
    <n v="0"/>
    <d v="2024-03-16T00:00:00"/>
    <x v="0"/>
    <x v="0"/>
    <n v="-735.83"/>
    <s v="NEGATIVE SALES"/>
    <n v="0"/>
  </r>
  <r>
    <n v="3340"/>
    <s v="Christopher"/>
    <s v="Stone"/>
    <s v="Sneakers"/>
    <n v="6"/>
    <n v="3924.28"/>
    <n v="0.15"/>
    <n v="20013.830000000002"/>
    <d v="2024-08-28T00:00:00"/>
    <x v="3"/>
    <x v="1"/>
    <n v="-831.93"/>
    <s v="POSITIVE SALES"/>
    <n v="23545.68"/>
  </r>
  <r>
    <n v="3341"/>
    <s v="Ricky"/>
    <s v="Hudson"/>
    <s v="Watches"/>
    <n v="2"/>
    <n v="2080.09"/>
    <n v="0.64603773584905699"/>
    <n v="0"/>
    <d v="2024-08-28T00:00:00"/>
    <x v="5"/>
    <x v="1"/>
    <n v="1818.51"/>
    <s v="NEGATIVE SALES"/>
    <n v="4160.18"/>
  </r>
  <r>
    <n v="3342"/>
    <s v="April"/>
    <s v="Anderson"/>
    <s v="Loafers"/>
    <n v="2"/>
    <n v="2109.83"/>
    <n v="0.64603773584905699"/>
    <n v="0"/>
    <d v="2024-08-28T00:00:00"/>
    <x v="4"/>
    <x v="2"/>
    <n v="546.26"/>
    <s v="NEGATIVE SALES"/>
    <n v="4219.66"/>
  </r>
  <r>
    <n v="3343"/>
    <s v="Anthony"/>
    <s v="Patrick"/>
    <s v="Graphic Tee"/>
    <n v="0"/>
    <n v="3677.95"/>
    <n v="0.42"/>
    <n v="0"/>
    <d v="2025-02-25T00:00:00"/>
    <x v="2"/>
    <x v="0"/>
    <n v="958.93"/>
    <s v="NEGATIVE SALES"/>
    <n v="0"/>
  </r>
  <r>
    <n v="3344"/>
    <s v="Shelly"/>
    <s v="Garcia"/>
    <s v="Puffer Coat"/>
    <n v="0"/>
    <n v="2632.2833999999998"/>
    <n v="0.65038461538461501"/>
    <n v="0"/>
    <d v="2025-06-03T00:00:00"/>
    <x v="1"/>
    <x v="2"/>
    <n v="1933.51"/>
    <s v="NEGATIVE SALES"/>
    <n v="0"/>
  </r>
  <r>
    <n v="3345"/>
    <s v="Barbara"/>
    <s v="Moore"/>
    <s v="Wrap Dress"/>
    <n v="0"/>
    <n v="2618.8773999999999"/>
    <n v="0.65038461538461501"/>
    <n v="0"/>
    <d v="2025-01-22T00:00:00"/>
    <x v="3"/>
    <x v="1"/>
    <n v="461.25"/>
    <s v="NEGATIVE SALES"/>
    <n v="0"/>
  </r>
  <r>
    <n v="3346"/>
    <s v="Calvin"/>
    <s v="Wright"/>
    <s v="Sneakers"/>
    <n v="2"/>
    <n v="1266.23"/>
    <n v="0.81"/>
    <n v="481.17"/>
    <d v="2024-12-25T00:00:00"/>
    <x v="1"/>
    <x v="2"/>
    <n v="416.5"/>
    <s v="POSITIVE SALES"/>
    <n v="2532.46"/>
  </r>
  <r>
    <n v="3347"/>
    <s v="Alicia"/>
    <s v="White"/>
    <s v="Denim Jacket"/>
    <n v="0"/>
    <n v="3873.27"/>
    <n v="0.64725490196078395"/>
    <n v="0"/>
    <d v="2024-12-30T00:00:00"/>
    <x v="2"/>
    <x v="1"/>
    <n v="212.7"/>
    <s v="NEGATIVE SALES"/>
    <n v="0"/>
  </r>
  <r>
    <n v="3348"/>
    <s v="Patrick"/>
    <s v="Mendez"/>
    <s v="Leather Jacket"/>
    <n v="0"/>
    <n v="2636.4443000000001"/>
    <n v="0.98"/>
    <n v="0"/>
    <d v="2024-10-27T00:00:00"/>
    <x v="5"/>
    <x v="2"/>
    <n v="1023.68"/>
    <s v="NEGATIVE SALES"/>
    <n v="0"/>
  </r>
  <r>
    <n v="3349"/>
    <s v="Cindy"/>
    <s v="Webb"/>
    <s v="Bomber Jacket"/>
    <n v="0"/>
    <n v="1866.28"/>
    <n v="0.64059999999999995"/>
    <n v="0"/>
    <d v="2025-07-02T00:00:00"/>
    <x v="4"/>
    <x v="1"/>
    <n v="1605.37"/>
    <s v="NEGATIVE SALES"/>
    <n v="0"/>
  </r>
  <r>
    <n v="3350"/>
    <s v="Nicholas"/>
    <s v="Callahan"/>
    <s v="Slip-Ons"/>
    <n v="0"/>
    <n v="2620.1703000000002"/>
    <n v="0.64059999999999995"/>
    <n v="0"/>
    <d v="2024-02-15T00:00:00"/>
    <x v="2"/>
    <x v="0"/>
    <n v="14.57"/>
    <s v="NEGATIVE SALES"/>
    <n v="0"/>
  </r>
  <r>
    <n v="3351"/>
    <s v="Olivia"/>
    <s v="Knox"/>
    <s v="Boyfriend Jeans"/>
    <n v="0"/>
    <n v="2630.2221"/>
    <n v="0.56999999999999995"/>
    <n v="0"/>
    <d v="2024-11-24T00:00:00"/>
    <x v="4"/>
    <x v="0"/>
    <n v="211.03"/>
    <s v="NEGATIVE SALES"/>
    <n v="0"/>
  </r>
  <r>
    <n v="3352"/>
    <s v="Jonathan"/>
    <s v="Blake"/>
    <s v="Belts"/>
    <n v="0"/>
    <n v="2559.35"/>
    <n v="0.64204081632652998"/>
    <n v="0"/>
    <d v="2023-10-08T00:00:00"/>
    <x v="1"/>
    <x v="1"/>
    <n v="1386.39"/>
    <s v="NEGATIVE SALES"/>
    <n v="0"/>
  </r>
  <r>
    <n v="3353"/>
    <s v="David"/>
    <s v="Wilson"/>
    <s v="Leather Jacket"/>
    <n v="0"/>
    <n v="2630.2221"/>
    <n v="0.64204081632652998"/>
    <n v="0"/>
    <d v="2024-11-21T00:00:00"/>
    <x v="2"/>
    <x v="1"/>
    <n v="-766.44"/>
    <s v="NEGATIVE SALES"/>
    <n v="0"/>
  </r>
  <r>
    <n v="3354"/>
    <s v="Stephen"/>
    <s v="Jensen"/>
    <s v="Leather Jacket"/>
    <n v="0"/>
    <n v="2631.1799000000001"/>
    <n v="0.74"/>
    <n v="0"/>
    <d v="2025-04-17T00:00:00"/>
    <x v="2"/>
    <x v="1"/>
    <n v="2840.37"/>
    <s v="NEGATIVE SALES"/>
    <n v="0"/>
  </r>
  <r>
    <n v="3355"/>
    <s v="Diane"/>
    <s v="Powers"/>
    <s v="Belts"/>
    <n v="0"/>
    <n v="3111.18"/>
    <n v="0.03"/>
    <n v="0"/>
    <d v="2025-04-17T00:00:00"/>
    <x v="1"/>
    <x v="1"/>
    <n v="1851.74"/>
    <s v="NEGATIVE SALES"/>
    <n v="0"/>
  </r>
  <r>
    <n v="3356"/>
    <s v="Jill"/>
    <s v="Singh"/>
    <s v="Slip-Ons"/>
    <n v="1"/>
    <n v="966.41"/>
    <n v="0.652978723404255"/>
    <n v="0"/>
    <d v="2024-07-26T00:00:00"/>
    <x v="3"/>
    <x v="0"/>
    <n v="924.69"/>
    <s v="NEGATIVE SALES"/>
    <n v="966.41"/>
  </r>
  <r>
    <n v="3357"/>
    <s v="Rebecca"/>
    <s v="Mullins"/>
    <s v="Maxi Dress"/>
    <n v="0"/>
    <n v="4909.58"/>
    <n v="0.652978723404255"/>
    <n v="0"/>
    <d v="2023-10-14T00:00:00"/>
    <x v="4"/>
    <x v="1"/>
    <n v="-500.19"/>
    <s v="NEGATIVE SALES"/>
    <n v="0"/>
  </r>
  <r>
    <n v="3358"/>
    <s v="Sarah"/>
    <s v="Cruz"/>
    <s v="Wrap Dress"/>
    <n v="-2"/>
    <n v="2647.6350000000002"/>
    <n v="0.652978723404255"/>
    <n v="0"/>
    <d v="2024-11-22T00:00:00"/>
    <x v="0"/>
    <x v="0"/>
    <n v="1541.97"/>
    <s v="NEGATIVE SALES"/>
    <n v="-5295.27"/>
  </r>
  <r>
    <n v="3359"/>
    <s v="Suzanne"/>
    <s v="Medina"/>
    <s v="Maxi Dress"/>
    <n v="-2"/>
    <n v="1380.44"/>
    <n v="0.652978723404255"/>
    <n v="0"/>
    <d v="2024-11-22T00:00:00"/>
    <x v="2"/>
    <x v="2"/>
    <n v="-329.81"/>
    <s v="NEGATIVE SALES"/>
    <n v="-2760.88"/>
  </r>
  <r>
    <n v="3360"/>
    <s v="Sean"/>
    <s v="Pruitt"/>
    <s v="Slim Fit Jeans"/>
    <n v="5"/>
    <n v="2615.7766000000001"/>
    <n v="0.652978723404255"/>
    <n v="0"/>
    <d v="2025-02-11T00:00:00"/>
    <x v="5"/>
    <x v="2"/>
    <n v="2229.54"/>
    <s v="NEGATIVE SALES"/>
    <n v="13078.883"/>
  </r>
  <r>
    <n v="3361"/>
    <s v="Mark"/>
    <s v="Frazier"/>
    <s v="Caps"/>
    <n v="2"/>
    <n v="2633.4243000000001"/>
    <n v="0.652978723404255"/>
    <n v="0"/>
    <d v="2025-02-11T00:00:00"/>
    <x v="3"/>
    <x v="1"/>
    <n v="1648.42"/>
    <s v="NEGATIVE SALES"/>
    <n v="5266.8486000000003"/>
  </r>
  <r>
    <n v="3362"/>
    <s v="Linda"/>
    <s v="Simpson"/>
    <s v="Belts"/>
    <n v="2"/>
    <n v="2633.4243000000001"/>
    <n v="0.652978723404255"/>
    <n v="0"/>
    <d v="2025-05-25T00:00:00"/>
    <x v="5"/>
    <x v="1"/>
    <n v="1445.86"/>
    <s v="NEGATIVE SALES"/>
    <n v="5266.8486000000003"/>
  </r>
  <r>
    <n v="3363"/>
    <s v="Amanda"/>
    <s v="Mckenzie"/>
    <s v="Puffer Coat"/>
    <n v="0"/>
    <n v="3754.24"/>
    <n v="0.652978723404255"/>
    <n v="0"/>
    <d v="2025-05-25T00:00:00"/>
    <x v="0"/>
    <x v="2"/>
    <n v="461.46"/>
    <s v="NEGATIVE SALES"/>
    <n v="0"/>
  </r>
  <r>
    <n v="3364"/>
    <s v="Eric"/>
    <s v="Perry"/>
    <s v="Leather Jacket"/>
    <n v="0"/>
    <n v="2633.4243000000001"/>
    <n v="0.652978723404255"/>
    <n v="0"/>
    <d v="2025-07-08T00:00:00"/>
    <x v="1"/>
    <x v="1"/>
    <n v="-552.42999999999995"/>
    <s v="NEGATIVE SALES"/>
    <n v="0"/>
  </r>
  <r>
    <n v="3365"/>
    <s v="Dwayne"/>
    <s v="Hampton"/>
    <s v="Loafers"/>
    <n v="0"/>
    <n v="2414.9299999999998"/>
    <n v="0.652978723404255"/>
    <n v="0"/>
    <d v="2025-04-24T00:00:00"/>
    <x v="3"/>
    <x v="1"/>
    <n v="2493.6"/>
    <s v="NEGATIVE SALES"/>
    <n v="0"/>
  </r>
  <r>
    <n v="3366"/>
    <s v="Mary"/>
    <s v="Smith"/>
    <s v="Leather Jacket"/>
    <n v="5"/>
    <n v="636.53"/>
    <n v="0.652978723404255"/>
    <n v="0"/>
    <d v="2025-04-01T00:00:00"/>
    <x v="2"/>
    <x v="2"/>
    <n v="-513.44000000000005"/>
    <s v="NEGATIVE SALES"/>
    <n v="3182.65"/>
  </r>
  <r>
    <n v="3367"/>
    <s v="Monica"/>
    <s v="Young"/>
    <s v="Watches"/>
    <n v="0"/>
    <n v="4206.91"/>
    <n v="0.652978723404255"/>
    <n v="0"/>
    <d v="2024-07-20T00:00:00"/>
    <x v="3"/>
    <x v="0"/>
    <n v="818.99"/>
    <s v="NEGATIVE SALES"/>
    <n v="0"/>
  </r>
  <r>
    <n v="3368"/>
    <s v="Allison"/>
    <s v="Franklin"/>
    <s v="Sunglasses"/>
    <n v="4"/>
    <n v="2649.7611999999999"/>
    <n v="0.652978723404255"/>
    <n v="0"/>
    <d v="2024-07-20T00:00:00"/>
    <x v="1"/>
    <x v="1"/>
    <n v="-862.24"/>
    <s v="NEGATIVE SALES"/>
    <n v="10599.0448"/>
  </r>
  <r>
    <n v="3369"/>
    <s v="Luis"/>
    <s v="Gardner"/>
    <s v="Boyfriend Jeans"/>
    <n v="0"/>
    <n v="2626.1680000000001"/>
    <n v="0.652978723404255"/>
    <n v="0"/>
    <d v="2025-01-21T00:00:00"/>
    <x v="3"/>
    <x v="2"/>
    <n v="245.55"/>
    <s v="NEGATIVE SALES"/>
    <n v="0"/>
  </r>
  <r>
    <n v="3370"/>
    <s v="Christina"/>
    <s v="Odonnell"/>
    <s v="Denim Jacket"/>
    <n v="0"/>
    <n v="2626.1680000000001"/>
    <n v="0.652978723404255"/>
    <n v="0"/>
    <d v="2024-02-25T00:00:00"/>
    <x v="3"/>
    <x v="2"/>
    <n v="1069.18"/>
    <s v="NEGATIVE SALES"/>
    <n v="0"/>
  </r>
  <r>
    <n v="3371"/>
    <s v="Raymond"/>
    <s v="Vincent"/>
    <s v="Straight Cut"/>
    <n v="5"/>
    <n v="2626.1680000000001"/>
    <n v="0.652978723404255"/>
    <n v="0"/>
    <d v="2024-12-04T00:00:00"/>
    <x v="0"/>
    <x v="1"/>
    <n v="-276.12"/>
    <s v="NEGATIVE SALES"/>
    <n v="13130.84"/>
  </r>
  <r>
    <n v="3372"/>
    <s v="Crystal"/>
    <s v="Martin"/>
    <s v="Slim Fit Jeans"/>
    <n v="0"/>
    <n v="2291.31"/>
    <n v="0.652978723404255"/>
    <n v="0"/>
    <d v="2023-08-19T00:00:00"/>
    <x v="5"/>
    <x v="2"/>
    <n v="-169.68"/>
    <s v="NEGATIVE SALES"/>
    <n v="0"/>
  </r>
  <r>
    <n v="3373"/>
    <s v="Emily"/>
    <s v="Kennedy"/>
    <s v="Slip-Ons"/>
    <n v="0"/>
    <n v="3507.48"/>
    <n v="0.652978723404255"/>
    <n v="0"/>
    <d v="2024-12-16T00:00:00"/>
    <x v="2"/>
    <x v="1"/>
    <n v="2821.27"/>
    <s v="NEGATIVE SALES"/>
    <n v="0"/>
  </r>
  <r>
    <n v="3374"/>
    <s v="Michelle"/>
    <s v="Scott"/>
    <s v="Wrap Dress"/>
    <n v="0"/>
    <n v="2489.23"/>
    <n v="0.652978723404255"/>
    <n v="0"/>
    <d v="2025-01-09T00:00:00"/>
    <x v="5"/>
    <x v="0"/>
    <n v="2977.05"/>
    <s v="NEGATIVE SALES"/>
    <n v="0"/>
  </r>
  <r>
    <n v="3375"/>
    <s v="Jeffery"/>
    <s v="Howard"/>
    <s v="Denim Jacket"/>
    <n v="0"/>
    <n v="442.08"/>
    <n v="0.652978723404255"/>
    <n v="0"/>
    <d v="2025-01-15T00:00:00"/>
    <x v="5"/>
    <x v="1"/>
    <n v="944.55"/>
    <s v="NEGATIVE SALES"/>
    <n v="0"/>
  </r>
  <r>
    <n v="3376"/>
    <s v="Michelle"/>
    <s v="Chapman"/>
    <s v="Ripped Denim"/>
    <n v="0"/>
    <n v="2619.6678000000002"/>
    <n v="0.652978723404255"/>
    <n v="0"/>
    <d v="2023-12-09T00:00:00"/>
    <x v="0"/>
    <x v="2"/>
    <n v="1936.25"/>
    <s v="NEGATIVE SALES"/>
    <n v="0"/>
  </r>
  <r>
    <n v="3377"/>
    <s v="Derek"/>
    <s v="Holder"/>
    <s v="Wrap Dress"/>
    <n v="0"/>
    <n v="1064.3699999999999"/>
    <n v="0.652978723404255"/>
    <n v="0"/>
    <d v="2025-06-08T00:00:00"/>
    <x v="0"/>
    <x v="1"/>
    <n v="-671.09"/>
    <s v="NEGATIVE SALES"/>
    <n v="0"/>
  </r>
  <r>
    <n v="3378"/>
    <s v="Kathleen"/>
    <s v="Collins"/>
    <s v="Leather Jacket"/>
    <n v="0"/>
    <n v="3675"/>
    <n v="0.652978723404255"/>
    <n v="0"/>
    <d v="2025-06-08T00:00:00"/>
    <x v="4"/>
    <x v="0"/>
    <n v="2641.65"/>
    <s v="NEGATIVE SALES"/>
    <n v="0"/>
  </r>
  <r>
    <n v="3379"/>
    <s v="Alyssa"/>
    <s v="Figueroa"/>
    <s v="Caps"/>
    <n v="-2"/>
    <n v="2680.8625999999999"/>
    <n v="0.652978723404255"/>
    <n v="0"/>
    <d v="2024-06-02T00:00:00"/>
    <x v="4"/>
    <x v="0"/>
    <n v="-861.83"/>
    <s v="NEGATIVE SALES"/>
    <n v="-5361.7251999999999"/>
  </r>
  <r>
    <n v="3380"/>
    <s v="Crystal"/>
    <s v="Beasley"/>
    <s v="Bodycon"/>
    <n v="2"/>
    <n v="4166.34"/>
    <n v="0.652978723404255"/>
    <n v="0"/>
    <d v="2024-10-14T00:00:00"/>
    <x v="5"/>
    <x v="2"/>
    <n v="317.31"/>
    <s v="NEGATIVE SALES"/>
    <n v="8332.68"/>
  </r>
  <r>
    <n v="3381"/>
    <s v="Shelly"/>
    <s v="Wilson"/>
    <s v="Slip-Ons"/>
    <n v="-1"/>
    <n v="2664.2937000000002"/>
    <n v="0.1"/>
    <n v="0"/>
    <d v="2024-09-28T00:00:00"/>
    <x v="1"/>
    <x v="1"/>
    <n v="2205.09"/>
    <s v="NEGATIVE SALES"/>
    <n v="-2664.2937000000002"/>
  </r>
  <r>
    <n v="3382"/>
    <s v="Marie"/>
    <s v="Hansen"/>
    <s v="Boots"/>
    <n v="1"/>
    <n v="2638.8353000000002"/>
    <n v="0.66500000000000004"/>
    <n v="0"/>
    <d v="2025-04-08T00:00:00"/>
    <x v="5"/>
    <x v="1"/>
    <n v="1711.89"/>
    <s v="NEGATIVE SALES"/>
    <n v="2638.8353000000002"/>
  </r>
  <r>
    <n v="3383"/>
    <s v="Samantha"/>
    <s v="Ruiz"/>
    <s v="Boyfriend Jeans"/>
    <n v="0"/>
    <n v="2638.8353000000002"/>
    <n v="0.64"/>
    <n v="0"/>
    <d v="2023-07-26T00:00:00"/>
    <x v="1"/>
    <x v="2"/>
    <n v="1101.95"/>
    <s v="NEGATIVE SALES"/>
    <n v="0"/>
  </r>
  <r>
    <n v="3384"/>
    <s v="Justin"/>
    <s v="Melton"/>
    <s v="Wrap Dress"/>
    <n v="1"/>
    <n v="2282.7600000000002"/>
    <n v="0.57999999999999996"/>
    <n v="958.76"/>
    <d v="2024-11-04T00:00:00"/>
    <x v="3"/>
    <x v="1"/>
    <n v="1133.68"/>
    <s v="POSITIVE SALES"/>
    <n v="2282.7600000000002"/>
  </r>
  <r>
    <n v="3385"/>
    <s v="Thomas"/>
    <s v="Camacho"/>
    <s v="Bodycon"/>
    <n v="0"/>
    <n v="2394.84"/>
    <n v="0.66749999999999998"/>
    <n v="0"/>
    <d v="2024-09-29T00:00:00"/>
    <x v="1"/>
    <x v="2"/>
    <n v="1007.9"/>
    <s v="NEGATIVE SALES"/>
    <n v="0"/>
  </r>
  <r>
    <n v="3386"/>
    <s v="Kristin"/>
    <s v="Gould"/>
    <s v="Classic Tee"/>
    <n v="1"/>
    <n v="2644.9744999999998"/>
    <n v="1.18"/>
    <n v="0"/>
    <d v="2025-06-03T00:00:00"/>
    <x v="2"/>
    <x v="0"/>
    <n v="21.39"/>
    <s v="NEGATIVE SALES"/>
    <n v="2644.9744999999998"/>
  </r>
  <r>
    <n v="3387"/>
    <s v="Wayne"/>
    <s v="Johnson"/>
    <s v="Ripped Denim"/>
    <n v="0"/>
    <n v="2649.3627999999999"/>
    <n v="0.65558139534883697"/>
    <n v="0"/>
    <d v="2025-07-10T00:00:00"/>
    <x v="3"/>
    <x v="1"/>
    <n v="-48.14"/>
    <s v="NEGATIVE SALES"/>
    <n v="0"/>
  </r>
  <r>
    <n v="3389"/>
    <s v="Alyssa"/>
    <s v="Perry"/>
    <s v="Watches"/>
    <n v="-1"/>
    <n v="2649.3627999999999"/>
    <n v="0.85"/>
    <n v="0"/>
    <d v="2025-06-20T00:00:00"/>
    <x v="1"/>
    <x v="1"/>
    <n v="146.53"/>
    <s v="NEGATIVE SALES"/>
    <n v="-2649.3627999999999"/>
  </r>
  <r>
    <n v="3390"/>
    <s v="Mr."/>
    <s v="Tyrone"/>
    <s v="Boots"/>
    <n v="1"/>
    <n v="1280.52"/>
    <n v="0.94"/>
    <n v="76.83"/>
    <d v="2025-06-20T00:00:00"/>
    <x v="3"/>
    <x v="2"/>
    <n v="1626.42"/>
    <s v="POSITIVE SALES"/>
    <n v="1280.52"/>
  </r>
  <r>
    <n v="3391"/>
    <s v="Vickie"/>
    <s v="Cooper"/>
    <s v="Bomber Jacket"/>
    <n v="3"/>
    <n v="1730.64"/>
    <n v="0.7"/>
    <n v="1557.58"/>
    <d v="2025-06-20T00:00:00"/>
    <x v="0"/>
    <x v="1"/>
    <n v="719.69"/>
    <s v="POSITIVE SALES"/>
    <n v="5191.92"/>
  </r>
  <r>
    <n v="3392"/>
    <s v="Mark"/>
    <s v="Vang"/>
    <s v="Puffer Coat"/>
    <n v="0"/>
    <n v="2670.7318"/>
    <n v="0.38"/>
    <n v="0"/>
    <d v="2024-09-17T00:00:00"/>
    <x v="5"/>
    <x v="2"/>
    <n v="1036.57"/>
    <s v="NEGATIVE SALES"/>
    <n v="0"/>
  </r>
  <r>
    <n v="3393"/>
    <s v="Nancy"/>
    <s v="Owens"/>
    <s v="Sunglasses"/>
    <n v="5"/>
    <n v="2688.1408999999999"/>
    <n v="7.0000000000000007E-2"/>
    <n v="0"/>
    <d v="2024-09-17T00:00:00"/>
    <x v="2"/>
    <x v="0"/>
    <n v="560.09"/>
    <s v="NEGATIVE SALES"/>
    <n v="13440.7045"/>
  </r>
  <r>
    <n v="3394"/>
    <s v="Anthony"/>
    <s v="Thompson"/>
    <s v="Boyfriend Jeans"/>
    <n v="0"/>
    <n v="1509.34"/>
    <n v="0.66447368421052599"/>
    <n v="0"/>
    <d v="2025-02-04T00:00:00"/>
    <x v="2"/>
    <x v="1"/>
    <n v="1037.8499999999999"/>
    <s v="NEGATIVE SALES"/>
    <n v="0"/>
  </r>
  <r>
    <n v="3395"/>
    <s v="Robert"/>
    <s v="Odom"/>
    <s v="Slip-Ons"/>
    <n v="0"/>
    <n v="2688.1408999999999"/>
    <n v="0.66447368421052599"/>
    <n v="0"/>
    <d v="2024-11-01T00:00:00"/>
    <x v="4"/>
    <x v="2"/>
    <n v="-23.94"/>
    <s v="NEGATIVE SALES"/>
    <n v="0"/>
  </r>
  <r>
    <n v="3396"/>
    <s v="Connor"/>
    <s v="Meza"/>
    <s v="Leather Jacket"/>
    <n v="2"/>
    <n v="3760.09"/>
    <n v="0.66447368421052599"/>
    <n v="0"/>
    <d v="2024-12-12T00:00:00"/>
    <x v="5"/>
    <x v="1"/>
    <n v="-871.94"/>
    <s v="NEGATIVE SALES"/>
    <n v="7520.18"/>
  </r>
  <r>
    <n v="3397"/>
    <s v="Allison"/>
    <s v="Hammond"/>
    <s v="Straight Cut"/>
    <n v="0"/>
    <n v="2710.3825000000002"/>
    <n v="0.66447368421052599"/>
    <n v="0"/>
    <d v="2024-12-12T00:00:00"/>
    <x v="1"/>
    <x v="0"/>
    <n v="477.59"/>
    <s v="NEGATIVE SALES"/>
    <n v="0"/>
  </r>
  <r>
    <n v="3398"/>
    <s v="Kimberly"/>
    <s v="Garcia"/>
    <s v="Maxi Dress"/>
    <n v="0"/>
    <n v="2784.25"/>
    <n v="0.66447368421052599"/>
    <n v="0"/>
    <d v="2024-12-12T00:00:00"/>
    <x v="5"/>
    <x v="2"/>
    <n v="-348.84"/>
    <s v="NEGATIVE SALES"/>
    <n v="0"/>
  </r>
  <r>
    <n v="3399"/>
    <s v="Mary"/>
    <s v="Johnson"/>
    <s v="Ripped Denim"/>
    <n v="5"/>
    <n v="3111.73"/>
    <n v="0.66447368421052599"/>
    <n v="0"/>
    <d v="2024-07-11T00:00:00"/>
    <x v="3"/>
    <x v="0"/>
    <n v="800.89"/>
    <s v="NEGATIVE SALES"/>
    <n v="15558.65"/>
  </r>
  <r>
    <n v="3400"/>
    <s v="Timothy"/>
    <s v="Grant"/>
    <s v="Puffer Coat"/>
    <n v="0"/>
    <n v="1249.6400000000001"/>
    <n v="0.66447368421052599"/>
    <n v="0"/>
    <d v="2025-06-22T00:00:00"/>
    <x v="4"/>
    <x v="0"/>
    <n v="-646.04"/>
    <s v="NEGATIVE SALES"/>
    <n v="0"/>
  </r>
  <r>
    <n v="3401"/>
    <s v="Michael"/>
    <s v="Lynch"/>
    <s v="Puffer Coat"/>
    <n v="0"/>
    <n v="1960.15"/>
    <n v="0.66447368421052599"/>
    <n v="0"/>
    <d v="2024-10-05T00:00:00"/>
    <x v="5"/>
    <x v="2"/>
    <n v="1816.17"/>
    <s v="NEGATIVE SALES"/>
    <n v="0"/>
  </r>
  <r>
    <n v="3402"/>
    <s v="Willie"/>
    <s v="Sherman"/>
    <s v="Maxi Dress"/>
    <n v="0"/>
    <n v="2709.0727000000002"/>
    <n v="0.02"/>
    <n v="0"/>
    <d v="2024-12-31T00:00:00"/>
    <x v="2"/>
    <x v="0"/>
    <n v="619.20000000000005"/>
    <s v="NEGATIVE SALES"/>
    <n v="0"/>
  </r>
  <r>
    <n v="3403"/>
    <s v="Sandra"/>
    <s v="Kemp"/>
    <s v="Graphic Tee"/>
    <n v="0"/>
    <n v="2609.06"/>
    <n v="0.65"/>
    <n v="0"/>
    <d v="2025-04-28T00:00:00"/>
    <x v="5"/>
    <x v="0"/>
    <n v="2036.75"/>
    <s v="NEGATIVE SALES"/>
    <n v="0"/>
  </r>
  <r>
    <n v="3404"/>
    <s v="Gregory"/>
    <s v="Ponce"/>
    <s v="Caps"/>
    <n v="5"/>
    <n v="2724.6752000000001"/>
    <n v="0.81"/>
    <n v="0"/>
    <d v="2025-05-05T00:00:00"/>
    <x v="4"/>
    <x v="2"/>
    <n v="1283.58"/>
    <s v="NEGATIVE SALES"/>
    <n v="13623.376"/>
  </r>
  <r>
    <n v="3405"/>
    <s v="Bridget"/>
    <s v="Galvan"/>
    <s v="Graphic Tee"/>
    <n v="0"/>
    <n v="2310.4699999999998"/>
    <n v="0.67914285714285705"/>
    <n v="0"/>
    <d v="2025-05-05T00:00:00"/>
    <x v="2"/>
    <x v="0"/>
    <n v="393.88"/>
    <s v="NEGATIVE SALES"/>
    <n v="0"/>
  </r>
  <r>
    <n v="3406"/>
    <s v="Andrea"/>
    <s v="Schneider"/>
    <s v="Maxi Dress"/>
    <n v="0"/>
    <n v="2727.1351"/>
    <n v="0.67914285714285705"/>
    <n v="0"/>
    <d v="2024-04-02T00:00:00"/>
    <x v="2"/>
    <x v="1"/>
    <n v="-513.37"/>
    <s v="NEGATIVE SALES"/>
    <n v="0"/>
  </r>
  <r>
    <n v="3407"/>
    <s v="Stephen"/>
    <s v="Burton"/>
    <s v="Ripped Denim"/>
    <n v="1"/>
    <n v="2736.1930000000002"/>
    <n v="0.67"/>
    <n v="0"/>
    <d v="2023-08-28T00:00:00"/>
    <x v="1"/>
    <x v="0"/>
    <n v="-540.69000000000005"/>
    <s v="NEGATIVE SALES"/>
    <n v="2736.1930000000002"/>
  </r>
  <r>
    <n v="3408"/>
    <s v="Tara"/>
    <s v="Villegas"/>
    <s v="Watches"/>
    <n v="0"/>
    <n v="4003.66"/>
    <n v="0.67941176470588205"/>
    <n v="0"/>
    <d v="2024-10-05T00:00:00"/>
    <x v="5"/>
    <x v="2"/>
    <n v="1340.94"/>
    <s v="NEGATIVE SALES"/>
    <n v="0"/>
  </r>
  <r>
    <n v="3409"/>
    <s v="David"/>
    <s v="Murphy"/>
    <s v="Denim Jacket"/>
    <n v="-1"/>
    <n v="2123.17"/>
    <n v="0.67941176470588205"/>
    <n v="0"/>
    <d v="2024-10-05T00:00:00"/>
    <x v="0"/>
    <x v="1"/>
    <n v="-717.75"/>
    <s v="NEGATIVE SALES"/>
    <n v="-2123.17"/>
  </r>
  <r>
    <n v="3410"/>
    <s v="Franklin"/>
    <s v="Harrell"/>
    <s v="Wrap Dress"/>
    <n v="0"/>
    <n v="4732.42"/>
    <n v="0.67941176470588205"/>
    <n v="0"/>
    <d v="2025-07-06T00:00:00"/>
    <x v="1"/>
    <x v="1"/>
    <n v="916.47"/>
    <s v="NEGATIVE SALES"/>
    <n v="0"/>
  </r>
  <r>
    <n v="3411"/>
    <s v="Robert"/>
    <s v="Jones"/>
    <s v="Boots"/>
    <n v="0"/>
    <n v="2721.3193000000001"/>
    <n v="0.57999999999999996"/>
    <n v="0"/>
    <d v="2024-12-25T00:00:00"/>
    <x v="5"/>
    <x v="2"/>
    <n v="1693.4"/>
    <s v="NEGATIVE SALES"/>
    <n v="0"/>
  </r>
  <r>
    <n v="3412"/>
    <s v="Kevin"/>
    <s v="Peters"/>
    <s v="Ripped Denim"/>
    <n v="0"/>
    <n v="2674.5495000000001"/>
    <n v="0.68242424242424204"/>
    <n v="0"/>
    <d v="2024-10-27T00:00:00"/>
    <x v="1"/>
    <x v="1"/>
    <n v="2625.33"/>
    <s v="NEGATIVE SALES"/>
    <n v="0"/>
  </r>
  <r>
    <n v="3413"/>
    <s v="Cynthia"/>
    <s v="Andrews"/>
    <s v="Maxi Dress"/>
    <n v="0"/>
    <n v="2674.5495000000001"/>
    <n v="0.68242424242424204"/>
    <n v="0"/>
    <d v="2024-10-27T00:00:00"/>
    <x v="3"/>
    <x v="0"/>
    <n v="2402.84"/>
    <s v="NEGATIVE SALES"/>
    <n v="0"/>
  </r>
  <r>
    <n v="3414"/>
    <s v="Allison"/>
    <s v="Bennett"/>
    <s v="Boots"/>
    <n v="1"/>
    <n v="2674.5495000000001"/>
    <n v="0.68242424242424204"/>
    <n v="0"/>
    <d v="2024-12-26T00:00:00"/>
    <x v="1"/>
    <x v="2"/>
    <n v="2783.42"/>
    <s v="NEGATIVE SALES"/>
    <n v="2674.5495000000001"/>
  </r>
  <r>
    <n v="3415"/>
    <s v="Tracey"/>
    <s v="Fischer"/>
    <s v="Oversized T-Shirt"/>
    <n v="4"/>
    <n v="3185.58"/>
    <n v="1.1499999999999999"/>
    <n v="-1911.35"/>
    <d v="2024-06-10T00:00:00"/>
    <x v="0"/>
    <x v="1"/>
    <n v="-767.38"/>
    <s v="NEGATIVE SALES"/>
    <n v="12742.32"/>
  </r>
  <r>
    <n v="3416"/>
    <s v="Michelle"/>
    <s v="Jones"/>
    <s v="Puffer Coat"/>
    <n v="-1"/>
    <n v="2674.5495000000001"/>
    <n v="0.66781250000000003"/>
    <n v="0"/>
    <d v="2024-08-12T00:00:00"/>
    <x v="3"/>
    <x v="2"/>
    <n v="2344.15"/>
    <s v="NEGATIVE SALES"/>
    <n v="-2674.5495000000001"/>
  </r>
  <r>
    <n v="3417"/>
    <s v="Kevin"/>
    <s v="Kim"/>
    <s v="Straight Cut"/>
    <n v="0"/>
    <n v="2662.3820999999998"/>
    <n v="0.66781250000000003"/>
    <n v="0"/>
    <d v="2025-01-29T00:00:00"/>
    <x v="0"/>
    <x v="0"/>
    <n v="-938.64"/>
    <s v="NEGATIVE SALES"/>
    <n v="0"/>
  </r>
  <r>
    <n v="3418"/>
    <s v="Lisa"/>
    <s v="Delacruz"/>
    <s v="Slim Fit Jeans"/>
    <n v="6"/>
    <n v="2662.3820999999998"/>
    <n v="0.56000000000000005"/>
    <n v="0"/>
    <d v="2025-01-29T00:00:00"/>
    <x v="1"/>
    <x v="1"/>
    <n v="-796.3"/>
    <s v="NEGATIVE SALES"/>
    <n v="15974.292600000001"/>
  </r>
  <r>
    <n v="3419"/>
    <s v="Amy"/>
    <s v="Martin"/>
    <s v="Crop Top"/>
    <n v="0"/>
    <n v="2662.3820999999998"/>
    <n v="0.67129032258064503"/>
    <n v="0"/>
    <d v="2025-01-29T00:00:00"/>
    <x v="1"/>
    <x v="2"/>
    <n v="804.16"/>
    <s v="NEGATIVE SALES"/>
    <n v="0"/>
  </r>
  <r>
    <n v="3421"/>
    <s v="David"/>
    <s v="Brown"/>
    <s v="Loafers"/>
    <n v="0"/>
    <n v="2933.45"/>
    <n v="0.67129032258064503"/>
    <n v="0"/>
    <d v="2025-05-08T00:00:00"/>
    <x v="3"/>
    <x v="0"/>
    <n v="2339.14"/>
    <s v="NEGATIVE SALES"/>
    <n v="0"/>
  </r>
  <r>
    <n v="3422"/>
    <s v="Megan"/>
    <s v="Ellis"/>
    <s v="Caps"/>
    <n v="6"/>
    <n v="2662.3820999999998"/>
    <n v="0.67129032258064503"/>
    <n v="0"/>
    <d v="2024-08-12T00:00:00"/>
    <x v="4"/>
    <x v="1"/>
    <n v="20.64"/>
    <s v="NEGATIVE SALES"/>
    <n v="15974.292600000001"/>
  </r>
  <r>
    <n v="3423"/>
    <s v="Lisa"/>
    <s v="Shaw"/>
    <s v="Boots"/>
    <n v="-2"/>
    <n v="2655.7707"/>
    <n v="0.67129032258064503"/>
    <n v="0"/>
    <d v="2024-08-15T00:00:00"/>
    <x v="1"/>
    <x v="0"/>
    <n v="960.12"/>
    <s v="NEGATIVE SALES"/>
    <n v="-5311.5414000000001"/>
  </r>
  <r>
    <n v="3424"/>
    <s v="Ryan"/>
    <s v="Barker"/>
    <s v="Watches"/>
    <n v="5"/>
    <n v="4754.22"/>
    <n v="0.82"/>
    <n v="4278.8"/>
    <d v="2025-05-17T00:00:00"/>
    <x v="5"/>
    <x v="2"/>
    <n v="2415.19"/>
    <s v="POSITIVE SALES"/>
    <n v="23771.1"/>
  </r>
  <r>
    <n v="3425"/>
    <s v="Logan"/>
    <s v="Phillips"/>
    <s v="Denim Jacket"/>
    <n v="-2"/>
    <n v="2942.33"/>
    <n v="0.16"/>
    <n v="-4943.1099999999997"/>
    <d v="2024-02-19T00:00:00"/>
    <x v="4"/>
    <x v="1"/>
    <n v="977.57"/>
    <s v="NEGATIVE SALES"/>
    <n v="-5884.66"/>
  </r>
  <r>
    <n v="3426"/>
    <s v="Michael"/>
    <s v="Brown"/>
    <s v="Denim Jacket"/>
    <n v="0"/>
    <n v="3441.89"/>
    <n v="0.68379310344827604"/>
    <n v="0"/>
    <d v="2024-11-07T00:00:00"/>
    <x v="1"/>
    <x v="1"/>
    <n v="-872.49"/>
    <s v="NEGATIVE SALES"/>
    <n v="0"/>
  </r>
  <r>
    <n v="3427"/>
    <s v="Mike"/>
    <s v="Hayes"/>
    <s v="Belts"/>
    <n v="0"/>
    <n v="2594.6167"/>
    <n v="0.51"/>
    <n v="0"/>
    <d v="2024-08-08T00:00:00"/>
    <x v="0"/>
    <x v="2"/>
    <n v="-63"/>
    <s v="NEGATIVE SALES"/>
    <n v="0"/>
  </r>
  <r>
    <n v="3428"/>
    <s v="Kyle"/>
    <s v="Gomez"/>
    <s v="Puffer Coat"/>
    <n v="3"/>
    <n v="2572.3200000000002"/>
    <n v="0.69"/>
    <n v="0"/>
    <d v="2025-03-13T00:00:00"/>
    <x v="2"/>
    <x v="1"/>
    <n v="670.29"/>
    <s v="NEGATIVE SALES"/>
    <n v="7716.96"/>
  </r>
  <r>
    <n v="3429"/>
    <s v="Savannah"/>
    <s v="Peters"/>
    <s v="Wrap Dress"/>
    <n v="0"/>
    <n v="2572.3200000000002"/>
    <n v="0.69"/>
    <n v="0"/>
    <d v="2025-02-15T00:00:00"/>
    <x v="0"/>
    <x v="1"/>
    <n v="859.23"/>
    <s v="NEGATIVE SALES"/>
    <n v="0"/>
  </r>
  <r>
    <n v="3430"/>
    <s v="Terry"/>
    <s v="Short"/>
    <s v="Watches"/>
    <n v="0"/>
    <n v="2244.0700000000002"/>
    <n v="0.69"/>
    <n v="0"/>
    <d v="2025-02-15T00:00:00"/>
    <x v="3"/>
    <x v="0"/>
    <n v="195.31"/>
    <s v="NEGATIVE SALES"/>
    <n v="0"/>
  </r>
  <r>
    <n v="3431"/>
    <s v="Valerie"/>
    <s v="Smith"/>
    <s v="Maxi Dress"/>
    <n v="0"/>
    <n v="2572.3200000000002"/>
    <n v="0.25"/>
    <n v="0"/>
    <d v="2024-11-17T00:00:00"/>
    <x v="0"/>
    <x v="0"/>
    <n v="669.94"/>
    <s v="NEGATIVE SALES"/>
    <n v="0"/>
  </r>
  <r>
    <n v="3432"/>
    <s v="James"/>
    <s v="Clay"/>
    <s v="Bodycon"/>
    <n v="-2"/>
    <n v="2581.1916000000001"/>
    <n v="0.70629629629629598"/>
    <n v="0"/>
    <d v="2024-12-31T00:00:00"/>
    <x v="3"/>
    <x v="1"/>
    <n v="980.18"/>
    <s v="NEGATIVE SALES"/>
    <n v="-5162.3832000000002"/>
  </r>
  <r>
    <n v="3433"/>
    <s v="Kathleen"/>
    <s v="Nelson"/>
    <s v="Crop Top"/>
    <n v="0"/>
    <n v="4971.5600000000004"/>
    <n v="0.87"/>
    <n v="0"/>
    <d v="2025-01-22T00:00:00"/>
    <x v="3"/>
    <x v="1"/>
    <n v="1202.3399999999999"/>
    <s v="NEGATIVE SALES"/>
    <n v="0"/>
  </r>
  <r>
    <n v="3434"/>
    <s v="Sean"/>
    <s v="Hensley"/>
    <s v="Loafers"/>
    <n v="-1"/>
    <n v="636.91999999999996"/>
    <n v="0.51"/>
    <n v="-312.08999999999997"/>
    <d v="2025-03-08T00:00:00"/>
    <x v="4"/>
    <x v="2"/>
    <n v="2399.61"/>
    <s v="NEGATIVE SALES"/>
    <n v="-636.91999999999996"/>
  </r>
  <r>
    <n v="3435"/>
    <s v="Brooke"/>
    <s v="Elliott"/>
    <s v="Leather Jacket"/>
    <n v="0"/>
    <n v="2514.7925"/>
    <n v="0.70760000000000001"/>
    <n v="0"/>
    <d v="2023-08-07T00:00:00"/>
    <x v="0"/>
    <x v="1"/>
    <n v="-453.03"/>
    <s v="NEGATIVE SALES"/>
    <n v="0"/>
  </r>
  <r>
    <n v="3436"/>
    <s v="Kathryn"/>
    <s v="Burch"/>
    <s v="Maxi Dress"/>
    <n v="0"/>
    <n v="2568.4459999999999"/>
    <n v="0.91"/>
    <n v="0"/>
    <d v="2024-08-28T00:00:00"/>
    <x v="3"/>
    <x v="2"/>
    <n v="791.96"/>
    <s v="NEGATIVE SALES"/>
    <n v="0"/>
  </r>
  <r>
    <n v="3437"/>
    <s v="Anthony"/>
    <s v="Rodriguez"/>
    <s v="Crop Top"/>
    <n v="0"/>
    <n v="987.68"/>
    <n v="1.25"/>
    <n v="0"/>
    <d v="2025-06-24T00:00:00"/>
    <x v="3"/>
    <x v="0"/>
    <n v="2597.1999999999998"/>
    <s v="NEGATIVE SALES"/>
    <n v="0"/>
  </r>
  <r>
    <n v="3439"/>
    <s v="Jeremiah"/>
    <s v="Reese"/>
    <s v="Slip-Ons"/>
    <n v="-2"/>
    <n v="400.21"/>
    <n v="0.696818181818182"/>
    <n v="0"/>
    <d v="2025-06-23T00:00:00"/>
    <x v="3"/>
    <x v="0"/>
    <n v="914.27"/>
    <s v="NEGATIVE SALES"/>
    <n v="-800.42"/>
  </r>
  <r>
    <n v="3440"/>
    <s v="Nicholas"/>
    <s v="Harris"/>
    <s v="Oversized T-Shirt"/>
    <n v="0"/>
    <n v="1536.14"/>
    <n v="0.87"/>
    <n v="0"/>
    <d v="2025-03-13T00:00:00"/>
    <x v="1"/>
    <x v="0"/>
    <n v="-382.45"/>
    <s v="NEGATIVE SALES"/>
    <n v="0"/>
  </r>
  <r>
    <n v="3441"/>
    <s v="Carol"/>
    <s v="Mack"/>
    <s v="Maxi Dress"/>
    <n v="5"/>
    <n v="2644.2703000000001"/>
    <n v="1.21"/>
    <n v="0"/>
    <d v="2025-05-06T00:00:00"/>
    <x v="0"/>
    <x v="2"/>
    <n v="2953.52"/>
    <s v="NEGATIVE SALES"/>
    <n v="13221.351500000001"/>
  </r>
  <r>
    <n v="3442"/>
    <s v="Traci"/>
    <s v="Singleton"/>
    <s v="Oversized T-Shirt"/>
    <n v="0"/>
    <n v="2680.0165000000002"/>
    <n v="1.1100000000000001"/>
    <n v="0"/>
    <d v="2024-08-02T00:00:00"/>
    <x v="1"/>
    <x v="1"/>
    <n v="1331.63"/>
    <s v="NEGATIVE SALES"/>
    <n v="0"/>
  </r>
  <r>
    <n v="3443"/>
    <s v="John"/>
    <s v="Williams"/>
    <s v="Oversized T-Shirt"/>
    <n v="0"/>
    <n v="2680.0165000000002"/>
    <n v="0.37"/>
    <n v="0"/>
    <d v="2025-06-05T00:00:00"/>
    <x v="0"/>
    <x v="1"/>
    <n v="2632.33"/>
    <s v="NEGATIVE SALES"/>
    <n v="0"/>
  </r>
  <r>
    <n v="3444"/>
    <s v="Gabriella"/>
    <s v="George"/>
    <s v="Casual Midi"/>
    <n v="0"/>
    <n v="2924.37"/>
    <n v="0.65388888888888896"/>
    <n v="0"/>
    <d v="2024-12-26T00:00:00"/>
    <x v="4"/>
    <x v="1"/>
    <n v="461.83"/>
    <s v="NEGATIVE SALES"/>
    <n v="0"/>
  </r>
  <r>
    <n v="3445"/>
    <s v="Richard"/>
    <s v="Gutierrez"/>
    <s v="Caps"/>
    <n v="4"/>
    <n v="973.52"/>
    <n v="0.65388888888888896"/>
    <n v="0"/>
    <d v="2024-08-10T00:00:00"/>
    <x v="5"/>
    <x v="1"/>
    <n v="2406.66"/>
    <s v="NEGATIVE SALES"/>
    <n v="3894.08"/>
  </r>
  <r>
    <n v="3446"/>
    <s v="Christopher"/>
    <s v="Phillips"/>
    <s v="Crop Top"/>
    <n v="3"/>
    <n v="4758.24"/>
    <n v="0.49"/>
    <n v="7280.11"/>
    <d v="2025-03-17T00:00:00"/>
    <x v="2"/>
    <x v="1"/>
    <n v="2863.66"/>
    <s v="POSITIVE SALES"/>
    <n v="14274.72"/>
  </r>
  <r>
    <n v="3447"/>
    <s v="Charles"/>
    <s v="Kelly"/>
    <s v="Puffer Coat"/>
    <n v="4"/>
    <n v="4762.62"/>
    <n v="0.66352941176470603"/>
    <n v="0"/>
    <d v="2025-07-02T00:00:00"/>
    <x v="5"/>
    <x v="2"/>
    <n v="1483.83"/>
    <s v="NEGATIVE SALES"/>
    <n v="19050.48"/>
  </r>
  <r>
    <n v="3448"/>
    <s v="Stephanie"/>
    <s v="Flores"/>
    <s v="Slim Fit Jeans"/>
    <n v="3"/>
    <n v="2658.0136000000002"/>
    <n v="0.66352941176470603"/>
    <n v="0"/>
    <d v="2024-12-23T00:00:00"/>
    <x v="1"/>
    <x v="0"/>
    <n v="734.88"/>
    <s v="NEGATIVE SALES"/>
    <n v="7974.0407999999998"/>
  </r>
  <r>
    <n v="3449"/>
    <s v="Carrie"/>
    <s v="Mclaughlin"/>
    <s v="Casual Midi"/>
    <n v="4"/>
    <n v="803.79"/>
    <n v="0.66352941176470603"/>
    <n v="0"/>
    <d v="2025-07-16T00:00:00"/>
    <x v="4"/>
    <x v="0"/>
    <n v="2948.6"/>
    <s v="NEGATIVE SALES"/>
    <n v="3215.16"/>
  </r>
  <r>
    <n v="3450"/>
    <s v="Mario"/>
    <s v="Smith"/>
    <s v="Classic Tee"/>
    <n v="0"/>
    <n v="2580.0652"/>
    <n v="0.89"/>
    <n v="0"/>
    <d v="2023-07-26T00:00:00"/>
    <x v="2"/>
    <x v="1"/>
    <n v="1339.05"/>
    <s v="NEGATIVE SALES"/>
    <n v="0"/>
  </r>
  <r>
    <n v="3451"/>
    <s v="Roger"/>
    <s v="Blake"/>
    <s v="Graphic Tee"/>
    <n v="-2"/>
    <n v="2339.36"/>
    <n v="0.35"/>
    <n v="-3041.17"/>
    <d v="2025-06-19T00:00:00"/>
    <x v="3"/>
    <x v="2"/>
    <n v="-5.05"/>
    <s v="NEGATIVE SALES"/>
    <n v="-4678.72"/>
  </r>
  <r>
    <n v="3452"/>
    <s v="Christopher"/>
    <s v="Shepherd"/>
    <s v="Boots"/>
    <n v="0"/>
    <n v="2562.4699999999998"/>
    <n v="0.669333333333334"/>
    <n v="0"/>
    <d v="2024-10-20T00:00:00"/>
    <x v="5"/>
    <x v="2"/>
    <n v="-883.82"/>
    <s v="NEGATIVE SALES"/>
    <n v="0"/>
  </r>
  <r>
    <n v="3453"/>
    <s v="Bill"/>
    <s v="Turner"/>
    <s v="Watches"/>
    <n v="0"/>
    <n v="4213.8500000000004"/>
    <n v="0.669333333333334"/>
    <n v="0"/>
    <d v="2025-05-18T00:00:00"/>
    <x v="0"/>
    <x v="1"/>
    <n v="-209.3"/>
    <s v="NEGATIVE SALES"/>
    <n v="0"/>
  </r>
  <r>
    <n v="3454"/>
    <s v="Amanda"/>
    <s v="Rich"/>
    <s v="Watches"/>
    <n v="6"/>
    <n v="1987.62"/>
    <n v="0.669333333333334"/>
    <n v="0"/>
    <d v="2024-08-31T00:00:00"/>
    <x v="5"/>
    <x v="2"/>
    <n v="1184.77"/>
    <s v="NEGATIVE SALES"/>
    <n v="11925.72"/>
  </r>
  <r>
    <n v="3455"/>
    <s v="Patricia"/>
    <s v="Pham"/>
    <s v="Casual Midi"/>
    <n v="0"/>
    <n v="2597.4908999999998"/>
    <n v="0.669333333333334"/>
    <n v="0"/>
    <d v="2024-08-31T00:00:00"/>
    <x v="3"/>
    <x v="1"/>
    <n v="382.53"/>
    <s v="NEGATIVE SALES"/>
    <n v="0"/>
  </r>
  <r>
    <n v="3456"/>
    <s v="Anthony"/>
    <s v="Ruiz"/>
    <s v="Oversized T-Shirt"/>
    <n v="0"/>
    <n v="2625.2123000000001"/>
    <n v="0.669333333333334"/>
    <n v="0"/>
    <d v="2024-08-31T00:00:00"/>
    <x v="0"/>
    <x v="1"/>
    <n v="-695.67"/>
    <s v="NEGATIVE SALES"/>
    <n v="0"/>
  </r>
  <r>
    <n v="3457"/>
    <s v="Michael"/>
    <s v="Webb"/>
    <s v="Caps"/>
    <n v="0"/>
    <n v="983.84"/>
    <n v="0.9"/>
    <n v="0"/>
    <d v="2025-03-11T00:00:00"/>
    <x v="0"/>
    <x v="1"/>
    <n v="254.71"/>
    <s v="NEGATIVE SALES"/>
    <n v="0"/>
  </r>
  <r>
    <n v="3459"/>
    <s v="Tina"/>
    <s v="Russell"/>
    <s v="Oversized T-Shirt"/>
    <n v="2"/>
    <n v="2703.3728999999998"/>
    <n v="0.66"/>
    <n v="0"/>
    <d v="2024-10-24T00:00:00"/>
    <x v="4"/>
    <x v="2"/>
    <n v="1284.57"/>
    <s v="NEGATIVE SALES"/>
    <n v="5406.7457999999997"/>
  </r>
  <r>
    <n v="3460"/>
    <s v="Shirley"/>
    <s v="Stevens"/>
    <s v="Boyfriend Jeans"/>
    <n v="3"/>
    <n v="2703.3728999999998"/>
    <n v="0.66"/>
    <n v="0"/>
    <d v="2024-10-24T00:00:00"/>
    <x v="3"/>
    <x v="1"/>
    <n v="-266.63"/>
    <s v="NEGATIVE SALES"/>
    <n v="8110.1187"/>
  </r>
  <r>
    <n v="3461"/>
    <s v="Christopher"/>
    <s v="Chen"/>
    <s v="Maxi Dress"/>
    <n v="0"/>
    <n v="2703.3728999999998"/>
    <n v="0.66"/>
    <n v="0"/>
    <d v="2025-04-11T00:00:00"/>
    <x v="1"/>
    <x v="2"/>
    <n v="2059.2399999999998"/>
    <s v="NEGATIVE SALES"/>
    <n v="0"/>
  </r>
  <r>
    <n v="3462"/>
    <s v="Alison"/>
    <s v="Weber"/>
    <s v="Sunglasses"/>
    <n v="0"/>
    <n v="3607.23"/>
    <n v="0.66"/>
    <n v="0"/>
    <d v="2023-08-12T00:00:00"/>
    <x v="5"/>
    <x v="0"/>
    <n v="2531.75"/>
    <s v="NEGATIVE SALES"/>
    <n v="0"/>
  </r>
  <r>
    <n v="3463"/>
    <s v="Tiffany"/>
    <s v="Johnson"/>
    <s v="Sunglasses"/>
    <n v="6"/>
    <n v="1139.77"/>
    <n v="0.66"/>
    <n v="0"/>
    <d v="2023-08-12T00:00:00"/>
    <x v="4"/>
    <x v="1"/>
    <n v="992.89"/>
    <s v="NEGATIVE SALES"/>
    <n v="6838.62"/>
  </r>
  <r>
    <n v="3464"/>
    <s v="Austin"/>
    <s v="Meadows"/>
    <s v="Ripped Denim"/>
    <n v="5"/>
    <n v="2658.18"/>
    <n v="0.66"/>
    <n v="0"/>
    <d v="2023-08-12T00:00:00"/>
    <x v="0"/>
    <x v="1"/>
    <n v="2091.3000000000002"/>
    <s v="NEGATIVE SALES"/>
    <n v="13290.9"/>
  </r>
  <r>
    <n v="3465"/>
    <s v="Joshua"/>
    <s v="Hill"/>
    <s v="Boyfriend Jeans"/>
    <n v="-1"/>
    <n v="2738.0963000000002"/>
    <n v="0.7"/>
    <n v="0"/>
    <d v="2024-09-07T00:00:00"/>
    <x v="5"/>
    <x v="2"/>
    <n v="-288.95999999999998"/>
    <s v="NEGATIVE SALES"/>
    <n v="-2738.0963000000002"/>
  </r>
  <r>
    <n v="3466"/>
    <s v="Lisa"/>
    <s v="Fisher"/>
    <s v="Ripped Denim"/>
    <n v="0"/>
    <n v="4059.53"/>
    <n v="0.65666666666666695"/>
    <n v="0"/>
    <d v="2023-09-09T00:00:00"/>
    <x v="1"/>
    <x v="2"/>
    <n v="-74.569999999999993"/>
    <s v="NEGATIVE SALES"/>
    <n v="0"/>
  </r>
  <r>
    <n v="3467"/>
    <s v="Jennifer"/>
    <s v="Shaw"/>
    <s v="Graphic Tee"/>
    <n v="0"/>
    <n v="2738.0963000000002"/>
    <n v="0.65666666666666695"/>
    <n v="0"/>
    <d v="2025-04-06T00:00:00"/>
    <x v="3"/>
    <x v="2"/>
    <n v="1246.6199999999999"/>
    <s v="NEGATIVE SALES"/>
    <n v="0"/>
  </r>
  <r>
    <n v="3468"/>
    <s v="Steven"/>
    <s v="Schwartz"/>
    <s v="Maxi Dress"/>
    <n v="0"/>
    <n v="2664.6833000000001"/>
    <n v="0.65666666666666695"/>
    <n v="0"/>
    <d v="2025-04-06T00:00:00"/>
    <x v="0"/>
    <x v="1"/>
    <n v="287.33"/>
    <s v="NEGATIVE SALES"/>
    <n v="0"/>
  </r>
  <r>
    <n v="3469"/>
    <s v="Samantha"/>
    <s v="Arnold"/>
    <s v="Classic Tee"/>
    <n v="0"/>
    <n v="2932.58"/>
    <n v="1.26"/>
    <n v="0"/>
    <d v="2024-12-03T00:00:00"/>
    <x v="3"/>
    <x v="2"/>
    <n v="333.94"/>
    <s v="NEGATIVE SALES"/>
    <n v="0"/>
  </r>
  <r>
    <n v="3470"/>
    <s v="Richard"/>
    <s v="Murray"/>
    <s v="Belts"/>
    <n v="0"/>
    <n v="2664.6833000000001"/>
    <n v="0.60181818181818203"/>
    <n v="0"/>
    <d v="2025-07-19T00:00:00"/>
    <x v="0"/>
    <x v="0"/>
    <n v="1387.75"/>
    <s v="NEGATIVE SALES"/>
    <n v="0"/>
  </r>
  <r>
    <n v="3471"/>
    <s v="Walter"/>
    <s v="Nolan"/>
    <s v="Denim Jacket"/>
    <n v="6"/>
    <n v="2648.9247"/>
    <n v="0.60181818181818203"/>
    <n v="0"/>
    <d v="2025-02-26T00:00:00"/>
    <x v="2"/>
    <x v="2"/>
    <n v="-673.81"/>
    <s v="NEGATIVE SALES"/>
    <n v="15893.548199999999"/>
  </r>
  <r>
    <n v="3472"/>
    <s v="Larry"/>
    <s v="Holland"/>
    <s v="Casual Midi"/>
    <n v="0"/>
    <n v="2648.9247"/>
    <n v="0.5"/>
    <n v="0"/>
    <d v="2025-02-26T00:00:00"/>
    <x v="2"/>
    <x v="1"/>
    <n v="-898.19"/>
    <s v="NEGATIVE SALES"/>
    <n v="0"/>
  </r>
  <r>
    <n v="3473"/>
    <s v="Erica"/>
    <s v="Clay"/>
    <s v="Belts"/>
    <n v="1"/>
    <n v="2648.9247"/>
    <n v="0.15"/>
    <n v="0"/>
    <d v="2024-09-24T00:00:00"/>
    <x v="2"/>
    <x v="2"/>
    <n v="287.25"/>
    <s v="NEGATIVE SALES"/>
    <n v="2648.9247"/>
  </r>
  <r>
    <n v="3474"/>
    <s v="Christine"/>
    <s v="Henderson"/>
    <s v="Slip-Ons"/>
    <n v="0"/>
    <n v="3494.86"/>
    <n v="0.663333333333334"/>
    <n v="0"/>
    <d v="2024-09-24T00:00:00"/>
    <x v="2"/>
    <x v="1"/>
    <n v="-76.849999999999994"/>
    <s v="NEGATIVE SALES"/>
    <n v="0"/>
  </r>
  <r>
    <n v="3475"/>
    <s v="Mitchell"/>
    <s v="Lloyd"/>
    <s v="Bomber Jacket"/>
    <n v="0"/>
    <n v="2185.83"/>
    <n v="0.13"/>
    <n v="0"/>
    <d v="2024-09-24T00:00:00"/>
    <x v="2"/>
    <x v="2"/>
    <n v="714.12"/>
    <s v="NEGATIVE SALES"/>
    <n v="0"/>
  </r>
  <r>
    <n v="3476"/>
    <s v="Nicholas"/>
    <s v="Johnson"/>
    <s v="Maxi Dress"/>
    <n v="0"/>
    <n v="4804.91"/>
    <n v="0.73"/>
    <n v="0"/>
    <d v="2024-08-15T00:00:00"/>
    <x v="0"/>
    <x v="0"/>
    <n v="407.85"/>
    <s v="NEGATIVE SALES"/>
    <n v="0"/>
  </r>
  <r>
    <n v="3477"/>
    <s v="Miss"/>
    <s v="Alexa"/>
    <s v="Wrap Dress"/>
    <n v="0"/>
    <n v="2623.402"/>
    <n v="0.86"/>
    <n v="0"/>
    <d v="2024-08-15T00:00:00"/>
    <x v="2"/>
    <x v="1"/>
    <n v="292.83"/>
    <s v="NEGATIVE SALES"/>
    <n v="0"/>
  </r>
  <r>
    <n v="3478"/>
    <s v="Gerald"/>
    <s v="Webb"/>
    <s v="Denim Jacket"/>
    <n v="0"/>
    <n v="2467.58"/>
    <n v="0.71142857142857097"/>
    <n v="0"/>
    <d v="2023-12-31T00:00:00"/>
    <x v="4"/>
    <x v="2"/>
    <n v="2602.44"/>
    <s v="NEGATIVE SALES"/>
    <n v="0"/>
  </r>
  <r>
    <n v="3479"/>
    <s v="David"/>
    <s v="Harper"/>
    <s v="Leather Jacket"/>
    <n v="0"/>
    <n v="2858.94"/>
    <n v="1.19"/>
    <n v="0"/>
    <d v="2024-09-19T00:00:00"/>
    <x v="2"/>
    <x v="1"/>
    <n v="-262.73"/>
    <s v="NEGATIVE SALES"/>
    <n v="0"/>
  </r>
  <r>
    <n v="3480"/>
    <s v="Mrs."/>
    <s v="Jessica"/>
    <s v="Sneakers"/>
    <n v="0"/>
    <n v="2467.58"/>
    <n v="0.28000000000000003"/>
    <n v="0"/>
    <d v="2024-09-19T00:00:00"/>
    <x v="4"/>
    <x v="0"/>
    <n v="1553.3"/>
    <s v="NEGATIVE SALES"/>
    <n v="0"/>
  </r>
  <r>
    <n v="3481"/>
    <s v="Sarah"/>
    <s v="Brooks"/>
    <s v="Boyfriend Jeans"/>
    <n v="0"/>
    <n v="2437.4753999999998"/>
    <n v="0.70199999999999996"/>
    <n v="0"/>
    <d v="2025-07-09T00:00:00"/>
    <x v="3"/>
    <x v="0"/>
    <n v="-38.119999999999997"/>
    <s v="NEGATIVE SALES"/>
    <n v="0"/>
  </r>
  <r>
    <n v="3482"/>
    <s v="Brenda"/>
    <s v="Gonzales"/>
    <s v="Watches"/>
    <n v="-2"/>
    <n v="1169.8900000000001"/>
    <n v="0.70199999999999996"/>
    <n v="0"/>
    <d v="2025-07-09T00:00:00"/>
    <x v="4"/>
    <x v="0"/>
    <n v="161.94999999999999"/>
    <s v="NEGATIVE SALES"/>
    <n v="-2339.7800000000002"/>
  </r>
  <r>
    <n v="3484"/>
    <s v="Erin"/>
    <s v="Johnson"/>
    <s v="Graphic Tee"/>
    <n v="0"/>
    <n v="2543.1075000000001"/>
    <n v="0.70199999999999996"/>
    <n v="0"/>
    <d v="2025-07-09T00:00:00"/>
    <x v="4"/>
    <x v="0"/>
    <n v="237.05"/>
    <s v="NEGATIVE SALES"/>
    <n v="0"/>
  </r>
  <r>
    <n v="3485"/>
    <s v="Elizabeth"/>
    <s v="Garcia"/>
    <s v="Watches"/>
    <n v="0"/>
    <n v="2951.53"/>
    <n v="0.70199999999999996"/>
    <n v="0"/>
    <d v="2024-09-12T00:00:00"/>
    <x v="4"/>
    <x v="0"/>
    <n v="-492.53"/>
    <s v="NEGATIVE SALES"/>
    <n v="0"/>
  </r>
  <r>
    <n v="3486"/>
    <s v="Nathan"/>
    <s v="Webb"/>
    <s v="Classic Tee"/>
    <n v="-2"/>
    <n v="2543.1075000000001"/>
    <n v="0.70199999999999996"/>
    <n v="0"/>
    <d v="2024-09-12T00:00:00"/>
    <x v="5"/>
    <x v="1"/>
    <n v="-439.26"/>
    <s v="NEGATIVE SALES"/>
    <n v="-5086.2150000000001"/>
  </r>
  <r>
    <n v="3487"/>
    <s v="Kathryn"/>
    <s v="Swanson"/>
    <s v="Crop Top"/>
    <n v="5"/>
    <n v="1683.74"/>
    <n v="0.57999999999999996"/>
    <n v="3535.85"/>
    <d v="2025-01-13T00:00:00"/>
    <x v="3"/>
    <x v="0"/>
    <n v="419.44"/>
    <s v="POSITIVE SALES"/>
    <n v="8418.7000000000007"/>
  </r>
  <r>
    <n v="3488"/>
    <s v="Lisa"/>
    <s v="Nelson"/>
    <s v="Watches"/>
    <n v="0"/>
    <n v="3029.54"/>
    <n v="0.73250000000000004"/>
    <n v="0"/>
    <d v="2024-12-15T00:00:00"/>
    <x v="2"/>
    <x v="1"/>
    <n v="2537.46"/>
    <s v="NEGATIVE SALES"/>
    <n v="0"/>
  </r>
  <r>
    <n v="3489"/>
    <s v="Donald"/>
    <s v="George"/>
    <s v="Bomber Jacket"/>
    <n v="2"/>
    <n v="599.07000000000005"/>
    <n v="0.15"/>
    <n v="1018.42"/>
    <d v="2024-12-15T00:00:00"/>
    <x v="0"/>
    <x v="2"/>
    <n v="1962.34"/>
    <s v="POSITIVE SALES"/>
    <n v="1198.1400000000001"/>
  </r>
  <r>
    <n v="3490"/>
    <s v="Preston"/>
    <s v="Carroll"/>
    <s v="Bodycon"/>
    <n v="0"/>
    <n v="2784.76"/>
    <n v="0.86"/>
    <n v="0"/>
    <d v="2023-11-16T00:00:00"/>
    <x v="5"/>
    <x v="1"/>
    <n v="1373.37"/>
    <s v="NEGATIVE SALES"/>
    <n v="0"/>
  </r>
  <r>
    <n v="3491"/>
    <s v="Timothy"/>
    <s v="Hamilton"/>
    <s v="Boyfriend Jeans"/>
    <n v="0"/>
    <n v="4126.3900000000003"/>
    <n v="0.96"/>
    <n v="0"/>
    <d v="2024-11-25T00:00:00"/>
    <x v="2"/>
    <x v="2"/>
    <n v="638.9"/>
    <s v="NEGATIVE SALES"/>
    <n v="0"/>
  </r>
  <r>
    <n v="3492"/>
    <s v="Jonathan"/>
    <s v="Meadows"/>
    <s v="Ripped Denim"/>
    <n v="0"/>
    <n v="3084.73"/>
    <n v="0.86"/>
    <n v="0"/>
    <d v="2024-11-25T00:00:00"/>
    <x v="2"/>
    <x v="1"/>
    <n v="2534.3200000000002"/>
    <s v="NEGATIVE SALES"/>
    <n v="0"/>
  </r>
  <r>
    <n v="3493"/>
    <s v="Keith"/>
    <s v="Manning"/>
    <s v="Casual Midi"/>
    <n v="5"/>
    <n v="2935.56"/>
    <n v="1.06"/>
    <n v="0"/>
    <d v="2025-01-21T00:00:00"/>
    <x v="0"/>
    <x v="1"/>
    <n v="-410.86"/>
    <s v="NEGATIVE SALES"/>
    <n v="14677.8"/>
  </r>
  <r>
    <n v="3494"/>
    <s v="Ryan"/>
    <s v="West"/>
    <s v="Slim Fit Jeans"/>
    <n v="0"/>
    <n v="2451.5059999999999"/>
    <n v="1.06"/>
    <n v="0"/>
    <d v="2025-01-21T00:00:00"/>
    <x v="1"/>
    <x v="1"/>
    <n v="-219.82"/>
    <s v="NEGATIVE SALES"/>
    <n v="0"/>
  </r>
  <r>
    <n v="3495"/>
    <s v="Allen"/>
    <s v="Williams"/>
    <s v="Oversized T-Shirt"/>
    <n v="0"/>
    <n v="848.79"/>
    <n v="1.06"/>
    <n v="0"/>
    <d v="2025-01-21T00:00:00"/>
    <x v="2"/>
    <x v="1"/>
    <n v="2259"/>
    <s v="NEGATIVE SALES"/>
    <n v="0"/>
  </r>
  <r>
    <n v="3496"/>
    <s v="Jonathan"/>
    <s v="Hill"/>
    <s v="Loafers"/>
    <n v="4"/>
    <n v="2330.4924999999998"/>
    <n v="1.06"/>
    <n v="0"/>
    <d v="2024-03-10T00:00:00"/>
    <x v="5"/>
    <x v="2"/>
    <n v="2232.98"/>
    <s v="NEGATIVE SALES"/>
    <n v="9321.9699999999993"/>
  </r>
  <r>
    <n v="3497"/>
    <s v="Alejandro"/>
    <s v="Cochran"/>
    <s v="Bomber Jacket"/>
    <n v="0"/>
    <n v="3389.24"/>
    <n v="1.06"/>
    <n v="0"/>
    <d v="2024-03-10T00:00:00"/>
    <x v="1"/>
    <x v="0"/>
    <n v="1955.31"/>
    <s v="NEGATIVE SALES"/>
    <n v="0"/>
  </r>
  <r>
    <n v="3498"/>
    <s v="Angela"/>
    <s v="Adkins"/>
    <s v="Straight Cut"/>
    <n v="5"/>
    <n v="3844.19"/>
    <n v="0.6"/>
    <n v="0"/>
    <d v="2024-07-24T00:00:00"/>
    <x v="5"/>
    <x v="1"/>
    <n v="2967"/>
    <s v="NEGATIVE SALES"/>
    <n v="19220.95"/>
  </r>
  <r>
    <n v="3499"/>
    <s v="Zachary"/>
    <s v="Werner"/>
    <s v="Graphic Tee"/>
    <n v="6"/>
    <n v="1239.75"/>
    <n v="0.6"/>
    <n v="0"/>
    <d v="2024-07-24T00:00:00"/>
    <x v="2"/>
    <x v="0"/>
    <n v="715.15"/>
    <s v="NEGATIVE SALES"/>
    <n v="743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221374-14DC-4BCD-9CB0-A220FFFDC18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EGMENT">
  <location ref="A9:B13" firstHeaderRow="1" firstDataRow="1" firstDataCol="1"/>
  <pivotFields count="14">
    <pivotField showAll="0"/>
    <pivotField showAll="0"/>
    <pivotField showAll="0"/>
    <pivotField showAll="0"/>
    <pivotField showAll="0"/>
    <pivotField numFmtId="164" showAll="0"/>
    <pivotField dataField="1" numFmtId="10" showAll="0"/>
    <pivotField numFmtId="164" showAll="0"/>
    <pivotField numFmtId="14" showAll="0"/>
    <pivotField showAll="0">
      <items count="7">
        <item x="1"/>
        <item x="3"/>
        <item x="0"/>
        <item x="5"/>
        <item x="2"/>
        <item x="4"/>
        <item t="default"/>
      </items>
    </pivotField>
    <pivotField axis="axisRow" showAll="0">
      <items count="4">
        <item x="2"/>
        <item x="0"/>
        <item x="1"/>
        <item t="default"/>
      </items>
    </pivotField>
    <pivotField numFmtId="164" showAll="0"/>
    <pivotField showAll="0"/>
    <pivotField numFmtId="164" showAll="0"/>
  </pivotFields>
  <rowFields count="1">
    <field x="10"/>
  </rowFields>
  <rowItems count="4">
    <i>
      <x/>
    </i>
    <i>
      <x v="1"/>
    </i>
    <i>
      <x v="2"/>
    </i>
    <i t="grand">
      <x/>
    </i>
  </rowItems>
  <colItems count="1">
    <i/>
  </colItems>
  <dataFields count="1">
    <dataField name="AVG DISCOUNT" fld="6" subtotal="average" baseField="0" baseItem="0" numFmtId="10"/>
  </dataFields>
  <formats count="6">
    <format dxfId="41">
      <pivotArea type="all" dataOnly="0" outline="0" fieldPosition="0"/>
    </format>
    <format dxfId="40">
      <pivotArea outline="0" collapsedLevelsAreSubtotals="1" fieldPosition="0"/>
    </format>
    <format dxfId="39">
      <pivotArea field="10" type="button" dataOnly="0" labelOnly="1" outline="0" axis="axisRow" fieldPosition="0"/>
    </format>
    <format dxfId="38">
      <pivotArea dataOnly="0" labelOnly="1" fieldPosition="0">
        <references count="1">
          <reference field="10" count="0"/>
        </references>
      </pivotArea>
    </format>
    <format dxfId="37">
      <pivotArea dataOnly="0" labelOnly="1" grandRow="1" outline="0" fieldPosition="0"/>
    </format>
    <format dxfId="3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E83957-ABC4-4D91-902B-B47E8834CA2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ITY">
  <location ref="A1:B8" firstHeaderRow="1" firstDataRow="1" firstDataCol="1"/>
  <pivotFields count="14">
    <pivotField showAll="0"/>
    <pivotField showAll="0"/>
    <pivotField showAll="0"/>
    <pivotField showAll="0"/>
    <pivotField showAll="0"/>
    <pivotField numFmtId="164" showAll="0"/>
    <pivotField numFmtId="10" showAll="0"/>
    <pivotField numFmtId="164" showAll="0"/>
    <pivotField numFmtId="14" showAll="0"/>
    <pivotField axis="axisRow" showAll="0">
      <items count="7">
        <item x="1"/>
        <item x="3"/>
        <item x="0"/>
        <item x="5"/>
        <item x="2"/>
        <item x="4"/>
        <item t="default"/>
      </items>
    </pivotField>
    <pivotField showAll="0">
      <items count="4">
        <item x="2"/>
        <item x="0"/>
        <item x="1"/>
        <item t="default"/>
      </items>
    </pivotField>
    <pivotField dataField="1" numFmtId="164" showAll="0"/>
    <pivotField showAll="0"/>
    <pivotField numFmtId="164" showAll="0"/>
  </pivotFields>
  <rowFields count="1">
    <field x="9"/>
  </rowFields>
  <rowItems count="7">
    <i>
      <x/>
    </i>
    <i>
      <x v="1"/>
    </i>
    <i>
      <x v="2"/>
    </i>
    <i>
      <x v="3"/>
    </i>
    <i>
      <x v="4"/>
    </i>
    <i>
      <x v="5"/>
    </i>
    <i t="grand">
      <x/>
    </i>
  </rowItems>
  <colItems count="1">
    <i/>
  </colItems>
  <dataFields count="1">
    <dataField name="TOTAL PROFIT" fld="11" baseField="0" baseItem="0" numFmtId="164"/>
  </dataFields>
  <formats count="6">
    <format dxfId="47">
      <pivotArea type="all" dataOnly="0" outline="0" fieldPosition="0"/>
    </format>
    <format dxfId="46">
      <pivotArea outline="0" collapsedLevelsAreSubtotals="1" fieldPosition="0"/>
    </format>
    <format dxfId="45">
      <pivotArea field="9" type="button" dataOnly="0" labelOnly="1" outline="0" axis="axisRow" fieldPosition="0"/>
    </format>
    <format dxfId="44">
      <pivotArea dataOnly="0" labelOnly="1" fieldPosition="0">
        <references count="1">
          <reference field="9" count="0"/>
        </references>
      </pivotArea>
    </format>
    <format dxfId="43">
      <pivotArea dataOnly="0" labelOnly="1" grandRow="1" outline="0" fieldPosition="0"/>
    </format>
    <format dxfId="4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A06AF6-89DD-45E9-82CE-EA86233A7EE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CITY">
  <location ref="L9:M16" firstHeaderRow="1" firstDataRow="1" firstDataCol="1"/>
  <pivotFields count="14">
    <pivotField showAll="0"/>
    <pivotField showAll="0"/>
    <pivotField showAll="0"/>
    <pivotField showAll="0"/>
    <pivotField showAll="0"/>
    <pivotField numFmtId="164" showAll="0"/>
    <pivotField numFmtId="10" showAll="0"/>
    <pivotField dataField="1" numFmtId="164" showAll="0"/>
    <pivotField numFmtId="14" showAll="0"/>
    <pivotField axis="axisRow" showAll="0">
      <items count="7">
        <item x="1"/>
        <item x="3"/>
        <item x="0"/>
        <item x="5"/>
        <item x="2"/>
        <item x="4"/>
        <item t="default"/>
      </items>
    </pivotField>
    <pivotField showAll="0">
      <items count="4">
        <item x="2"/>
        <item x="0"/>
        <item x="1"/>
        <item t="default"/>
      </items>
    </pivotField>
    <pivotField numFmtId="164" showAll="0"/>
    <pivotField showAll="0"/>
    <pivotField numFmtId="164" showAll="0"/>
  </pivotFields>
  <rowFields count="1">
    <field x="9"/>
  </rowFields>
  <rowItems count="7">
    <i>
      <x/>
    </i>
    <i>
      <x v="1"/>
    </i>
    <i>
      <x v="2"/>
    </i>
    <i>
      <x v="3"/>
    </i>
    <i>
      <x v="4"/>
    </i>
    <i>
      <x v="5"/>
    </i>
    <i t="grand">
      <x/>
    </i>
  </rowItems>
  <colItems count="1">
    <i/>
  </colItems>
  <dataFields count="1">
    <dataField name="TOTAL SALES AMT" fld="7" baseField="0" baseItem="0" numFmtId="164"/>
  </dataFields>
  <formats count="6">
    <format dxfId="53">
      <pivotArea type="all" dataOnly="0" outline="0" fieldPosition="0"/>
    </format>
    <format dxfId="52">
      <pivotArea outline="0" collapsedLevelsAreSubtotals="1" fieldPosition="0"/>
    </format>
    <format dxfId="51">
      <pivotArea field="9" type="button" dataOnly="0" labelOnly="1" outline="0" axis="axisRow" fieldPosition="0"/>
    </format>
    <format dxfId="50">
      <pivotArea dataOnly="0" labelOnly="1" fieldPosition="0">
        <references count="1">
          <reference field="9" count="0"/>
        </references>
      </pivotArea>
    </format>
    <format dxfId="49">
      <pivotArea dataOnly="0" labelOnly="1" grandRow="1" outline="0" fieldPosition="0"/>
    </format>
    <format dxfId="48">
      <pivotArea dataOnly="0" labelOnly="1" outline="0" axis="axisValues" fieldPosition="0"/>
    </format>
  </formats>
  <chartFormats count="1">
    <chartFormat chart="2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0C4D2E-76A1-4DC4-B163-5FCC9D543A6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ITY">
  <location ref="L1:M8" firstHeaderRow="1" firstDataRow="1" firstDataCol="1"/>
  <pivotFields count="14">
    <pivotField showAll="0"/>
    <pivotField showAll="0"/>
    <pivotField showAll="0"/>
    <pivotField showAll="0"/>
    <pivotField showAll="0"/>
    <pivotField numFmtId="164" showAll="0"/>
    <pivotField numFmtId="10" showAll="0"/>
    <pivotField numFmtId="164" showAll="0"/>
    <pivotField numFmtId="14" showAll="0"/>
    <pivotField axis="axisRow" showAll="0">
      <items count="7">
        <item x="1"/>
        <item x="3"/>
        <item x="0"/>
        <item x="5"/>
        <item x="2"/>
        <item x="4"/>
        <item t="default"/>
      </items>
    </pivotField>
    <pivotField showAll="0">
      <items count="4">
        <item x="2"/>
        <item x="0"/>
        <item x="1"/>
        <item t="default"/>
      </items>
    </pivotField>
    <pivotField numFmtId="164" showAll="0"/>
    <pivotField showAll="0"/>
    <pivotField dataField="1" numFmtId="164" showAll="0"/>
  </pivotFields>
  <rowFields count="1">
    <field x="9"/>
  </rowFields>
  <rowItems count="7">
    <i>
      <x/>
    </i>
    <i>
      <x v="1"/>
    </i>
    <i>
      <x v="2"/>
    </i>
    <i>
      <x v="3"/>
    </i>
    <i>
      <x v="4"/>
    </i>
    <i>
      <x v="5"/>
    </i>
    <i t="grand">
      <x/>
    </i>
  </rowItems>
  <colItems count="1">
    <i/>
  </colItems>
  <dataFields count="1">
    <dataField name="TOTAL REVENUE" fld="13" baseField="0" baseItem="0" numFmtId="164"/>
  </dataFields>
  <formats count="6">
    <format dxfId="59">
      <pivotArea type="all" dataOnly="0" outline="0" fieldPosition="0"/>
    </format>
    <format dxfId="58">
      <pivotArea outline="0" collapsedLevelsAreSubtotals="1" fieldPosition="0"/>
    </format>
    <format dxfId="57">
      <pivotArea field="9" type="button" dataOnly="0" labelOnly="1" outline="0" axis="axisRow" fieldPosition="0"/>
    </format>
    <format dxfId="56">
      <pivotArea dataOnly="0" labelOnly="1" fieldPosition="0">
        <references count="1">
          <reference field="9" count="0"/>
        </references>
      </pivotArea>
    </format>
    <format dxfId="55">
      <pivotArea dataOnly="0" labelOnly="1" grandRow="1" outline="0" fieldPosition="0"/>
    </format>
    <format dxfId="5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A222915-1E6B-4566-9B8A-ACC39620B93E}" autoFormatId="16" applyNumberFormats="0" applyBorderFormats="0" applyFontFormats="0" applyPatternFormats="0" applyAlignmentFormats="0" applyWidthHeightFormats="0">
  <queryTableRefresh nextId="17">
    <queryTableFields count="14">
      <queryTableField id="1" name="Order_ID" tableColumnId="1"/>
      <queryTableField id="2" name="First name" tableColumnId="2"/>
      <queryTableField id="3" name="Last name" tableColumnId="3"/>
      <queryTableField id="5" name="Product_name" tableColumnId="5"/>
      <queryTableField id="6" name="Units_Sold" tableColumnId="6"/>
      <queryTableField id="7" name="Unit_price" tableColumnId="7"/>
      <queryTableField id="8" name="Discount%" tableColumnId="8"/>
      <queryTableField id="9" name="Sales_Amount" tableColumnId="9"/>
      <queryTableField id="10" name="Order_Date" tableColumnId="10"/>
      <queryTableField id="11" name="City" tableColumnId="11"/>
      <queryTableField id="12" name="Segment" tableColumnId="12"/>
      <queryTableField id="13" name="Profit" tableColumnId="13"/>
      <queryTableField id="16" dataBound="0" tableColumnId="16"/>
      <queryTableField id="14" name="Revenue" tableColumnId="14"/>
    </queryTableFields>
    <queryTableDeletedFields count="1">
      <deletedField name="Product_category"/>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D7F3636-E8DA-416D-AC69-EB6B76501CC8}" sourceName="City">
  <pivotTables>
    <pivotTable tabId="6" name="PivotTable7"/>
    <pivotTable tabId="6" name="PivotTable10"/>
    <pivotTable tabId="6" name="PivotTable13"/>
    <pivotTable tabId="6" name="PivotTable16"/>
  </pivotTables>
  <data>
    <tabular pivotCacheId="969409220">
      <items count="6">
        <i x="1" s="1"/>
        <i x="3" s="1"/>
        <i x="0" s="1"/>
        <i x="5"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E4A045F-3079-4D44-8A80-C6FD5BD3C0C5}" sourceName="Segment">
  <pivotTables>
    <pivotTable tabId="6" name="PivotTable7"/>
    <pivotTable tabId="6" name="PivotTable10"/>
    <pivotTable tabId="6" name="PivotTable13"/>
    <pivotTable tabId="6" name="PivotTable16"/>
  </pivotTables>
  <data>
    <tabular pivotCacheId="96940922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3BCDBC7-F831-44B3-8FDB-EE20CD4DD7FD}" cache="Slicer_City" caption="City" startItem="3" rowHeight="251883"/>
  <slicer name="Segment" xr10:uid="{8EF3D894-C042-4408-90D1-4699F3C7B190}" cache="Slicer_Segment" caption="Segment" startItem="1" rowHeight="251883"/>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B0F0FF-F17F-44BE-9320-B4A9C07687AE}" name="Table3" displayName="Table3" ref="A1:E915" totalsRowShown="0">
  <autoFilter ref="A1:E915" xr:uid="{5DB0F0FF-F17F-44BE-9320-B4A9C07687AE}">
    <filterColumn colId="0">
      <filters>
        <dateGroupItem year="2026" dateTimeGrouping="year"/>
      </filters>
    </filterColumn>
  </autoFilter>
  <tableColumns count="5">
    <tableColumn id="1" xr3:uid="{4A340EFC-A792-40EA-98AE-D5A2A70A19E2}" name="Timeline" dataDxfId="35"/>
    <tableColumn id="2" xr3:uid="{602D1CD1-42BE-4065-8BA2-9976DDABE4E0}" name="Values"/>
    <tableColumn id="3" xr3:uid="{85AFCD30-CC8D-447A-9CCA-224AEF99783A}" name="Forecast" dataDxfId="34">
      <calculatedColumnFormula>_xlfn.FORECAST.ETS(A2,$B$2:$B$732,$A$2:$A$732,1,1)</calculatedColumnFormula>
    </tableColumn>
    <tableColumn id="4" xr3:uid="{34AB2385-641A-4C01-BB40-05E2CB9B2A1F}" name="Lower Confidence Bound" dataDxfId="33">
      <calculatedColumnFormula>C2-_xlfn.FORECAST.ETS.CONFINT(A2,$B$2:$B$732,$A$2:$A$732,0.95,1,1)</calculatedColumnFormula>
    </tableColumn>
    <tableColumn id="5" xr3:uid="{719E3212-5D07-4FA7-AB48-37490D908AD9}" name="Upper Confidence Bound" dataDxfId="32">
      <calculatedColumnFormula>C2+_xlfn.FORECAST.ETS.CONFINT(A2,$B$2:$B$732,$A$2:$A$732,0.95,1,1)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C9C43C-2E2E-4CEE-88A5-BAC87BF738EE}" name="Table1" displayName="Table1" ref="Q4:V12" totalsRowShown="0" headerRowDxfId="31" dataDxfId="29" headerRowBorderDxfId="30" tableBorderDxfId="28" totalsRowBorderDxfId="27">
  <autoFilter ref="Q4:V12" xr:uid="{6FC9C43C-2E2E-4CEE-88A5-BAC87BF738EE}"/>
  <tableColumns count="6">
    <tableColumn id="1" xr3:uid="{722C4E48-AD7D-4CB7-9750-FA8C8B60FF3E}" name="Order id" dataDxfId="26"/>
    <tableColumn id="2" xr3:uid="{42405832-6BE1-4918-B878-0CBAADAD6EC9}" name="First name" dataDxfId="25"/>
    <tableColumn id="3" xr3:uid="{DA598574-F1E8-4A44-AD0A-259BA858C7CD}" name="Last name" dataDxfId="24"/>
    <tableColumn id="4" xr3:uid="{F0344DAA-FC8C-4A9C-A6D4-0D8A1ADE41CD}" name="Product_brand" dataDxfId="23"/>
    <tableColumn id="5" xr3:uid="{D61BE45F-7AB7-4D98-A230-80803C57D25F}" name="Units_Sold" dataDxfId="22"/>
    <tableColumn id="6" xr3:uid="{D3645719-C4AF-450A-8DCA-34D8052E0003}" name="City" dataDxfId="21"/>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B6CE88F-3CF4-4BC5-9C2C-9A8206E061E9}" name="Table4" displayName="Table4" ref="M2:O17" totalsRowShown="0" tableBorderDxfId="20">
  <autoFilter ref="M2:O17" xr:uid="{0B6CE88F-3CF4-4BC5-9C2C-9A8206E061E9}"/>
  <tableColumns count="3">
    <tableColumn id="1" xr3:uid="{C7CEB163-9E39-4A05-988A-B07DCBA4EDB9}" name="Order id" dataDxfId="19"/>
    <tableColumn id="2" xr3:uid="{50120C1C-FDFA-4EDD-B51B-AB45CAC78539}" name="Unit_price" dataDxfId="18"/>
    <tableColumn id="3" xr3:uid="{BEC9FFFD-629E-4F8D-B76E-DAC0BAF6859B}" name="City" dataDxfId="17">
      <calculatedColumnFormula>_xlfn.XLOOKUP(M3,$Q$5:$Q$12,$V$5:$V$12,"NOT FOUND",0)</calculatedColumnFormula>
    </tableColumn>
  </tableColumns>
  <tableStyleInfo name="TableStyleLight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2F83FD2-8814-4ADD-ABE8-089A6E26ED90}" name="SNITCH_FASHION" displayName="SNITCH_FASHION" ref="A1:N2501" tableType="queryTable" totalsRowShown="0">
  <autoFilter ref="A1:N2501" xr:uid="{32F83FD2-8814-4ADD-ABE8-089A6E26ED90}">
    <filterColumn colId="10">
      <filters>
        <filter val="B2B"/>
        <filter val="B2C"/>
      </filters>
    </filterColumn>
  </autoFilter>
  <tableColumns count="14">
    <tableColumn id="1" xr3:uid="{B21B15FB-917F-43BC-BA72-28D5184C6821}" uniqueName="1" name="Order id" queryTableFieldId="1"/>
    <tableColumn id="2" xr3:uid="{854C21EA-DFB3-456F-A5FE-CD0BC1606A2C}" uniqueName="2" name="First name" queryTableFieldId="2" dataDxfId="16"/>
    <tableColumn id="3" xr3:uid="{F9B05076-E0ED-40A0-BEB6-9459C5D70037}" uniqueName="3" name="Last name" queryTableFieldId="3" dataDxfId="15"/>
    <tableColumn id="5" xr3:uid="{AEDF257C-C24E-4913-8766-4691D9E3DE50}" uniqueName="5" name="Product_brand" queryTableFieldId="5" dataDxfId="14"/>
    <tableColumn id="6" xr3:uid="{7A5190D5-E618-4F23-8D68-3E5DF06FAF03}" uniqueName="6" name="Units_Sold" queryTableFieldId="6" dataDxfId="13"/>
    <tableColumn id="7" xr3:uid="{0BCBAE17-5D09-43EF-9091-18149C381E97}" uniqueName="7" name="Unit_price" queryTableFieldId="7" dataDxfId="12" totalsRowDxfId="11"/>
    <tableColumn id="8" xr3:uid="{81A8B36F-D697-45C5-AEF4-5FADBAA98E7D}" uniqueName="8" name="Discount%" queryTableFieldId="8" dataDxfId="10"/>
    <tableColumn id="9" xr3:uid="{0DDEE232-F2A4-49F2-9101-24CBD1AF4474}" uniqueName="9" name="Sales_Amount" queryTableFieldId="9" dataDxfId="9"/>
    <tableColumn id="10" xr3:uid="{5F91636E-5164-46AE-ABDD-535D35673208}" uniqueName="10" name="Order_Date" queryTableFieldId="10" dataDxfId="8"/>
    <tableColumn id="11" xr3:uid="{1C40AB59-128D-4CC0-A7BE-6180FBB51409}" uniqueName="11" name="City" queryTableFieldId="11" dataDxfId="7"/>
    <tableColumn id="12" xr3:uid="{0C7226F9-0DD0-4BD6-8E09-ED1298C618EF}" uniqueName="12" name="Segment" queryTableFieldId="12" dataDxfId="6"/>
    <tableColumn id="13" xr3:uid="{CC46C7D0-2199-4C98-9970-574A0B6B4EB2}" uniqueName="13" name="Profit" queryTableFieldId="13" dataDxfId="5" totalsRowDxfId="4"/>
    <tableColumn id="16" xr3:uid="{1DC33C82-B4B4-4D19-9C44-3386452E606A}" uniqueName="16" name="Sales range" queryTableFieldId="16" dataDxfId="3"/>
    <tableColumn id="14" xr3:uid="{A6F6EB37-D365-4568-AE2F-65D60CEE37C2}" uniqueName="14" name="Revenue" queryTableFieldId="14" dataDxfId="2" totalsRow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89F097F-2C18-4075-9084-0A746C3FDAA0}">
  <we:reference id="wa104379190" version="2.0.0.0" store="en-US" storeType="OMEX"/>
  <we:alternateReferences>
    <we:reference id="WA104379190" version="2.0.0.0" store="" storeType="OMEX"/>
  </we:alternateReferences>
  <we:properties/>
  <we:bindings>
    <we:binding id="RangeSelect" type="matrix" appref="{305F1943-A4FE-4680-B112-49692F7D9230}"/>
    <we:binding id="Output" type="matrix" appref="{C61E90F9-A1CD-43BE-B5E0-45A1DB1DA05F}"/>
    <we:binding id="Input" type="matrix" appref="{B9CA6D4D-353B-4E3B-93DD-606FD67DA549}"/>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42D25-7B06-4771-8921-3CE973829286}">
  <dimension ref="A1:E915"/>
  <sheetViews>
    <sheetView topLeftCell="C1" workbookViewId="0">
      <selection activeCell="H912" sqref="H912"/>
    </sheetView>
  </sheetViews>
  <sheetFormatPr defaultRowHeight="14.5" x14ac:dyDescent="0.35"/>
  <cols>
    <col min="1" max="1" width="10.08984375" bestFit="1" customWidth="1"/>
    <col min="2" max="2" width="10.26953125" bestFit="1" customWidth="1"/>
    <col min="3" max="3" width="10" customWidth="1"/>
    <col min="4" max="4" width="23.54296875" customWidth="1"/>
    <col min="5" max="5" width="23.7265625" customWidth="1"/>
  </cols>
  <sheetData>
    <row r="1" spans="1:5" x14ac:dyDescent="0.35">
      <c r="A1" t="s">
        <v>1257</v>
      </c>
      <c r="B1" t="s">
        <v>1258</v>
      </c>
      <c r="C1" t="s">
        <v>1259</v>
      </c>
      <c r="D1" t="s">
        <v>1260</v>
      </c>
      <c r="E1" t="s">
        <v>1261</v>
      </c>
    </row>
    <row r="2" spans="1:5" hidden="1" x14ac:dyDescent="0.35">
      <c r="A2" s="1">
        <v>45130</v>
      </c>
      <c r="B2" s="3">
        <v>6856.2550000000001</v>
      </c>
    </row>
    <row r="3" spans="1:5" hidden="1" x14ac:dyDescent="0.35">
      <c r="A3" s="1">
        <v>45131</v>
      </c>
      <c r="B3" s="3">
        <v>6681.3693500000008</v>
      </c>
    </row>
    <row r="4" spans="1:5" hidden="1" x14ac:dyDescent="0.35">
      <c r="A4" s="1">
        <v>45132</v>
      </c>
      <c r="B4" s="3">
        <v>6506.4837000000007</v>
      </c>
    </row>
    <row r="5" spans="1:5" hidden="1" x14ac:dyDescent="0.35">
      <c r="A5" s="1">
        <v>45133</v>
      </c>
      <c r="B5" s="3">
        <v>5913.7</v>
      </c>
    </row>
    <row r="6" spans="1:5" hidden="1" x14ac:dyDescent="0.35">
      <c r="A6" s="1">
        <v>45134</v>
      </c>
      <c r="B6" s="3">
        <v>6819.3850499999999</v>
      </c>
    </row>
    <row r="7" spans="1:5" hidden="1" x14ac:dyDescent="0.35">
      <c r="A7" s="1">
        <v>45135</v>
      </c>
      <c r="B7" s="3">
        <v>3080.50695</v>
      </c>
    </row>
    <row r="8" spans="1:5" hidden="1" x14ac:dyDescent="0.35">
      <c r="A8" s="1">
        <v>45136</v>
      </c>
      <c r="B8" s="3">
        <v>-747.14142857142849</v>
      </c>
    </row>
    <row r="9" spans="1:5" hidden="1" x14ac:dyDescent="0.35">
      <c r="A9" s="1">
        <v>45137</v>
      </c>
      <c r="B9" s="3">
        <v>-5376.0403999999999</v>
      </c>
    </row>
    <row r="10" spans="1:5" hidden="1" x14ac:dyDescent="0.35">
      <c r="A10" s="1">
        <v>45138</v>
      </c>
      <c r="B10" s="3">
        <v>11002.62</v>
      </c>
    </row>
    <row r="11" spans="1:5" hidden="1" x14ac:dyDescent="0.35">
      <c r="A11" s="1">
        <v>45139</v>
      </c>
      <c r="B11" s="3">
        <v>15696.015000000001</v>
      </c>
    </row>
    <row r="12" spans="1:5" hidden="1" x14ac:dyDescent="0.35">
      <c r="A12" s="1">
        <v>45140</v>
      </c>
      <c r="B12" s="3">
        <v>20389.410000000003</v>
      </c>
    </row>
    <row r="13" spans="1:5" hidden="1" x14ac:dyDescent="0.35">
      <c r="A13" s="1">
        <v>45141</v>
      </c>
      <c r="B13" s="3">
        <v>25082.805</v>
      </c>
    </row>
    <row r="14" spans="1:5" hidden="1" x14ac:dyDescent="0.35">
      <c r="A14" s="1">
        <v>45142</v>
      </c>
      <c r="B14" s="3">
        <v>29776.2</v>
      </c>
    </row>
    <row r="15" spans="1:5" hidden="1" x14ac:dyDescent="0.35">
      <c r="A15" s="1">
        <v>45143</v>
      </c>
      <c r="B15" s="3">
        <v>0</v>
      </c>
    </row>
    <row r="16" spans="1:5" hidden="1" x14ac:dyDescent="0.35">
      <c r="A16" s="1">
        <v>45144</v>
      </c>
      <c r="B16" s="3">
        <v>0</v>
      </c>
    </row>
    <row r="17" spans="1:2" hidden="1" x14ac:dyDescent="0.35">
      <c r="A17" s="1">
        <v>45145</v>
      </c>
      <c r="B17" s="3">
        <v>0</v>
      </c>
    </row>
    <row r="18" spans="1:2" hidden="1" x14ac:dyDescent="0.35">
      <c r="A18" s="1">
        <v>45146</v>
      </c>
      <c r="B18" s="3">
        <v>0</v>
      </c>
    </row>
    <row r="19" spans="1:2" hidden="1" x14ac:dyDescent="0.35">
      <c r="A19" s="1">
        <v>45147</v>
      </c>
      <c r="B19" s="3">
        <v>-2733.5553</v>
      </c>
    </row>
    <row r="20" spans="1:2" hidden="1" x14ac:dyDescent="0.35">
      <c r="A20" s="1">
        <v>45148</v>
      </c>
      <c r="B20" s="3">
        <v>-1372.22975</v>
      </c>
    </row>
    <row r="21" spans="1:2" hidden="1" x14ac:dyDescent="0.35">
      <c r="A21" s="1">
        <v>45149</v>
      </c>
      <c r="B21" s="3">
        <v>1169.7827750000001</v>
      </c>
    </row>
    <row r="22" spans="1:2" hidden="1" x14ac:dyDescent="0.35">
      <c r="A22" s="1">
        <v>45150</v>
      </c>
      <c r="B22" s="3">
        <v>3711.7952999999998</v>
      </c>
    </row>
    <row r="23" spans="1:2" hidden="1" x14ac:dyDescent="0.35">
      <c r="A23" s="1">
        <v>45151</v>
      </c>
      <c r="B23" s="3">
        <v>3587.812857142857</v>
      </c>
    </row>
    <row r="24" spans="1:2" hidden="1" x14ac:dyDescent="0.35">
      <c r="A24" s="1">
        <v>45152</v>
      </c>
      <c r="B24" s="3">
        <v>3421.4984085714286</v>
      </c>
    </row>
    <row r="25" spans="1:2" hidden="1" x14ac:dyDescent="0.35">
      <c r="A25" s="1">
        <v>45153</v>
      </c>
      <c r="B25" s="3">
        <v>3255.1839599999998</v>
      </c>
    </row>
    <row r="26" spans="1:2" hidden="1" x14ac:dyDescent="0.35">
      <c r="A26" s="1">
        <v>45154</v>
      </c>
      <c r="B26" s="3">
        <v>1627.5919799999999</v>
      </c>
    </row>
    <row r="27" spans="1:2" hidden="1" x14ac:dyDescent="0.35">
      <c r="A27" s="1">
        <v>45155</v>
      </c>
      <c r="B27" s="3">
        <v>0</v>
      </c>
    </row>
    <row r="28" spans="1:2" hidden="1" x14ac:dyDescent="0.35">
      <c r="A28" s="1">
        <v>45156</v>
      </c>
      <c r="B28" s="3">
        <v>0</v>
      </c>
    </row>
    <row r="29" spans="1:2" hidden="1" x14ac:dyDescent="0.35">
      <c r="A29" s="1">
        <v>45157</v>
      </c>
      <c r="B29" s="3">
        <v>6253.6459666666669</v>
      </c>
    </row>
    <row r="30" spans="1:2" hidden="1" x14ac:dyDescent="0.35">
      <c r="A30" s="1">
        <v>45158</v>
      </c>
      <c r="B30" s="3">
        <v>0</v>
      </c>
    </row>
    <row r="31" spans="1:2" hidden="1" x14ac:dyDescent="0.35">
      <c r="A31" s="1">
        <v>45159</v>
      </c>
      <c r="B31" s="3">
        <v>-9764.06</v>
      </c>
    </row>
    <row r="32" spans="1:2" hidden="1" x14ac:dyDescent="0.35">
      <c r="A32" s="1">
        <v>45160</v>
      </c>
      <c r="B32" s="3">
        <v>5587.78</v>
      </c>
    </row>
    <row r="33" spans="1:2" hidden="1" x14ac:dyDescent="0.35">
      <c r="A33" s="1">
        <v>45161</v>
      </c>
      <c r="B33" s="3">
        <v>5492.2284</v>
      </c>
    </row>
    <row r="34" spans="1:2" hidden="1" x14ac:dyDescent="0.35">
      <c r="A34" s="1">
        <v>45162</v>
      </c>
      <c r="B34" s="3">
        <v>0</v>
      </c>
    </row>
    <row r="35" spans="1:2" hidden="1" x14ac:dyDescent="0.35">
      <c r="A35" s="1">
        <v>45163</v>
      </c>
      <c r="B35" s="3">
        <v>0</v>
      </c>
    </row>
    <row r="36" spans="1:2" hidden="1" x14ac:dyDescent="0.35">
      <c r="A36" s="1">
        <v>45164</v>
      </c>
      <c r="B36" s="3">
        <v>0</v>
      </c>
    </row>
    <row r="37" spans="1:2" hidden="1" x14ac:dyDescent="0.35">
      <c r="A37" s="1">
        <v>45165</v>
      </c>
      <c r="B37" s="3">
        <v>0</v>
      </c>
    </row>
    <row r="38" spans="1:2" hidden="1" x14ac:dyDescent="0.35">
      <c r="A38" s="1">
        <v>45166</v>
      </c>
      <c r="B38" s="3">
        <v>912.06433333333337</v>
      </c>
    </row>
    <row r="39" spans="1:2" hidden="1" x14ac:dyDescent="0.35">
      <c r="A39" s="1">
        <v>45167</v>
      </c>
      <c r="B39" s="3">
        <v>0</v>
      </c>
    </row>
    <row r="40" spans="1:2" hidden="1" x14ac:dyDescent="0.35">
      <c r="A40" s="1">
        <v>45168</v>
      </c>
      <c r="B40" s="3">
        <v>1423.51</v>
      </c>
    </row>
    <row r="41" spans="1:2" hidden="1" x14ac:dyDescent="0.35">
      <c r="A41" s="1">
        <v>45169</v>
      </c>
      <c r="B41" s="3">
        <v>2847.02</v>
      </c>
    </row>
    <row r="42" spans="1:2" hidden="1" x14ac:dyDescent="0.35">
      <c r="A42" s="1">
        <v>45170</v>
      </c>
      <c r="B42" s="3">
        <v>4270.53</v>
      </c>
    </row>
    <row r="43" spans="1:2" hidden="1" x14ac:dyDescent="0.35">
      <c r="A43" s="1">
        <v>45171</v>
      </c>
      <c r="B43" s="3">
        <v>5694.04</v>
      </c>
    </row>
    <row r="44" spans="1:2" hidden="1" x14ac:dyDescent="0.35">
      <c r="A44" s="1">
        <v>45172</v>
      </c>
      <c r="B44" s="3">
        <v>3209.31</v>
      </c>
    </row>
    <row r="45" spans="1:2" hidden="1" x14ac:dyDescent="0.35">
      <c r="A45" s="1">
        <v>45173</v>
      </c>
      <c r="B45" s="3">
        <v>2917.9</v>
      </c>
    </row>
    <row r="46" spans="1:2" hidden="1" x14ac:dyDescent="0.35">
      <c r="A46" s="1">
        <v>45174</v>
      </c>
      <c r="B46" s="3">
        <v>2626.49</v>
      </c>
    </row>
    <row r="47" spans="1:2" hidden="1" x14ac:dyDescent="0.35">
      <c r="A47" s="1">
        <v>45175</v>
      </c>
      <c r="B47" s="3">
        <v>2335.08</v>
      </c>
    </row>
    <row r="48" spans="1:2" hidden="1" x14ac:dyDescent="0.35">
      <c r="A48" s="1">
        <v>45176</v>
      </c>
      <c r="B48" s="3">
        <v>2043.67</v>
      </c>
    </row>
    <row r="49" spans="1:2" hidden="1" x14ac:dyDescent="0.35">
      <c r="A49" s="1">
        <v>45177</v>
      </c>
      <c r="B49" s="3">
        <v>1021.835</v>
      </c>
    </row>
    <row r="50" spans="1:2" hidden="1" x14ac:dyDescent="0.35">
      <c r="A50" s="1">
        <v>45178</v>
      </c>
      <c r="B50" s="3">
        <v>0</v>
      </c>
    </row>
    <row r="51" spans="1:2" hidden="1" x14ac:dyDescent="0.35">
      <c r="A51" s="1">
        <v>45179</v>
      </c>
      <c r="B51" s="3">
        <v>0</v>
      </c>
    </row>
    <row r="52" spans="1:2" hidden="1" x14ac:dyDescent="0.35">
      <c r="A52" s="1">
        <v>45180</v>
      </c>
      <c r="B52" s="3">
        <v>0</v>
      </c>
    </row>
    <row r="53" spans="1:2" hidden="1" x14ac:dyDescent="0.35">
      <c r="A53" s="1">
        <v>45181</v>
      </c>
      <c r="B53" s="3">
        <v>0</v>
      </c>
    </row>
    <row r="54" spans="1:2" hidden="1" x14ac:dyDescent="0.35">
      <c r="A54" s="1">
        <v>45182</v>
      </c>
      <c r="B54" s="3">
        <v>0</v>
      </c>
    </row>
    <row r="55" spans="1:2" hidden="1" x14ac:dyDescent="0.35">
      <c r="A55" s="1">
        <v>45183</v>
      </c>
      <c r="B55" s="3">
        <v>5053.54</v>
      </c>
    </row>
    <row r="56" spans="1:2" hidden="1" x14ac:dyDescent="0.35">
      <c r="A56" s="1">
        <v>45184</v>
      </c>
      <c r="B56" s="3">
        <v>2862.48</v>
      </c>
    </row>
    <row r="57" spans="1:2" hidden="1" x14ac:dyDescent="0.35">
      <c r="A57" s="1">
        <v>45185</v>
      </c>
      <c r="B57" s="3">
        <v>1431.24</v>
      </c>
    </row>
    <row r="58" spans="1:2" hidden="1" x14ac:dyDescent="0.35">
      <c r="A58" s="1">
        <v>45186</v>
      </c>
      <c r="B58" s="3">
        <v>0</v>
      </c>
    </row>
    <row r="59" spans="1:2" hidden="1" x14ac:dyDescent="0.35">
      <c r="A59" s="1">
        <v>45187</v>
      </c>
      <c r="B59" s="3">
        <v>-209.31791666666666</v>
      </c>
    </row>
    <row r="60" spans="1:2" hidden="1" x14ac:dyDescent="0.35">
      <c r="A60" s="1">
        <v>45188</v>
      </c>
      <c r="B60" s="3">
        <v>-418.63583333333332</v>
      </c>
    </row>
    <row r="61" spans="1:2" hidden="1" x14ac:dyDescent="0.35">
      <c r="A61" s="1">
        <v>45189</v>
      </c>
      <c r="B61" s="3">
        <v>-627.95375000000001</v>
      </c>
    </row>
    <row r="62" spans="1:2" hidden="1" x14ac:dyDescent="0.35">
      <c r="A62" s="1">
        <v>45190</v>
      </c>
      <c r="B62" s="3">
        <v>-837.27166666666665</v>
      </c>
    </row>
    <row r="63" spans="1:2" hidden="1" x14ac:dyDescent="0.35">
      <c r="A63" s="1">
        <v>45191</v>
      </c>
      <c r="B63" s="3">
        <v>-1046.5895833333334</v>
      </c>
    </row>
    <row r="64" spans="1:2" hidden="1" x14ac:dyDescent="0.35">
      <c r="A64" s="1">
        <v>45192</v>
      </c>
      <c r="B64" s="3">
        <v>-1255.9075</v>
      </c>
    </row>
    <row r="65" spans="1:2" hidden="1" x14ac:dyDescent="0.35">
      <c r="A65" s="1">
        <v>45193</v>
      </c>
      <c r="B65" s="3">
        <v>0</v>
      </c>
    </row>
    <row r="66" spans="1:2" hidden="1" x14ac:dyDescent="0.35">
      <c r="A66" s="1">
        <v>45194</v>
      </c>
      <c r="B66" s="3">
        <v>-6314.56</v>
      </c>
    </row>
    <row r="67" spans="1:2" hidden="1" x14ac:dyDescent="0.35">
      <c r="A67" s="1">
        <v>45195</v>
      </c>
      <c r="B67" s="3">
        <v>-4209.7066666666669</v>
      </c>
    </row>
    <row r="68" spans="1:2" hidden="1" x14ac:dyDescent="0.35">
      <c r="A68" s="1">
        <v>45196</v>
      </c>
      <c r="B68" s="3">
        <v>-2104.8533333333335</v>
      </c>
    </row>
    <row r="69" spans="1:2" hidden="1" x14ac:dyDescent="0.35">
      <c r="A69" s="1">
        <v>45197</v>
      </c>
      <c r="B69" s="3">
        <v>0</v>
      </c>
    </row>
    <row r="70" spans="1:2" hidden="1" x14ac:dyDescent="0.35">
      <c r="A70" s="1">
        <v>45198</v>
      </c>
      <c r="B70" s="3">
        <v>-2755.6313</v>
      </c>
    </row>
    <row r="71" spans="1:2" hidden="1" x14ac:dyDescent="0.35">
      <c r="A71" s="1">
        <v>45199</v>
      </c>
      <c r="B71" s="3">
        <v>-5511.2626</v>
      </c>
    </row>
    <row r="72" spans="1:2" hidden="1" x14ac:dyDescent="0.35">
      <c r="A72" s="1">
        <v>45200</v>
      </c>
      <c r="B72" s="3">
        <v>-6700.0913</v>
      </c>
    </row>
    <row r="73" spans="1:2" hidden="1" x14ac:dyDescent="0.35">
      <c r="A73" s="1">
        <v>45201</v>
      </c>
      <c r="B73" s="3">
        <v>-7888.92</v>
      </c>
    </row>
    <row r="74" spans="1:2" hidden="1" x14ac:dyDescent="0.35">
      <c r="A74" s="1">
        <v>45202</v>
      </c>
      <c r="B74" s="3">
        <v>2474.5150000000012</v>
      </c>
    </row>
    <row r="75" spans="1:2" hidden="1" x14ac:dyDescent="0.35">
      <c r="A75" s="1">
        <v>45203</v>
      </c>
      <c r="B75" s="3">
        <v>12837.95</v>
      </c>
    </row>
    <row r="76" spans="1:2" hidden="1" x14ac:dyDescent="0.35">
      <c r="A76" s="1">
        <v>45204</v>
      </c>
      <c r="B76" s="3">
        <v>9466.2054166666676</v>
      </c>
    </row>
    <row r="77" spans="1:2" hidden="1" x14ac:dyDescent="0.35">
      <c r="A77" s="1">
        <v>45205</v>
      </c>
      <c r="B77" s="3">
        <v>6094.4608333333335</v>
      </c>
    </row>
    <row r="78" spans="1:2" hidden="1" x14ac:dyDescent="0.35">
      <c r="A78" s="1">
        <v>45206</v>
      </c>
      <c r="B78" s="3">
        <v>2722.7162499999995</v>
      </c>
    </row>
    <row r="79" spans="1:2" hidden="1" x14ac:dyDescent="0.35">
      <c r="A79" s="1">
        <v>45207</v>
      </c>
      <c r="B79" s="3">
        <v>-649.02833333333331</v>
      </c>
    </row>
    <row r="80" spans="1:2" hidden="1" x14ac:dyDescent="0.35">
      <c r="A80" s="1">
        <v>45208</v>
      </c>
      <c r="B80" s="3">
        <v>-324.51416666666665</v>
      </c>
    </row>
    <row r="81" spans="1:2" hidden="1" x14ac:dyDescent="0.35">
      <c r="A81" s="1">
        <v>45209</v>
      </c>
      <c r="B81" s="3">
        <v>0</v>
      </c>
    </row>
    <row r="82" spans="1:2" hidden="1" x14ac:dyDescent="0.35">
      <c r="A82" s="1">
        <v>45210</v>
      </c>
      <c r="B82" s="3">
        <v>0</v>
      </c>
    </row>
    <row r="83" spans="1:2" hidden="1" x14ac:dyDescent="0.35">
      <c r="A83" s="1">
        <v>45211</v>
      </c>
      <c r="B83" s="3">
        <v>0</v>
      </c>
    </row>
    <row r="84" spans="1:2" hidden="1" x14ac:dyDescent="0.35">
      <c r="A84" s="1">
        <v>45212</v>
      </c>
      <c r="B84" s="3">
        <v>0</v>
      </c>
    </row>
    <row r="85" spans="1:2" hidden="1" x14ac:dyDescent="0.35">
      <c r="A85" s="1">
        <v>45213</v>
      </c>
      <c r="B85" s="3">
        <v>0</v>
      </c>
    </row>
    <row r="86" spans="1:2" hidden="1" x14ac:dyDescent="0.35">
      <c r="A86" s="1">
        <v>45214</v>
      </c>
      <c r="B86" s="3">
        <v>2735.3394000000003</v>
      </c>
    </row>
    <row r="87" spans="1:2" hidden="1" x14ac:dyDescent="0.35">
      <c r="A87" s="1">
        <v>45215</v>
      </c>
      <c r="B87" s="3">
        <v>5470.6788000000006</v>
      </c>
    </row>
    <row r="88" spans="1:2" hidden="1" x14ac:dyDescent="0.35">
      <c r="A88" s="1">
        <v>45216</v>
      </c>
      <c r="B88" s="3">
        <v>8206.0182000000004</v>
      </c>
    </row>
    <row r="89" spans="1:2" hidden="1" x14ac:dyDescent="0.35">
      <c r="A89" s="1">
        <v>45217</v>
      </c>
      <c r="B89" s="3">
        <v>0</v>
      </c>
    </row>
    <row r="90" spans="1:2" hidden="1" x14ac:dyDescent="0.35">
      <c r="A90" s="1">
        <v>45218</v>
      </c>
      <c r="B90" s="3">
        <v>-2753.4819000000002</v>
      </c>
    </row>
    <row r="91" spans="1:2" hidden="1" x14ac:dyDescent="0.35">
      <c r="A91" s="1">
        <v>45219</v>
      </c>
      <c r="B91" s="3">
        <v>-1196.0491111111112</v>
      </c>
    </row>
    <row r="92" spans="1:2" hidden="1" x14ac:dyDescent="0.35">
      <c r="A92" s="1">
        <v>45220</v>
      </c>
      <c r="B92" s="3">
        <v>361.38367777777785</v>
      </c>
    </row>
    <row r="93" spans="1:2" hidden="1" x14ac:dyDescent="0.35">
      <c r="A93" s="1">
        <v>45221</v>
      </c>
      <c r="B93" s="3">
        <v>1918.8164666666664</v>
      </c>
    </row>
    <row r="94" spans="1:2" hidden="1" x14ac:dyDescent="0.35">
      <c r="A94" s="1">
        <v>45222</v>
      </c>
      <c r="B94" s="3">
        <v>-1426.0517666666667</v>
      </c>
    </row>
    <row r="95" spans="1:2" hidden="1" x14ac:dyDescent="0.35">
      <c r="A95" s="1">
        <v>45223</v>
      </c>
      <c r="B95" s="3">
        <v>-4770.92</v>
      </c>
    </row>
    <row r="96" spans="1:2" hidden="1" x14ac:dyDescent="0.35">
      <c r="A96" s="1">
        <v>45224</v>
      </c>
      <c r="B96" s="3">
        <v>0</v>
      </c>
    </row>
    <row r="97" spans="1:2" hidden="1" x14ac:dyDescent="0.35">
      <c r="A97" s="1">
        <v>45225</v>
      </c>
      <c r="B97" s="3">
        <v>0</v>
      </c>
    </row>
    <row r="98" spans="1:2" hidden="1" x14ac:dyDescent="0.35">
      <c r="A98" s="1">
        <v>45226</v>
      </c>
      <c r="B98" s="3">
        <v>0</v>
      </c>
    </row>
    <row r="99" spans="1:2" hidden="1" x14ac:dyDescent="0.35">
      <c r="A99" s="1">
        <v>45227</v>
      </c>
      <c r="B99" s="3">
        <v>0</v>
      </c>
    </row>
    <row r="100" spans="1:2" hidden="1" x14ac:dyDescent="0.35">
      <c r="A100" s="1">
        <v>45228</v>
      </c>
      <c r="B100" s="3">
        <v>0</v>
      </c>
    </row>
    <row r="101" spans="1:2" hidden="1" x14ac:dyDescent="0.35">
      <c r="A101" s="1">
        <v>45229</v>
      </c>
      <c r="B101" s="3">
        <v>0</v>
      </c>
    </row>
    <row r="102" spans="1:2" hidden="1" x14ac:dyDescent="0.35">
      <c r="A102" s="1">
        <v>45230</v>
      </c>
      <c r="B102" s="3">
        <v>0</v>
      </c>
    </row>
    <row r="103" spans="1:2" hidden="1" x14ac:dyDescent="0.35">
      <c r="A103" s="1">
        <v>45231</v>
      </c>
      <c r="B103" s="3">
        <v>4152.2333333333336</v>
      </c>
    </row>
    <row r="104" spans="1:2" hidden="1" x14ac:dyDescent="0.35">
      <c r="A104" s="1">
        <v>45232</v>
      </c>
      <c r="B104" s="3">
        <v>8304.4666666666672</v>
      </c>
    </row>
    <row r="105" spans="1:2" hidden="1" x14ac:dyDescent="0.35">
      <c r="A105" s="1">
        <v>45233</v>
      </c>
      <c r="B105" s="3">
        <v>12456.700000000003</v>
      </c>
    </row>
    <row r="106" spans="1:2" hidden="1" x14ac:dyDescent="0.35">
      <c r="A106" s="1">
        <v>45234</v>
      </c>
      <c r="B106" s="3">
        <v>16608.933333333334</v>
      </c>
    </row>
    <row r="107" spans="1:2" hidden="1" x14ac:dyDescent="0.35">
      <c r="A107" s="1">
        <v>45235</v>
      </c>
      <c r="B107" s="3">
        <v>20761.166666666668</v>
      </c>
    </row>
    <row r="108" spans="1:2" hidden="1" x14ac:dyDescent="0.35">
      <c r="A108" s="1">
        <v>45236</v>
      </c>
      <c r="B108" s="3">
        <v>24913.4</v>
      </c>
    </row>
    <row r="109" spans="1:2" hidden="1" x14ac:dyDescent="0.35">
      <c r="A109" s="1">
        <v>45237</v>
      </c>
      <c r="B109" s="3">
        <v>18685.050000000003</v>
      </c>
    </row>
    <row r="110" spans="1:2" hidden="1" x14ac:dyDescent="0.35">
      <c r="A110" s="1">
        <v>45238</v>
      </c>
      <c r="B110" s="3">
        <v>12456.7</v>
      </c>
    </row>
    <row r="111" spans="1:2" hidden="1" x14ac:dyDescent="0.35">
      <c r="A111" s="1">
        <v>45239</v>
      </c>
      <c r="B111" s="3">
        <v>6228.3499999999985</v>
      </c>
    </row>
    <row r="112" spans="1:2" hidden="1" x14ac:dyDescent="0.35">
      <c r="A112" s="1">
        <v>45240</v>
      </c>
      <c r="B112" s="3">
        <v>0</v>
      </c>
    </row>
    <row r="113" spans="1:2" hidden="1" x14ac:dyDescent="0.35">
      <c r="A113" s="1">
        <v>45241</v>
      </c>
      <c r="B113" s="3">
        <v>8145.0941999999995</v>
      </c>
    </row>
    <row r="114" spans="1:2" hidden="1" x14ac:dyDescent="0.35">
      <c r="A114" s="1">
        <v>45242</v>
      </c>
      <c r="B114" s="3">
        <v>16290.188399999999</v>
      </c>
    </row>
    <row r="115" spans="1:2" hidden="1" x14ac:dyDescent="0.35">
      <c r="A115" s="1">
        <v>45243</v>
      </c>
      <c r="B115" s="3">
        <v>12995.699612500001</v>
      </c>
    </row>
    <row r="116" spans="1:2" hidden="1" x14ac:dyDescent="0.35">
      <c r="A116" s="1">
        <v>45244</v>
      </c>
      <c r="B116" s="3">
        <v>9701.2108250000001</v>
      </c>
    </row>
    <row r="117" spans="1:2" hidden="1" x14ac:dyDescent="0.35">
      <c r="A117" s="1">
        <v>45245</v>
      </c>
      <c r="B117" s="3">
        <v>6406.7220374999997</v>
      </c>
    </row>
    <row r="118" spans="1:2" hidden="1" x14ac:dyDescent="0.35">
      <c r="A118" s="1">
        <v>45246</v>
      </c>
      <c r="B118" s="3">
        <v>3112.2332500000002</v>
      </c>
    </row>
    <row r="119" spans="1:2" hidden="1" x14ac:dyDescent="0.35">
      <c r="A119" s="1">
        <v>45247</v>
      </c>
      <c r="B119" s="3">
        <v>-1197.4210749999993</v>
      </c>
    </row>
    <row r="120" spans="1:2" hidden="1" x14ac:dyDescent="0.35">
      <c r="A120" s="1">
        <v>45248</v>
      </c>
      <c r="B120" s="3">
        <v>-5507.0753999999997</v>
      </c>
    </row>
    <row r="121" spans="1:2" hidden="1" x14ac:dyDescent="0.35">
      <c r="A121" s="1">
        <v>45249</v>
      </c>
      <c r="B121" s="3">
        <v>0</v>
      </c>
    </row>
    <row r="122" spans="1:2" hidden="1" x14ac:dyDescent="0.35">
      <c r="A122" s="1">
        <v>45250</v>
      </c>
      <c r="B122" s="3">
        <v>-403.59717499999999</v>
      </c>
    </row>
    <row r="123" spans="1:2" hidden="1" x14ac:dyDescent="0.35">
      <c r="A123" s="1">
        <v>45251</v>
      </c>
      <c r="B123" s="3">
        <v>-807.19434999999999</v>
      </c>
    </row>
    <row r="124" spans="1:2" hidden="1" x14ac:dyDescent="0.35">
      <c r="A124" s="1">
        <v>45252</v>
      </c>
      <c r="B124" s="3">
        <v>-1210.7915250000001</v>
      </c>
    </row>
    <row r="125" spans="1:2" hidden="1" x14ac:dyDescent="0.35">
      <c r="A125" s="1">
        <v>45253</v>
      </c>
      <c r="B125" s="3">
        <v>-1614.3887</v>
      </c>
    </row>
    <row r="126" spans="1:2" hidden="1" x14ac:dyDescent="0.35">
      <c r="A126" s="1">
        <v>45254</v>
      </c>
      <c r="B126" s="3">
        <v>9022.7999999999993</v>
      </c>
    </row>
    <row r="127" spans="1:2" hidden="1" x14ac:dyDescent="0.35">
      <c r="A127" s="1">
        <v>45255</v>
      </c>
      <c r="B127" s="3">
        <v>4511.3999999999996</v>
      </c>
    </row>
    <row r="128" spans="1:2" hidden="1" x14ac:dyDescent="0.35">
      <c r="A128" s="1">
        <v>45256</v>
      </c>
      <c r="B128" s="3">
        <v>0</v>
      </c>
    </row>
    <row r="129" spans="1:2" hidden="1" x14ac:dyDescent="0.35">
      <c r="A129" s="1">
        <v>45257</v>
      </c>
      <c r="B129" s="3">
        <v>-682.96512499999994</v>
      </c>
    </row>
    <row r="130" spans="1:2" hidden="1" x14ac:dyDescent="0.35">
      <c r="A130" s="1">
        <v>45258</v>
      </c>
      <c r="B130" s="3">
        <v>-1365.9302499999999</v>
      </c>
    </row>
    <row r="131" spans="1:2" hidden="1" x14ac:dyDescent="0.35">
      <c r="A131" s="1">
        <v>45259</v>
      </c>
      <c r="B131" s="3">
        <v>-2048.8953750000001</v>
      </c>
    </row>
    <row r="132" spans="1:2" hidden="1" x14ac:dyDescent="0.35">
      <c r="A132" s="1">
        <v>45260</v>
      </c>
      <c r="B132" s="3">
        <v>-2731.8604999999998</v>
      </c>
    </row>
    <row r="133" spans="1:2" hidden="1" x14ac:dyDescent="0.35">
      <c r="A133" s="1">
        <v>45261</v>
      </c>
      <c r="B133" s="3">
        <v>5762.9396666666662</v>
      </c>
    </row>
    <row r="134" spans="1:2" hidden="1" x14ac:dyDescent="0.35">
      <c r="A134" s="1">
        <v>45262</v>
      </c>
      <c r="B134" s="3">
        <v>14257.739833333333</v>
      </c>
    </row>
    <row r="135" spans="1:2" hidden="1" x14ac:dyDescent="0.35">
      <c r="A135" s="1">
        <v>45263</v>
      </c>
      <c r="B135" s="3">
        <v>22752.54</v>
      </c>
    </row>
    <row r="136" spans="1:2" hidden="1" x14ac:dyDescent="0.35">
      <c r="A136" s="1">
        <v>45264</v>
      </c>
      <c r="B136" s="3">
        <v>0</v>
      </c>
    </row>
    <row r="137" spans="1:2" hidden="1" x14ac:dyDescent="0.35">
      <c r="A137" s="1">
        <v>45265</v>
      </c>
      <c r="B137" s="3">
        <v>0</v>
      </c>
    </row>
    <row r="138" spans="1:2" hidden="1" x14ac:dyDescent="0.35">
      <c r="A138" s="1">
        <v>45266</v>
      </c>
      <c r="B138" s="3">
        <v>-1356.4676999999999</v>
      </c>
    </row>
    <row r="139" spans="1:2" hidden="1" x14ac:dyDescent="0.35">
      <c r="A139" s="1">
        <v>45267</v>
      </c>
      <c r="B139" s="3">
        <v>-2712.9353999999998</v>
      </c>
    </row>
    <row r="140" spans="1:2" hidden="1" x14ac:dyDescent="0.35">
      <c r="A140" s="1">
        <v>45268</v>
      </c>
      <c r="B140" s="3">
        <v>6675.0566666666673</v>
      </c>
    </row>
    <row r="141" spans="1:2" hidden="1" x14ac:dyDescent="0.35">
      <c r="A141" s="1">
        <v>45269</v>
      </c>
      <c r="B141" s="3">
        <v>0</v>
      </c>
    </row>
    <row r="142" spans="1:2" hidden="1" x14ac:dyDescent="0.35">
      <c r="A142" s="1">
        <v>45270</v>
      </c>
      <c r="B142" s="3">
        <v>-5509.0335999999998</v>
      </c>
    </row>
    <row r="143" spans="1:2" hidden="1" x14ac:dyDescent="0.35">
      <c r="A143" s="1">
        <v>45271</v>
      </c>
      <c r="B143" s="3">
        <v>-745.5464750000001</v>
      </c>
    </row>
    <row r="144" spans="1:2" hidden="1" x14ac:dyDescent="0.35">
      <c r="A144" s="1">
        <v>45272</v>
      </c>
      <c r="B144" s="3">
        <v>4017.94065</v>
      </c>
    </row>
    <row r="145" spans="1:2" hidden="1" x14ac:dyDescent="0.35">
      <c r="A145" s="1">
        <v>45273</v>
      </c>
      <c r="B145" s="3">
        <v>-2672.4096</v>
      </c>
    </row>
    <row r="146" spans="1:2" hidden="1" x14ac:dyDescent="0.35">
      <c r="A146" s="1">
        <v>45274</v>
      </c>
      <c r="B146" s="3">
        <v>16880.8</v>
      </c>
    </row>
    <row r="147" spans="1:2" hidden="1" x14ac:dyDescent="0.35">
      <c r="A147" s="1">
        <v>45275</v>
      </c>
      <c r="B147" s="3">
        <v>7103.8302499999991</v>
      </c>
    </row>
    <row r="148" spans="1:2" hidden="1" x14ac:dyDescent="0.35">
      <c r="A148" s="1">
        <v>45276</v>
      </c>
      <c r="B148" s="3">
        <v>-2673.1395000000002</v>
      </c>
    </row>
    <row r="149" spans="1:2" hidden="1" x14ac:dyDescent="0.35">
      <c r="A149" s="1">
        <v>45277</v>
      </c>
      <c r="B149" s="3">
        <v>0</v>
      </c>
    </row>
    <row r="150" spans="1:2" hidden="1" x14ac:dyDescent="0.35">
      <c r="A150" s="1">
        <v>45278</v>
      </c>
      <c r="B150" s="3">
        <v>8821.35</v>
      </c>
    </row>
    <row r="151" spans="1:2" hidden="1" x14ac:dyDescent="0.35">
      <c r="A151" s="1">
        <v>45279</v>
      </c>
      <c r="B151" s="3">
        <v>6190.375</v>
      </c>
    </row>
    <row r="152" spans="1:2" hidden="1" x14ac:dyDescent="0.35">
      <c r="A152" s="1">
        <v>45280</v>
      </c>
      <c r="B152" s="3">
        <v>3095.1875</v>
      </c>
    </row>
    <row r="153" spans="1:2" hidden="1" x14ac:dyDescent="0.35">
      <c r="A153" s="1">
        <v>45281</v>
      </c>
      <c r="B153" s="3">
        <v>0</v>
      </c>
    </row>
    <row r="154" spans="1:2" hidden="1" x14ac:dyDescent="0.35">
      <c r="A154" s="1">
        <v>45282</v>
      </c>
      <c r="B154" s="3">
        <v>686.15099999999995</v>
      </c>
    </row>
    <row r="155" spans="1:2" hidden="1" x14ac:dyDescent="0.35">
      <c r="A155" s="1">
        <v>45283</v>
      </c>
      <c r="B155" s="3">
        <v>6348.0501333333332</v>
      </c>
    </row>
    <row r="156" spans="1:2" hidden="1" x14ac:dyDescent="0.35">
      <c r="A156" s="1">
        <v>45284</v>
      </c>
      <c r="B156" s="3">
        <v>1387.6639</v>
      </c>
    </row>
    <row r="157" spans="1:2" hidden="1" x14ac:dyDescent="0.35">
      <c r="A157" s="1">
        <v>45285</v>
      </c>
      <c r="B157" s="3">
        <v>2587.7800000000002</v>
      </c>
    </row>
    <row r="158" spans="1:2" hidden="1" x14ac:dyDescent="0.35">
      <c r="A158" s="1">
        <v>45286</v>
      </c>
      <c r="B158" s="3">
        <v>5685.6774999999998</v>
      </c>
    </row>
    <row r="159" spans="1:2" hidden="1" x14ac:dyDescent="0.35">
      <c r="A159" s="1">
        <v>45287</v>
      </c>
      <c r="B159" s="3">
        <v>8783.5750000000007</v>
      </c>
    </row>
    <row r="160" spans="1:2" hidden="1" x14ac:dyDescent="0.35">
      <c r="A160" s="1">
        <v>45288</v>
      </c>
      <c r="B160" s="3">
        <v>11881.472500000002</v>
      </c>
    </row>
    <row r="161" spans="1:2" hidden="1" x14ac:dyDescent="0.35">
      <c r="A161" s="1">
        <v>45289</v>
      </c>
      <c r="B161" s="3">
        <v>14979.37</v>
      </c>
    </row>
    <row r="162" spans="1:2" hidden="1" x14ac:dyDescent="0.35">
      <c r="A162" s="1">
        <v>45290</v>
      </c>
      <c r="B162" s="3">
        <v>-1377.9798499999999</v>
      </c>
    </row>
    <row r="163" spans="1:2" hidden="1" x14ac:dyDescent="0.35">
      <c r="A163" s="1">
        <v>45291</v>
      </c>
      <c r="B163" s="3">
        <v>0</v>
      </c>
    </row>
    <row r="164" spans="1:2" hidden="1" x14ac:dyDescent="0.35">
      <c r="A164" s="1">
        <v>45292</v>
      </c>
      <c r="B164" s="3">
        <v>818.23666666666668</v>
      </c>
    </row>
    <row r="165" spans="1:2" hidden="1" x14ac:dyDescent="0.35">
      <c r="A165" s="1">
        <v>45293</v>
      </c>
      <c r="B165" s="3">
        <v>1636.4733333333334</v>
      </c>
    </row>
    <row r="166" spans="1:2" hidden="1" x14ac:dyDescent="0.35">
      <c r="A166" s="1">
        <v>45294</v>
      </c>
      <c r="B166" s="3">
        <v>2454.71</v>
      </c>
    </row>
    <row r="167" spans="1:2" hidden="1" x14ac:dyDescent="0.35">
      <c r="A167" s="1">
        <v>45295</v>
      </c>
      <c r="B167" s="3">
        <v>0</v>
      </c>
    </row>
    <row r="168" spans="1:2" hidden="1" x14ac:dyDescent="0.35">
      <c r="A168" s="1">
        <v>45296</v>
      </c>
      <c r="B168" s="3">
        <v>0</v>
      </c>
    </row>
    <row r="169" spans="1:2" hidden="1" x14ac:dyDescent="0.35">
      <c r="A169" s="1">
        <v>45297</v>
      </c>
      <c r="B169" s="3">
        <v>0</v>
      </c>
    </row>
    <row r="170" spans="1:2" hidden="1" x14ac:dyDescent="0.35">
      <c r="A170" s="1">
        <v>45298</v>
      </c>
      <c r="B170" s="3">
        <v>0</v>
      </c>
    </row>
    <row r="171" spans="1:2" hidden="1" x14ac:dyDescent="0.35">
      <c r="A171" s="1">
        <v>45299</v>
      </c>
      <c r="B171" s="3">
        <v>0</v>
      </c>
    </row>
    <row r="172" spans="1:2" hidden="1" x14ac:dyDescent="0.35">
      <c r="A172" s="1">
        <v>45300</v>
      </c>
      <c r="B172" s="3">
        <v>0</v>
      </c>
    </row>
    <row r="173" spans="1:2" hidden="1" x14ac:dyDescent="0.35">
      <c r="A173" s="1">
        <v>45301</v>
      </c>
      <c r="B173" s="3">
        <v>0</v>
      </c>
    </row>
    <row r="174" spans="1:2" hidden="1" x14ac:dyDescent="0.35">
      <c r="A174" s="1">
        <v>45302</v>
      </c>
      <c r="B174" s="3">
        <v>0</v>
      </c>
    </row>
    <row r="175" spans="1:2" hidden="1" x14ac:dyDescent="0.35">
      <c r="A175" s="1">
        <v>45303</v>
      </c>
      <c r="B175" s="3">
        <v>0</v>
      </c>
    </row>
    <row r="176" spans="1:2" hidden="1" x14ac:dyDescent="0.35">
      <c r="A176" s="1">
        <v>45304</v>
      </c>
      <c r="B176" s="3">
        <v>440.64</v>
      </c>
    </row>
    <row r="177" spans="1:2" hidden="1" x14ac:dyDescent="0.35">
      <c r="A177" s="1">
        <v>45305</v>
      </c>
      <c r="B177" s="3">
        <v>220.32</v>
      </c>
    </row>
    <row r="178" spans="1:2" hidden="1" x14ac:dyDescent="0.35">
      <c r="A178" s="1">
        <v>45306</v>
      </c>
      <c r="B178" s="3">
        <v>0</v>
      </c>
    </row>
    <row r="179" spans="1:2" hidden="1" x14ac:dyDescent="0.35">
      <c r="A179" s="1">
        <v>45307</v>
      </c>
      <c r="B179" s="3">
        <v>0</v>
      </c>
    </row>
    <row r="180" spans="1:2" hidden="1" x14ac:dyDescent="0.35">
      <c r="A180" s="1">
        <v>45308</v>
      </c>
      <c r="B180" s="3">
        <v>0</v>
      </c>
    </row>
    <row r="181" spans="1:2" hidden="1" x14ac:dyDescent="0.35">
      <c r="A181" s="1">
        <v>45309</v>
      </c>
      <c r="B181" s="3">
        <v>5306.64</v>
      </c>
    </row>
    <row r="182" spans="1:2" hidden="1" x14ac:dyDescent="0.35">
      <c r="A182" s="1">
        <v>45310</v>
      </c>
      <c r="B182" s="3">
        <v>10613.28</v>
      </c>
    </row>
    <row r="183" spans="1:2" hidden="1" x14ac:dyDescent="0.35">
      <c r="A183" s="1">
        <v>45311</v>
      </c>
      <c r="B183" s="3">
        <v>2538.5700000000002</v>
      </c>
    </row>
    <row r="184" spans="1:2" hidden="1" x14ac:dyDescent="0.35">
      <c r="A184" s="1">
        <v>45312</v>
      </c>
      <c r="B184" s="3">
        <v>1683.0610000000001</v>
      </c>
    </row>
    <row r="185" spans="1:2" hidden="1" x14ac:dyDescent="0.35">
      <c r="A185" s="1">
        <v>45313</v>
      </c>
      <c r="B185" s="3">
        <v>827.55200000000002</v>
      </c>
    </row>
    <row r="186" spans="1:2" hidden="1" x14ac:dyDescent="0.35">
      <c r="A186" s="1">
        <v>45314</v>
      </c>
      <c r="B186" s="3">
        <v>0</v>
      </c>
    </row>
    <row r="187" spans="1:2" hidden="1" x14ac:dyDescent="0.35">
      <c r="A187" s="1">
        <v>45315</v>
      </c>
      <c r="B187" s="3">
        <v>0</v>
      </c>
    </row>
    <row r="188" spans="1:2" hidden="1" x14ac:dyDescent="0.35">
      <c r="A188" s="1">
        <v>45316</v>
      </c>
      <c r="B188" s="3">
        <v>0</v>
      </c>
    </row>
    <row r="189" spans="1:2" hidden="1" x14ac:dyDescent="0.35">
      <c r="A189" s="1">
        <v>45317</v>
      </c>
      <c r="B189" s="3">
        <v>0</v>
      </c>
    </row>
    <row r="190" spans="1:2" hidden="1" x14ac:dyDescent="0.35">
      <c r="A190" s="1">
        <v>45318</v>
      </c>
      <c r="B190" s="3">
        <v>0</v>
      </c>
    </row>
    <row r="191" spans="1:2" hidden="1" x14ac:dyDescent="0.35">
      <c r="A191" s="1">
        <v>45319</v>
      </c>
      <c r="B191" s="3">
        <v>-1021.2424999999999</v>
      </c>
    </row>
    <row r="192" spans="1:2" hidden="1" x14ac:dyDescent="0.35">
      <c r="A192" s="1">
        <v>45320</v>
      </c>
      <c r="B192" s="3">
        <v>-2042.4849999999999</v>
      </c>
    </row>
    <row r="193" spans="1:2" hidden="1" x14ac:dyDescent="0.35">
      <c r="A193" s="1">
        <v>45321</v>
      </c>
      <c r="B193" s="3">
        <v>5998.4549999999999</v>
      </c>
    </row>
    <row r="194" spans="1:2" hidden="1" x14ac:dyDescent="0.35">
      <c r="A194" s="1">
        <v>45322</v>
      </c>
      <c r="B194" s="3">
        <v>0</v>
      </c>
    </row>
    <row r="195" spans="1:2" hidden="1" x14ac:dyDescent="0.35">
      <c r="A195" s="1">
        <v>45323</v>
      </c>
      <c r="B195" s="3">
        <v>0</v>
      </c>
    </row>
    <row r="196" spans="1:2" hidden="1" x14ac:dyDescent="0.35">
      <c r="A196" s="1">
        <v>45324</v>
      </c>
      <c r="B196" s="3">
        <v>0</v>
      </c>
    </row>
    <row r="197" spans="1:2" hidden="1" x14ac:dyDescent="0.35">
      <c r="A197" s="1">
        <v>45325</v>
      </c>
      <c r="B197" s="3">
        <v>0</v>
      </c>
    </row>
    <row r="198" spans="1:2" hidden="1" x14ac:dyDescent="0.35">
      <c r="A198" s="1">
        <v>45326</v>
      </c>
      <c r="B198" s="3">
        <v>2789.8033</v>
      </c>
    </row>
    <row r="199" spans="1:2" hidden="1" x14ac:dyDescent="0.35">
      <c r="A199" s="1">
        <v>45327</v>
      </c>
      <c r="B199" s="3">
        <v>5579.6066000000001</v>
      </c>
    </row>
    <row r="200" spans="1:2" hidden="1" x14ac:dyDescent="0.35">
      <c r="A200" s="1">
        <v>45328</v>
      </c>
      <c r="B200" s="3">
        <v>0</v>
      </c>
    </row>
    <row r="201" spans="1:2" hidden="1" x14ac:dyDescent="0.35">
      <c r="A201" s="1">
        <v>45329</v>
      </c>
      <c r="B201" s="3">
        <v>187.66313333333332</v>
      </c>
    </row>
    <row r="202" spans="1:2" hidden="1" x14ac:dyDescent="0.35">
      <c r="A202" s="1">
        <v>45330</v>
      </c>
      <c r="B202" s="3">
        <v>375.32626666666664</v>
      </c>
    </row>
    <row r="203" spans="1:2" hidden="1" x14ac:dyDescent="0.35">
      <c r="A203" s="1">
        <v>45331</v>
      </c>
      <c r="B203" s="3">
        <v>562.98940000000005</v>
      </c>
    </row>
    <row r="204" spans="1:2" hidden="1" x14ac:dyDescent="0.35">
      <c r="A204" s="1">
        <v>45332</v>
      </c>
      <c r="B204" s="3">
        <v>750.65253333333328</v>
      </c>
    </row>
    <row r="205" spans="1:2" hidden="1" x14ac:dyDescent="0.35">
      <c r="A205" s="1">
        <v>45333</v>
      </c>
      <c r="B205" s="3">
        <v>938.31566666666663</v>
      </c>
    </row>
    <row r="206" spans="1:2" hidden="1" x14ac:dyDescent="0.35">
      <c r="A206" s="1">
        <v>45334</v>
      </c>
      <c r="B206" s="3">
        <v>1125.9788000000001</v>
      </c>
    </row>
    <row r="207" spans="1:2" hidden="1" x14ac:dyDescent="0.35">
      <c r="A207" s="1">
        <v>45335</v>
      </c>
      <c r="B207" s="3">
        <v>1313.6419333333333</v>
      </c>
    </row>
    <row r="208" spans="1:2" hidden="1" x14ac:dyDescent="0.35">
      <c r="A208" s="1">
        <v>45336</v>
      </c>
      <c r="B208" s="3">
        <v>656.82096666666666</v>
      </c>
    </row>
    <row r="209" spans="1:2" hidden="1" x14ac:dyDescent="0.35">
      <c r="A209" s="1">
        <v>45337</v>
      </c>
      <c r="B209" s="3">
        <v>0</v>
      </c>
    </row>
    <row r="210" spans="1:2" hidden="1" x14ac:dyDescent="0.35">
      <c r="A210" s="1">
        <v>45338</v>
      </c>
      <c r="B210" s="3">
        <v>-1471.165</v>
      </c>
    </row>
    <row r="211" spans="1:2" hidden="1" x14ac:dyDescent="0.35">
      <c r="A211" s="1">
        <v>45339</v>
      </c>
      <c r="B211" s="3">
        <v>-2942.33</v>
      </c>
    </row>
    <row r="212" spans="1:2" hidden="1" x14ac:dyDescent="0.35">
      <c r="A212" s="1">
        <v>45340</v>
      </c>
      <c r="B212" s="3">
        <v>-4413.4949999999999</v>
      </c>
    </row>
    <row r="213" spans="1:2" hidden="1" x14ac:dyDescent="0.35">
      <c r="A213" s="1">
        <v>45341</v>
      </c>
      <c r="B213" s="3">
        <v>-5884.66</v>
      </c>
    </row>
    <row r="214" spans="1:2" hidden="1" x14ac:dyDescent="0.35">
      <c r="A214" s="1">
        <v>45342</v>
      </c>
      <c r="B214" s="3">
        <v>2093.4133333333334</v>
      </c>
    </row>
    <row r="215" spans="1:2" hidden="1" x14ac:dyDescent="0.35">
      <c r="A215" s="1">
        <v>45343</v>
      </c>
      <c r="B215" s="3">
        <v>13132.44</v>
      </c>
    </row>
    <row r="216" spans="1:2" hidden="1" x14ac:dyDescent="0.35">
      <c r="A216" s="1">
        <v>45344</v>
      </c>
      <c r="B216" s="3">
        <v>9013.74</v>
      </c>
    </row>
    <row r="217" spans="1:2" hidden="1" x14ac:dyDescent="0.35">
      <c r="A217" s="1">
        <v>45345</v>
      </c>
      <c r="B217" s="3">
        <v>0</v>
      </c>
    </row>
    <row r="218" spans="1:2" hidden="1" x14ac:dyDescent="0.35">
      <c r="A218" s="1">
        <v>45346</v>
      </c>
      <c r="B218" s="3">
        <v>2947.95</v>
      </c>
    </row>
    <row r="219" spans="1:2" hidden="1" x14ac:dyDescent="0.35">
      <c r="A219" s="1">
        <v>45347</v>
      </c>
      <c r="B219" s="3">
        <v>-2860.2838000000002</v>
      </c>
    </row>
    <row r="220" spans="1:2" hidden="1" x14ac:dyDescent="0.35">
      <c r="A220" s="1">
        <v>45348</v>
      </c>
      <c r="B220" s="3">
        <v>6198</v>
      </c>
    </row>
    <row r="221" spans="1:2" hidden="1" x14ac:dyDescent="0.35">
      <c r="A221" s="1">
        <v>45349</v>
      </c>
      <c r="B221" s="3">
        <v>7133.01</v>
      </c>
    </row>
    <row r="222" spans="1:2" hidden="1" x14ac:dyDescent="0.35">
      <c r="A222" s="1">
        <v>45350</v>
      </c>
      <c r="B222" s="3">
        <v>8068.02</v>
      </c>
    </row>
    <row r="223" spans="1:2" hidden="1" x14ac:dyDescent="0.35">
      <c r="A223" s="1">
        <v>45351</v>
      </c>
      <c r="B223" s="3">
        <v>0</v>
      </c>
    </row>
    <row r="224" spans="1:2" hidden="1" x14ac:dyDescent="0.35">
      <c r="A224" s="1">
        <v>45352</v>
      </c>
      <c r="B224" s="3">
        <v>0</v>
      </c>
    </row>
    <row r="225" spans="1:2" hidden="1" x14ac:dyDescent="0.35">
      <c r="A225" s="1">
        <v>45353</v>
      </c>
      <c r="B225" s="3">
        <v>0</v>
      </c>
    </row>
    <row r="226" spans="1:2" hidden="1" x14ac:dyDescent="0.35">
      <c r="A226" s="1">
        <v>45354</v>
      </c>
      <c r="B226" s="3">
        <v>894.08676666666668</v>
      </c>
    </row>
    <row r="227" spans="1:2" hidden="1" x14ac:dyDescent="0.35">
      <c r="A227" s="1">
        <v>45355</v>
      </c>
      <c r="B227" s="3">
        <v>1788.1735333333334</v>
      </c>
    </row>
    <row r="228" spans="1:2" hidden="1" x14ac:dyDescent="0.35">
      <c r="A228" s="1">
        <v>45356</v>
      </c>
      <c r="B228" s="3">
        <v>2682.2602999999999</v>
      </c>
    </row>
    <row r="229" spans="1:2" hidden="1" x14ac:dyDescent="0.35">
      <c r="A229" s="1">
        <v>45357</v>
      </c>
      <c r="B229" s="3">
        <v>4020.9953500000001</v>
      </c>
    </row>
    <row r="230" spans="1:2" hidden="1" x14ac:dyDescent="0.35">
      <c r="A230" s="1">
        <v>45358</v>
      </c>
      <c r="B230" s="3">
        <v>5359.7304000000004</v>
      </c>
    </row>
    <row r="231" spans="1:2" hidden="1" x14ac:dyDescent="0.35">
      <c r="A231" s="1">
        <v>45359</v>
      </c>
      <c r="B231" s="3">
        <v>0</v>
      </c>
    </row>
    <row r="232" spans="1:2" hidden="1" x14ac:dyDescent="0.35">
      <c r="A232" s="1">
        <v>45360</v>
      </c>
      <c r="B232" s="3">
        <v>2847.86</v>
      </c>
    </row>
    <row r="233" spans="1:2" hidden="1" x14ac:dyDescent="0.35">
      <c r="A233" s="1">
        <v>45361</v>
      </c>
      <c r="B233" s="3">
        <v>3107.3233333333333</v>
      </c>
    </row>
    <row r="234" spans="1:2" hidden="1" x14ac:dyDescent="0.35">
      <c r="A234" s="1">
        <v>45362</v>
      </c>
      <c r="B234" s="3">
        <v>4204.04</v>
      </c>
    </row>
    <row r="235" spans="1:2" hidden="1" x14ac:dyDescent="0.35">
      <c r="A235" s="1">
        <v>45363</v>
      </c>
      <c r="B235" s="3">
        <v>1209.8</v>
      </c>
    </row>
    <row r="236" spans="1:2" hidden="1" x14ac:dyDescent="0.35">
      <c r="A236" s="1">
        <v>45364</v>
      </c>
      <c r="B236" s="3">
        <v>0</v>
      </c>
    </row>
    <row r="237" spans="1:2" hidden="1" x14ac:dyDescent="0.35">
      <c r="A237" s="1">
        <v>45365</v>
      </c>
      <c r="B237" s="3">
        <v>13637.810750000001</v>
      </c>
    </row>
    <row r="238" spans="1:2" hidden="1" x14ac:dyDescent="0.35">
      <c r="A238" s="1">
        <v>45366</v>
      </c>
      <c r="B238" s="3">
        <v>7404.48</v>
      </c>
    </row>
    <row r="239" spans="1:2" hidden="1" x14ac:dyDescent="0.35">
      <c r="A239" s="1">
        <v>45367</v>
      </c>
      <c r="B239" s="3">
        <v>1910.0220666666667</v>
      </c>
    </row>
    <row r="240" spans="1:2" hidden="1" x14ac:dyDescent="0.35">
      <c r="A240" s="1">
        <v>45368</v>
      </c>
      <c r="B240" s="3">
        <v>3889.107472222222</v>
      </c>
    </row>
    <row r="241" spans="1:2" hidden="1" x14ac:dyDescent="0.35">
      <c r="A241" s="1">
        <v>45369</v>
      </c>
      <c r="B241" s="3">
        <v>5868.1928777777775</v>
      </c>
    </row>
    <row r="242" spans="1:2" hidden="1" x14ac:dyDescent="0.35">
      <c r="A242" s="1">
        <v>45370</v>
      </c>
      <c r="B242" s="3">
        <v>7847.2782833333322</v>
      </c>
    </row>
    <row r="243" spans="1:2" hidden="1" x14ac:dyDescent="0.35">
      <c r="A243" s="1">
        <v>45371</v>
      </c>
      <c r="B243" s="3">
        <v>9826.3636888888886</v>
      </c>
    </row>
    <row r="244" spans="1:2" hidden="1" x14ac:dyDescent="0.35">
      <c r="A244" s="1">
        <v>45372</v>
      </c>
      <c r="B244" s="3">
        <v>11805.449094444444</v>
      </c>
    </row>
    <row r="245" spans="1:2" hidden="1" x14ac:dyDescent="0.35">
      <c r="A245" s="1">
        <v>45373</v>
      </c>
      <c r="B245" s="3">
        <v>13784.5345</v>
      </c>
    </row>
    <row r="246" spans="1:2" hidden="1" x14ac:dyDescent="0.35">
      <c r="A246" s="1">
        <v>45374</v>
      </c>
      <c r="B246" s="3">
        <v>0</v>
      </c>
    </row>
    <row r="247" spans="1:2" hidden="1" x14ac:dyDescent="0.35">
      <c r="A247" s="1">
        <v>45375</v>
      </c>
      <c r="B247" s="3">
        <v>7144.2487499999997</v>
      </c>
    </row>
    <row r="248" spans="1:2" hidden="1" x14ac:dyDescent="0.35">
      <c r="A248" s="1">
        <v>45376</v>
      </c>
      <c r="B248" s="3">
        <v>8027.1128619047622</v>
      </c>
    </row>
    <row r="249" spans="1:2" hidden="1" x14ac:dyDescent="0.35">
      <c r="A249" s="1">
        <v>45377</v>
      </c>
      <c r="B249" s="3">
        <v>8909.9769738095238</v>
      </c>
    </row>
    <row r="250" spans="1:2" hidden="1" x14ac:dyDescent="0.35">
      <c r="A250" s="1">
        <v>45378</v>
      </c>
      <c r="B250" s="3">
        <v>9792.8410857142862</v>
      </c>
    </row>
    <row r="251" spans="1:2" hidden="1" x14ac:dyDescent="0.35">
      <c r="A251" s="1">
        <v>45379</v>
      </c>
      <c r="B251" s="3">
        <v>5731.8826428571429</v>
      </c>
    </row>
    <row r="252" spans="1:2" hidden="1" x14ac:dyDescent="0.35">
      <c r="A252" s="1">
        <v>45380</v>
      </c>
      <c r="B252" s="3">
        <v>1670.9241999999999</v>
      </c>
    </row>
    <row r="253" spans="1:2" hidden="1" x14ac:dyDescent="0.35">
      <c r="A253" s="1">
        <v>45381</v>
      </c>
      <c r="B253" s="3">
        <v>3578.7834000000003</v>
      </c>
    </row>
    <row r="254" spans="1:2" hidden="1" x14ac:dyDescent="0.35">
      <c r="A254" s="1">
        <v>45382</v>
      </c>
      <c r="B254" s="3">
        <v>5486.6426000000001</v>
      </c>
    </row>
    <row r="255" spans="1:2" hidden="1" x14ac:dyDescent="0.35">
      <c r="A255" s="1">
        <v>45383</v>
      </c>
      <c r="B255" s="3">
        <v>0</v>
      </c>
    </row>
    <row r="256" spans="1:2" hidden="1" x14ac:dyDescent="0.35">
      <c r="A256" s="1">
        <v>45384</v>
      </c>
      <c r="B256" s="3">
        <v>515.21249999999998</v>
      </c>
    </row>
    <row r="257" spans="1:2" hidden="1" x14ac:dyDescent="0.35">
      <c r="A257" s="1">
        <v>45385</v>
      </c>
      <c r="B257" s="3">
        <v>343.47500000000002</v>
      </c>
    </row>
    <row r="258" spans="1:2" hidden="1" x14ac:dyDescent="0.35">
      <c r="A258" s="1">
        <v>45386</v>
      </c>
      <c r="B258" s="3">
        <v>171.73750000000001</v>
      </c>
    </row>
    <row r="259" spans="1:2" hidden="1" x14ac:dyDescent="0.35">
      <c r="A259" s="1">
        <v>45387</v>
      </c>
      <c r="B259" s="3">
        <v>0</v>
      </c>
    </row>
    <row r="260" spans="1:2" hidden="1" x14ac:dyDescent="0.35">
      <c r="A260" s="1">
        <v>45388</v>
      </c>
      <c r="B260" s="3">
        <v>-1055.3019999999999</v>
      </c>
    </row>
    <row r="261" spans="1:2" hidden="1" x14ac:dyDescent="0.35">
      <c r="A261" s="1">
        <v>45389</v>
      </c>
      <c r="B261" s="3">
        <v>0</v>
      </c>
    </row>
    <row r="262" spans="1:2" hidden="1" x14ac:dyDescent="0.35">
      <c r="A262" s="1">
        <v>45390</v>
      </c>
      <c r="B262" s="3">
        <v>0</v>
      </c>
    </row>
    <row r="263" spans="1:2" hidden="1" x14ac:dyDescent="0.35">
      <c r="A263" s="1">
        <v>45391</v>
      </c>
      <c r="B263" s="3">
        <v>0</v>
      </c>
    </row>
    <row r="264" spans="1:2" hidden="1" x14ac:dyDescent="0.35">
      <c r="A264" s="1">
        <v>45392</v>
      </c>
      <c r="B264" s="3">
        <v>-844.58490000000006</v>
      </c>
    </row>
    <row r="265" spans="1:2" hidden="1" x14ac:dyDescent="0.35">
      <c r="A265" s="1">
        <v>45393</v>
      </c>
      <c r="B265" s="3">
        <v>5422.5733499999997</v>
      </c>
    </row>
    <row r="266" spans="1:2" hidden="1" x14ac:dyDescent="0.35">
      <c r="A266" s="1">
        <v>45394</v>
      </c>
      <c r="B266" s="3">
        <v>8097.4946749999999</v>
      </c>
    </row>
    <row r="267" spans="1:2" hidden="1" x14ac:dyDescent="0.35">
      <c r="A267" s="1">
        <v>45395</v>
      </c>
      <c r="B267" s="3">
        <v>10772.415999999999</v>
      </c>
    </row>
    <row r="268" spans="1:2" hidden="1" x14ac:dyDescent="0.35">
      <c r="A268" s="1">
        <v>45396</v>
      </c>
      <c r="B268" s="3">
        <v>0</v>
      </c>
    </row>
    <row r="269" spans="1:2" hidden="1" x14ac:dyDescent="0.35">
      <c r="A269" s="1">
        <v>45397</v>
      </c>
      <c r="B269" s="3">
        <v>1672.79</v>
      </c>
    </row>
    <row r="270" spans="1:2" hidden="1" x14ac:dyDescent="0.35">
      <c r="A270" s="1">
        <v>45398</v>
      </c>
      <c r="B270" s="3">
        <v>1372.5118</v>
      </c>
    </row>
    <row r="271" spans="1:2" hidden="1" x14ac:dyDescent="0.35">
      <c r="A271" s="1">
        <v>45399</v>
      </c>
      <c r="B271" s="3">
        <v>1469.8545333333334</v>
      </c>
    </row>
    <row r="272" spans="1:2" hidden="1" x14ac:dyDescent="0.35">
      <c r="A272" s="1">
        <v>45400</v>
      </c>
      <c r="B272" s="3">
        <v>1567.1972666666666</v>
      </c>
    </row>
    <row r="273" spans="1:2" hidden="1" x14ac:dyDescent="0.35">
      <c r="A273" s="1">
        <v>45401</v>
      </c>
      <c r="B273" s="3">
        <v>1664.54</v>
      </c>
    </row>
    <row r="274" spans="1:2" hidden="1" x14ac:dyDescent="0.35">
      <c r="A274" s="1">
        <v>45402</v>
      </c>
      <c r="B274" s="3">
        <v>8022.4211999999998</v>
      </c>
    </row>
    <row r="275" spans="1:2" hidden="1" x14ac:dyDescent="0.35">
      <c r="A275" s="1">
        <v>45403</v>
      </c>
      <c r="B275" s="3">
        <v>6356.6577500000003</v>
      </c>
    </row>
    <row r="276" spans="1:2" hidden="1" x14ac:dyDescent="0.35">
      <c r="A276" s="1">
        <v>45404</v>
      </c>
      <c r="B276" s="3">
        <v>17248.84</v>
      </c>
    </row>
    <row r="277" spans="1:2" hidden="1" x14ac:dyDescent="0.35">
      <c r="A277" s="1">
        <v>45405</v>
      </c>
      <c r="B277" s="3">
        <v>12936.630000000001</v>
      </c>
    </row>
    <row r="278" spans="1:2" hidden="1" x14ac:dyDescent="0.35">
      <c r="A278" s="1">
        <v>45406</v>
      </c>
      <c r="B278" s="3">
        <v>8624.42</v>
      </c>
    </row>
    <row r="279" spans="1:2" hidden="1" x14ac:dyDescent="0.35">
      <c r="A279" s="1">
        <v>45407</v>
      </c>
      <c r="B279" s="3">
        <v>4312.2099999999991</v>
      </c>
    </row>
    <row r="280" spans="1:2" hidden="1" x14ac:dyDescent="0.35">
      <c r="A280" s="1">
        <v>45408</v>
      </c>
      <c r="B280" s="3">
        <v>0</v>
      </c>
    </row>
    <row r="281" spans="1:2" hidden="1" x14ac:dyDescent="0.35">
      <c r="A281" s="1">
        <v>45409</v>
      </c>
      <c r="B281" s="3">
        <v>3058.96</v>
      </c>
    </row>
    <row r="282" spans="1:2" hidden="1" x14ac:dyDescent="0.35">
      <c r="A282" s="1">
        <v>45410</v>
      </c>
      <c r="B282" s="3">
        <v>6117.92</v>
      </c>
    </row>
    <row r="283" spans="1:2" hidden="1" x14ac:dyDescent="0.35">
      <c r="A283" s="1">
        <v>45411</v>
      </c>
      <c r="B283" s="3">
        <v>8183.3242</v>
      </c>
    </row>
    <row r="284" spans="1:2" hidden="1" x14ac:dyDescent="0.35">
      <c r="A284" s="1">
        <v>45412</v>
      </c>
      <c r="B284" s="3">
        <v>0</v>
      </c>
    </row>
    <row r="285" spans="1:2" hidden="1" x14ac:dyDescent="0.35">
      <c r="A285" s="1">
        <v>45413</v>
      </c>
      <c r="B285" s="3">
        <v>589.34</v>
      </c>
    </row>
    <row r="286" spans="1:2" hidden="1" x14ac:dyDescent="0.35">
      <c r="A286" s="1">
        <v>45414</v>
      </c>
      <c r="B286" s="3">
        <v>1311.5775666666668</v>
      </c>
    </row>
    <row r="287" spans="1:2" hidden="1" x14ac:dyDescent="0.35">
      <c r="A287" s="1">
        <v>45415</v>
      </c>
      <c r="B287" s="3">
        <v>2033.8151333333335</v>
      </c>
    </row>
    <row r="288" spans="1:2" hidden="1" x14ac:dyDescent="0.35">
      <c r="A288" s="1">
        <v>45416</v>
      </c>
      <c r="B288" s="3">
        <v>2756.0527000000002</v>
      </c>
    </row>
    <row r="289" spans="1:2" hidden="1" x14ac:dyDescent="0.35">
      <c r="A289" s="1">
        <v>45417</v>
      </c>
      <c r="B289" s="3">
        <v>0</v>
      </c>
    </row>
    <row r="290" spans="1:2" hidden="1" x14ac:dyDescent="0.35">
      <c r="A290" s="1">
        <v>45418</v>
      </c>
      <c r="B290" s="3">
        <v>2581.19</v>
      </c>
    </row>
    <row r="291" spans="1:2" hidden="1" x14ac:dyDescent="0.35">
      <c r="A291" s="1">
        <v>45419</v>
      </c>
      <c r="B291" s="3">
        <v>0</v>
      </c>
    </row>
    <row r="292" spans="1:2" hidden="1" x14ac:dyDescent="0.35">
      <c r="A292" s="1">
        <v>45420</v>
      </c>
      <c r="B292" s="3">
        <v>0</v>
      </c>
    </row>
    <row r="293" spans="1:2" hidden="1" x14ac:dyDescent="0.35">
      <c r="A293" s="1">
        <v>45421</v>
      </c>
      <c r="B293" s="3">
        <v>0</v>
      </c>
    </row>
    <row r="294" spans="1:2" hidden="1" x14ac:dyDescent="0.35">
      <c r="A294" s="1">
        <v>45422</v>
      </c>
      <c r="B294" s="3">
        <v>0</v>
      </c>
    </row>
    <row r="295" spans="1:2" hidden="1" x14ac:dyDescent="0.35">
      <c r="A295" s="1">
        <v>45423</v>
      </c>
      <c r="B295" s="3">
        <v>1459.76</v>
      </c>
    </row>
    <row r="296" spans="1:2" hidden="1" x14ac:dyDescent="0.35">
      <c r="A296" s="1">
        <v>45424</v>
      </c>
      <c r="B296" s="3">
        <v>2919.52</v>
      </c>
    </row>
    <row r="297" spans="1:2" hidden="1" x14ac:dyDescent="0.35">
      <c r="A297" s="1">
        <v>45425</v>
      </c>
      <c r="B297" s="3">
        <v>4379.28</v>
      </c>
    </row>
    <row r="298" spans="1:2" hidden="1" x14ac:dyDescent="0.35">
      <c r="A298" s="1">
        <v>45426</v>
      </c>
      <c r="B298" s="3">
        <v>4396.7479666666668</v>
      </c>
    </row>
    <row r="299" spans="1:2" hidden="1" x14ac:dyDescent="0.35">
      <c r="A299" s="1">
        <v>45427</v>
      </c>
      <c r="B299" s="3">
        <v>4414.2159333333329</v>
      </c>
    </row>
    <row r="300" spans="1:2" hidden="1" x14ac:dyDescent="0.35">
      <c r="A300" s="1">
        <v>45428</v>
      </c>
      <c r="B300" s="3">
        <v>4431.6839</v>
      </c>
    </row>
    <row r="301" spans="1:2" hidden="1" x14ac:dyDescent="0.35">
      <c r="A301" s="1">
        <v>45429</v>
      </c>
      <c r="B301" s="3">
        <v>4449.1518666666661</v>
      </c>
    </row>
    <row r="302" spans="1:2" hidden="1" x14ac:dyDescent="0.35">
      <c r="A302" s="1">
        <v>45430</v>
      </c>
      <c r="B302" s="3">
        <v>4466.6198333333332</v>
      </c>
    </row>
    <row r="303" spans="1:2" hidden="1" x14ac:dyDescent="0.35">
      <c r="A303" s="1">
        <v>45431</v>
      </c>
      <c r="B303" s="3">
        <v>0</v>
      </c>
    </row>
    <row r="304" spans="1:2" hidden="1" x14ac:dyDescent="0.35">
      <c r="A304" s="1">
        <v>45432</v>
      </c>
      <c r="B304" s="3">
        <v>1341.8657999999998</v>
      </c>
    </row>
    <row r="305" spans="1:2" hidden="1" x14ac:dyDescent="0.35">
      <c r="A305" s="1">
        <v>45433</v>
      </c>
      <c r="B305" s="3">
        <v>2683.7315999999996</v>
      </c>
    </row>
    <row r="306" spans="1:2" hidden="1" x14ac:dyDescent="0.35">
      <c r="A306" s="1">
        <v>45434</v>
      </c>
      <c r="B306" s="3">
        <v>1379.1981049999995</v>
      </c>
    </row>
    <row r="307" spans="1:2" hidden="1" x14ac:dyDescent="0.35">
      <c r="A307" s="1">
        <v>45435</v>
      </c>
      <c r="B307" s="3">
        <v>74.664609999999357</v>
      </c>
    </row>
    <row r="308" spans="1:2" hidden="1" x14ac:dyDescent="0.35">
      <c r="A308" s="1">
        <v>45436</v>
      </c>
      <c r="B308" s="3">
        <v>-1229.8688850000003</v>
      </c>
    </row>
    <row r="309" spans="1:2" hidden="1" x14ac:dyDescent="0.35">
      <c r="A309" s="1">
        <v>45437</v>
      </c>
      <c r="B309" s="3">
        <v>-2534.4023800000009</v>
      </c>
    </row>
    <row r="310" spans="1:2" hidden="1" x14ac:dyDescent="0.35">
      <c r="A310" s="1">
        <v>45438</v>
      </c>
      <c r="B310" s="3">
        <v>-3838.9358750000001</v>
      </c>
    </row>
    <row r="311" spans="1:2" hidden="1" x14ac:dyDescent="0.35">
      <c r="A311" s="1">
        <v>45439</v>
      </c>
      <c r="B311" s="3">
        <v>1448.7083124999999</v>
      </c>
    </row>
    <row r="312" spans="1:2" hidden="1" x14ac:dyDescent="0.35">
      <c r="A312" s="1">
        <v>45440</v>
      </c>
      <c r="B312" s="3">
        <v>6736.3525</v>
      </c>
    </row>
    <row r="313" spans="1:2" hidden="1" x14ac:dyDescent="0.35">
      <c r="A313" s="1">
        <v>45441</v>
      </c>
      <c r="B313" s="3">
        <v>1645.1154600000002</v>
      </c>
    </row>
    <row r="314" spans="1:2" hidden="1" x14ac:dyDescent="0.35">
      <c r="A314" s="1">
        <v>45442</v>
      </c>
      <c r="B314" s="3">
        <v>0</v>
      </c>
    </row>
    <row r="315" spans="1:2" hidden="1" x14ac:dyDescent="0.35">
      <c r="A315" s="1">
        <v>45443</v>
      </c>
      <c r="B315" s="3">
        <v>14915.22</v>
      </c>
    </row>
    <row r="316" spans="1:2" hidden="1" x14ac:dyDescent="0.35">
      <c r="A316" s="1">
        <v>45444</v>
      </c>
      <c r="B316" s="3">
        <v>0</v>
      </c>
    </row>
    <row r="317" spans="1:2" hidden="1" x14ac:dyDescent="0.35">
      <c r="A317" s="1">
        <v>45445</v>
      </c>
      <c r="B317" s="3">
        <v>-2680.8625999999999</v>
      </c>
    </row>
    <row r="318" spans="1:2" hidden="1" x14ac:dyDescent="0.35">
      <c r="A318" s="1">
        <v>45446</v>
      </c>
      <c r="B318" s="3">
        <v>4359.3582666666662</v>
      </c>
    </row>
    <row r="319" spans="1:2" hidden="1" x14ac:dyDescent="0.35">
      <c r="A319" s="1">
        <v>45447</v>
      </c>
      <c r="B319" s="3">
        <v>11399.579133333333</v>
      </c>
    </row>
    <row r="320" spans="1:2" hidden="1" x14ac:dyDescent="0.35">
      <c r="A320" s="1">
        <v>45448</v>
      </c>
      <c r="B320" s="3">
        <v>18439.8</v>
      </c>
    </row>
    <row r="321" spans="1:2" hidden="1" x14ac:dyDescent="0.35">
      <c r="A321" s="1">
        <v>45449</v>
      </c>
      <c r="B321" s="3">
        <v>12293.2</v>
      </c>
    </row>
    <row r="322" spans="1:2" hidden="1" x14ac:dyDescent="0.35">
      <c r="A322" s="1">
        <v>45450</v>
      </c>
      <c r="B322" s="3">
        <v>6146.6</v>
      </c>
    </row>
    <row r="323" spans="1:2" hidden="1" x14ac:dyDescent="0.35">
      <c r="A323" s="1">
        <v>45451</v>
      </c>
      <c r="B323" s="3">
        <v>0</v>
      </c>
    </row>
    <row r="324" spans="1:2" hidden="1" x14ac:dyDescent="0.35">
      <c r="A324" s="1">
        <v>45452</v>
      </c>
      <c r="B324" s="3">
        <v>6371.16</v>
      </c>
    </row>
    <row r="325" spans="1:2" hidden="1" x14ac:dyDescent="0.35">
      <c r="A325" s="1">
        <v>45453</v>
      </c>
      <c r="B325" s="3">
        <v>12742.32</v>
      </c>
    </row>
    <row r="326" spans="1:2" hidden="1" x14ac:dyDescent="0.35">
      <c r="A326" s="1">
        <v>45454</v>
      </c>
      <c r="B326" s="3">
        <v>1434.3446999999996</v>
      </c>
    </row>
    <row r="327" spans="1:2" hidden="1" x14ac:dyDescent="0.35">
      <c r="A327" s="1">
        <v>45455</v>
      </c>
      <c r="B327" s="3">
        <v>6076.3025499999994</v>
      </c>
    </row>
    <row r="328" spans="1:2" hidden="1" x14ac:dyDescent="0.35">
      <c r="A328" s="1">
        <v>45456</v>
      </c>
      <c r="B328" s="3">
        <v>10718.260399999999</v>
      </c>
    </row>
    <row r="329" spans="1:2" hidden="1" x14ac:dyDescent="0.35">
      <c r="A329" s="1">
        <v>45457</v>
      </c>
      <c r="B329" s="3">
        <v>1411.4266666666665</v>
      </c>
    </row>
    <row r="330" spans="1:2" hidden="1" x14ac:dyDescent="0.35">
      <c r="A330" s="1">
        <v>45458</v>
      </c>
      <c r="B330" s="3">
        <v>2515.0066666666667</v>
      </c>
    </row>
    <row r="331" spans="1:2" hidden="1" x14ac:dyDescent="0.35">
      <c r="A331" s="1">
        <v>45459</v>
      </c>
      <c r="B331" s="3">
        <v>2095.838888888889</v>
      </c>
    </row>
    <row r="332" spans="1:2" hidden="1" x14ac:dyDescent="0.35">
      <c r="A332" s="1">
        <v>45460</v>
      </c>
      <c r="B332" s="3">
        <v>1676.6711111111113</v>
      </c>
    </row>
    <row r="333" spans="1:2" hidden="1" x14ac:dyDescent="0.35">
      <c r="A333" s="1">
        <v>45461</v>
      </c>
      <c r="B333" s="3">
        <v>1257.5033333333333</v>
      </c>
    </row>
    <row r="334" spans="1:2" hidden="1" x14ac:dyDescent="0.35">
      <c r="A334" s="1">
        <v>45462</v>
      </c>
      <c r="B334" s="3">
        <v>838.33555555555563</v>
      </c>
    </row>
    <row r="335" spans="1:2" hidden="1" x14ac:dyDescent="0.35">
      <c r="A335" s="1">
        <v>45463</v>
      </c>
      <c r="B335" s="3">
        <v>419.1677777777777</v>
      </c>
    </row>
    <row r="336" spans="1:2" hidden="1" x14ac:dyDescent="0.35">
      <c r="A336" s="1">
        <v>45464</v>
      </c>
      <c r="B336" s="3">
        <v>0</v>
      </c>
    </row>
    <row r="337" spans="1:2" hidden="1" x14ac:dyDescent="0.35">
      <c r="A337" s="1">
        <v>45465</v>
      </c>
      <c r="B337" s="3">
        <v>9071</v>
      </c>
    </row>
    <row r="338" spans="1:2" hidden="1" x14ac:dyDescent="0.35">
      <c r="A338" s="1">
        <v>45466</v>
      </c>
      <c r="B338" s="3">
        <v>0</v>
      </c>
    </row>
    <row r="339" spans="1:2" hidden="1" x14ac:dyDescent="0.35">
      <c r="A339" s="1">
        <v>45467</v>
      </c>
      <c r="B339" s="3">
        <v>1556.0810000000001</v>
      </c>
    </row>
    <row r="340" spans="1:2" hidden="1" x14ac:dyDescent="0.35">
      <c r="A340" s="1">
        <v>45468</v>
      </c>
      <c r="B340" s="3">
        <v>3112.1620000000003</v>
      </c>
    </row>
    <row r="341" spans="1:2" hidden="1" x14ac:dyDescent="0.35">
      <c r="A341" s="1">
        <v>45469</v>
      </c>
      <c r="B341" s="3">
        <v>4668.2430000000004</v>
      </c>
    </row>
    <row r="342" spans="1:2" hidden="1" x14ac:dyDescent="0.35">
      <c r="A342" s="1">
        <v>45470</v>
      </c>
      <c r="B342" s="3">
        <v>6224.3240000000005</v>
      </c>
    </row>
    <row r="343" spans="1:2" hidden="1" x14ac:dyDescent="0.35">
      <c r="A343" s="1">
        <v>45471</v>
      </c>
      <c r="B343" s="3">
        <v>7780.4050000000016</v>
      </c>
    </row>
    <row r="344" spans="1:2" hidden="1" x14ac:dyDescent="0.35">
      <c r="A344" s="1">
        <v>45472</v>
      </c>
      <c r="B344" s="3">
        <v>9336.4860000000008</v>
      </c>
    </row>
    <row r="345" spans="1:2" hidden="1" x14ac:dyDescent="0.35">
      <c r="A345" s="1">
        <v>45473</v>
      </c>
      <c r="B345" s="3">
        <v>-1030.08</v>
      </c>
    </row>
    <row r="346" spans="1:2" hidden="1" x14ac:dyDescent="0.35">
      <c r="A346" s="1">
        <v>45474</v>
      </c>
      <c r="B346" s="3">
        <v>-858.4</v>
      </c>
    </row>
    <row r="347" spans="1:2" hidden="1" x14ac:dyDescent="0.35">
      <c r="A347" s="1">
        <v>45475</v>
      </c>
      <c r="B347" s="3">
        <v>-686.72</v>
      </c>
    </row>
    <row r="348" spans="1:2" hidden="1" x14ac:dyDescent="0.35">
      <c r="A348" s="1">
        <v>45476</v>
      </c>
      <c r="B348" s="3">
        <v>-515.04</v>
      </c>
    </row>
    <row r="349" spans="1:2" hidden="1" x14ac:dyDescent="0.35">
      <c r="A349" s="1">
        <v>45477</v>
      </c>
      <c r="B349" s="3">
        <v>-343.36</v>
      </c>
    </row>
    <row r="350" spans="1:2" hidden="1" x14ac:dyDescent="0.35">
      <c r="A350" s="1">
        <v>45478</v>
      </c>
      <c r="B350" s="3">
        <v>-171.67999999999995</v>
      </c>
    </row>
    <row r="351" spans="1:2" hidden="1" x14ac:dyDescent="0.35">
      <c r="A351" s="1">
        <v>45479</v>
      </c>
      <c r="B351" s="3">
        <v>0</v>
      </c>
    </row>
    <row r="352" spans="1:2" hidden="1" x14ac:dyDescent="0.35">
      <c r="A352" s="1">
        <v>45480</v>
      </c>
      <c r="B352" s="3">
        <v>0</v>
      </c>
    </row>
    <row r="353" spans="1:2" hidden="1" x14ac:dyDescent="0.35">
      <c r="A353" s="1">
        <v>45481</v>
      </c>
      <c r="B353" s="3">
        <v>0</v>
      </c>
    </row>
    <row r="354" spans="1:2" hidden="1" x14ac:dyDescent="0.35">
      <c r="A354" s="1">
        <v>45482</v>
      </c>
      <c r="B354" s="3">
        <v>0</v>
      </c>
    </row>
    <row r="355" spans="1:2" hidden="1" x14ac:dyDescent="0.35">
      <c r="A355" s="1">
        <v>45483</v>
      </c>
      <c r="B355" s="3">
        <v>0</v>
      </c>
    </row>
    <row r="356" spans="1:2" hidden="1" x14ac:dyDescent="0.35">
      <c r="A356" s="1">
        <v>45484</v>
      </c>
      <c r="B356" s="3">
        <v>8638.3766666666652</v>
      </c>
    </row>
    <row r="357" spans="1:2" hidden="1" x14ac:dyDescent="0.35">
      <c r="A357" s="1">
        <v>45485</v>
      </c>
      <c r="B357" s="3">
        <v>5659.3579833333324</v>
      </c>
    </row>
    <row r="358" spans="1:2" hidden="1" x14ac:dyDescent="0.35">
      <c r="A358" s="1">
        <v>45486</v>
      </c>
      <c r="B358" s="3">
        <v>2680.3393000000001</v>
      </c>
    </row>
    <row r="359" spans="1:2" hidden="1" x14ac:dyDescent="0.35">
      <c r="A359" s="1">
        <v>45487</v>
      </c>
      <c r="B359" s="3">
        <v>4697.725375</v>
      </c>
    </row>
    <row r="360" spans="1:2" hidden="1" x14ac:dyDescent="0.35">
      <c r="A360" s="1">
        <v>45488</v>
      </c>
      <c r="B360" s="3">
        <v>6715.1114500000003</v>
      </c>
    </row>
    <row r="361" spans="1:2" hidden="1" x14ac:dyDescent="0.35">
      <c r="A361" s="1">
        <v>45489</v>
      </c>
      <c r="B361" s="3">
        <v>8732.4975249999989</v>
      </c>
    </row>
    <row r="362" spans="1:2" hidden="1" x14ac:dyDescent="0.35">
      <c r="A362" s="1">
        <v>45490</v>
      </c>
      <c r="B362" s="3">
        <v>10749.883599999999</v>
      </c>
    </row>
    <row r="363" spans="1:2" hidden="1" x14ac:dyDescent="0.35">
      <c r="A363" s="1">
        <v>45491</v>
      </c>
      <c r="B363" s="3">
        <v>891.35136666666665</v>
      </c>
    </row>
    <row r="364" spans="1:2" hidden="1" x14ac:dyDescent="0.35">
      <c r="A364" s="1">
        <v>45492</v>
      </c>
      <c r="B364" s="3">
        <v>5377.9877999999999</v>
      </c>
    </row>
    <row r="365" spans="1:2" hidden="1" x14ac:dyDescent="0.35">
      <c r="A365" s="1">
        <v>45493</v>
      </c>
      <c r="B365" s="3">
        <v>5299.5223999999998</v>
      </c>
    </row>
    <row r="366" spans="1:2" hidden="1" x14ac:dyDescent="0.35">
      <c r="A366" s="1">
        <v>45494</v>
      </c>
      <c r="B366" s="3">
        <v>4198.5</v>
      </c>
    </row>
    <row r="367" spans="1:2" hidden="1" x14ac:dyDescent="0.35">
      <c r="A367" s="1">
        <v>45495</v>
      </c>
      <c r="B367" s="3">
        <v>4564.2005666666664</v>
      </c>
    </row>
    <row r="368" spans="1:2" hidden="1" x14ac:dyDescent="0.35">
      <c r="A368" s="1">
        <v>45496</v>
      </c>
      <c r="B368" s="3">
        <v>0</v>
      </c>
    </row>
    <row r="369" spans="1:2" hidden="1" x14ac:dyDescent="0.35">
      <c r="A369" s="1">
        <v>45497</v>
      </c>
      <c r="B369" s="3">
        <v>4636.43462</v>
      </c>
    </row>
    <row r="370" spans="1:2" hidden="1" x14ac:dyDescent="0.35">
      <c r="A370" s="1">
        <v>45498</v>
      </c>
      <c r="B370" s="3">
        <v>2550.5869516666667</v>
      </c>
    </row>
    <row r="371" spans="1:2" hidden="1" x14ac:dyDescent="0.35">
      <c r="A371" s="1">
        <v>45499</v>
      </c>
      <c r="B371" s="3">
        <v>464.73928333333333</v>
      </c>
    </row>
    <row r="372" spans="1:2" hidden="1" x14ac:dyDescent="0.35">
      <c r="A372" s="1">
        <v>45500</v>
      </c>
      <c r="B372" s="3">
        <v>2442.1012500000002</v>
      </c>
    </row>
    <row r="373" spans="1:2" hidden="1" x14ac:dyDescent="0.35">
      <c r="A373" s="1">
        <v>45501</v>
      </c>
      <c r="B373" s="3">
        <v>2275.4500199999998</v>
      </c>
    </row>
    <row r="374" spans="1:2" hidden="1" x14ac:dyDescent="0.35">
      <c r="A374" s="1">
        <v>45502</v>
      </c>
      <c r="B374" s="3">
        <v>1830.6380599999998</v>
      </c>
    </row>
    <row r="375" spans="1:2" hidden="1" x14ac:dyDescent="0.35">
      <c r="A375" s="1">
        <v>45503</v>
      </c>
      <c r="B375" s="3">
        <v>7459.9097999999994</v>
      </c>
    </row>
    <row r="376" spans="1:2" hidden="1" x14ac:dyDescent="0.35">
      <c r="A376" s="1">
        <v>45504</v>
      </c>
      <c r="B376" s="3">
        <v>9328.2437000000009</v>
      </c>
    </row>
    <row r="377" spans="1:2" hidden="1" x14ac:dyDescent="0.35">
      <c r="A377" s="1">
        <v>45505</v>
      </c>
      <c r="B377" s="3">
        <v>1691.1133333333335</v>
      </c>
    </row>
    <row r="378" spans="1:2" hidden="1" x14ac:dyDescent="0.35">
      <c r="A378" s="1">
        <v>45506</v>
      </c>
      <c r="B378" s="3">
        <v>3393.4997699999999</v>
      </c>
    </row>
    <row r="379" spans="1:2" hidden="1" x14ac:dyDescent="0.35">
      <c r="A379" s="1">
        <v>45507</v>
      </c>
      <c r="B379" s="3">
        <v>1167.394125</v>
      </c>
    </row>
    <row r="380" spans="1:2" hidden="1" x14ac:dyDescent="0.35">
      <c r="A380" s="1">
        <v>45508</v>
      </c>
      <c r="B380" s="3">
        <v>78.247792307692393</v>
      </c>
    </row>
    <row r="381" spans="1:2" hidden="1" x14ac:dyDescent="0.35">
      <c r="A381" s="1">
        <v>45509</v>
      </c>
      <c r="B381" s="3">
        <v>1572.6944249999999</v>
      </c>
    </row>
    <row r="382" spans="1:2" hidden="1" x14ac:dyDescent="0.35">
      <c r="A382" s="1">
        <v>45510</v>
      </c>
      <c r="B382" s="3">
        <v>4464.5065999999997</v>
      </c>
    </row>
    <row r="383" spans="1:2" hidden="1" x14ac:dyDescent="0.35">
      <c r="A383" s="1">
        <v>45511</v>
      </c>
      <c r="B383" s="3">
        <v>5126.5339999999997</v>
      </c>
    </row>
    <row r="384" spans="1:2" hidden="1" x14ac:dyDescent="0.35">
      <c r="A384" s="1">
        <v>45512</v>
      </c>
      <c r="B384" s="3">
        <v>1038.3689999999999</v>
      </c>
    </row>
    <row r="385" spans="1:2" hidden="1" x14ac:dyDescent="0.35">
      <c r="A385" s="1">
        <v>45513</v>
      </c>
      <c r="B385" s="3">
        <v>3574.54</v>
      </c>
    </row>
    <row r="386" spans="1:2" hidden="1" x14ac:dyDescent="0.35">
      <c r="A386" s="1">
        <v>45514</v>
      </c>
      <c r="B386" s="3">
        <v>8297.3915666666671</v>
      </c>
    </row>
    <row r="387" spans="1:2" hidden="1" x14ac:dyDescent="0.35">
      <c r="A387" s="1">
        <v>45515</v>
      </c>
      <c r="B387" s="3">
        <v>0</v>
      </c>
    </row>
    <row r="388" spans="1:2" hidden="1" x14ac:dyDescent="0.35">
      <c r="A388" s="1">
        <v>45516</v>
      </c>
      <c r="B388" s="3">
        <v>3531.1313214285715</v>
      </c>
    </row>
    <row r="389" spans="1:2" hidden="1" x14ac:dyDescent="0.35">
      <c r="A389" s="1">
        <v>45517</v>
      </c>
      <c r="B389" s="3">
        <v>1416.9864444444445</v>
      </c>
    </row>
    <row r="390" spans="1:2" hidden="1" x14ac:dyDescent="0.35">
      <c r="A390" s="1">
        <v>45518</v>
      </c>
      <c r="B390" s="3">
        <v>-842.21124999999995</v>
      </c>
    </row>
    <row r="391" spans="1:2" hidden="1" x14ac:dyDescent="0.35">
      <c r="A391" s="1">
        <v>45519</v>
      </c>
      <c r="B391" s="3">
        <v>656.43694285714287</v>
      </c>
    </row>
    <row r="392" spans="1:2" hidden="1" x14ac:dyDescent="0.35">
      <c r="A392" s="1">
        <v>45520</v>
      </c>
      <c r="B392" s="3">
        <v>2211.3181</v>
      </c>
    </row>
    <row r="393" spans="1:2" hidden="1" x14ac:dyDescent="0.35">
      <c r="A393" s="1">
        <v>45521</v>
      </c>
      <c r="B393" s="3">
        <v>2676.6766538461534</v>
      </c>
    </row>
    <row r="394" spans="1:2" hidden="1" x14ac:dyDescent="0.35">
      <c r="A394" s="1">
        <v>45522</v>
      </c>
      <c r="B394" s="3">
        <v>5416.8771999999999</v>
      </c>
    </row>
    <row r="395" spans="1:2" hidden="1" x14ac:dyDescent="0.35">
      <c r="A395" s="1">
        <v>45523</v>
      </c>
      <c r="B395" s="3">
        <v>2678.8009999999999</v>
      </c>
    </row>
    <row r="396" spans="1:2" hidden="1" x14ac:dyDescent="0.35">
      <c r="A396" s="1">
        <v>45524</v>
      </c>
      <c r="B396" s="3">
        <v>0</v>
      </c>
    </row>
    <row r="397" spans="1:2" hidden="1" x14ac:dyDescent="0.35">
      <c r="A397" s="1">
        <v>45525</v>
      </c>
      <c r="B397" s="3">
        <v>185.25594285714291</v>
      </c>
    </row>
    <row r="398" spans="1:2" hidden="1" x14ac:dyDescent="0.35">
      <c r="A398" s="1">
        <v>45526</v>
      </c>
      <c r="B398" s="3">
        <v>1903.8656000000003</v>
      </c>
    </row>
    <row r="399" spans="1:2" hidden="1" x14ac:dyDescent="0.35">
      <c r="A399" s="1">
        <v>45527</v>
      </c>
      <c r="B399" s="3">
        <v>6164.28</v>
      </c>
    </row>
    <row r="400" spans="1:2" hidden="1" x14ac:dyDescent="0.35">
      <c r="A400" s="1">
        <v>45528</v>
      </c>
      <c r="B400" s="3">
        <v>5713.9057666666668</v>
      </c>
    </row>
    <row r="401" spans="1:2" hidden="1" x14ac:dyDescent="0.35">
      <c r="A401" s="1">
        <v>45529</v>
      </c>
      <c r="B401" s="3">
        <v>0</v>
      </c>
    </row>
    <row r="402" spans="1:2" hidden="1" x14ac:dyDescent="0.35">
      <c r="A402" s="1">
        <v>45530</v>
      </c>
      <c r="B402" s="3">
        <v>-668.57017499999995</v>
      </c>
    </row>
    <row r="403" spans="1:2" hidden="1" x14ac:dyDescent="0.35">
      <c r="A403" s="1">
        <v>45531</v>
      </c>
      <c r="B403" s="3">
        <v>11105.9817</v>
      </c>
    </row>
    <row r="404" spans="1:2" hidden="1" x14ac:dyDescent="0.35">
      <c r="A404" s="1">
        <v>45532</v>
      </c>
      <c r="B404" s="3">
        <v>5397.4775</v>
      </c>
    </row>
    <row r="405" spans="1:2" hidden="1" x14ac:dyDescent="0.35">
      <c r="A405" s="1">
        <v>45533</v>
      </c>
      <c r="B405" s="3">
        <v>-915.55949999999996</v>
      </c>
    </row>
    <row r="406" spans="1:2" hidden="1" x14ac:dyDescent="0.35">
      <c r="A406" s="1">
        <v>45534</v>
      </c>
      <c r="B406" s="3">
        <v>-8818.44</v>
      </c>
    </row>
    <row r="407" spans="1:2" hidden="1" x14ac:dyDescent="0.35">
      <c r="A407" s="1">
        <v>45535</v>
      </c>
      <c r="B407" s="3">
        <v>3077.9011545454546</v>
      </c>
    </row>
    <row r="408" spans="1:2" hidden="1" x14ac:dyDescent="0.35">
      <c r="A408" s="1">
        <v>45536</v>
      </c>
      <c r="B408" s="3">
        <v>0</v>
      </c>
    </row>
    <row r="409" spans="1:2" hidden="1" x14ac:dyDescent="0.35">
      <c r="A409" s="1">
        <v>45537</v>
      </c>
      <c r="B409" s="3">
        <v>-443.61499999999978</v>
      </c>
    </row>
    <row r="410" spans="1:2" hidden="1" x14ac:dyDescent="0.35">
      <c r="A410" s="1">
        <v>45538</v>
      </c>
      <c r="B410" s="3">
        <v>926.57943333333344</v>
      </c>
    </row>
    <row r="411" spans="1:2" hidden="1" x14ac:dyDescent="0.35">
      <c r="A411" s="1">
        <v>45539</v>
      </c>
      <c r="B411" s="3">
        <v>5124.9121461538462</v>
      </c>
    </row>
    <row r="412" spans="1:2" hidden="1" x14ac:dyDescent="0.35">
      <c r="A412" s="1">
        <v>45540</v>
      </c>
      <c r="B412" s="3">
        <v>7939.4973499999996</v>
      </c>
    </row>
    <row r="413" spans="1:2" hidden="1" x14ac:dyDescent="0.35">
      <c r="A413" s="1">
        <v>45541</v>
      </c>
      <c r="B413" s="3">
        <v>0</v>
      </c>
    </row>
    <row r="414" spans="1:2" hidden="1" x14ac:dyDescent="0.35">
      <c r="A414" s="1">
        <v>45542</v>
      </c>
      <c r="B414" s="3">
        <v>2924.963555555556</v>
      </c>
    </row>
    <row r="415" spans="1:2" hidden="1" x14ac:dyDescent="0.35">
      <c r="A415" s="1">
        <v>45543</v>
      </c>
      <c r="B415" s="3">
        <v>2959.5933333333337</v>
      </c>
    </row>
    <row r="416" spans="1:2" hidden="1" x14ac:dyDescent="0.35">
      <c r="A416" s="1">
        <v>45544</v>
      </c>
      <c r="B416" s="3">
        <v>2004.7250000000001</v>
      </c>
    </row>
    <row r="417" spans="1:2" hidden="1" x14ac:dyDescent="0.35">
      <c r="A417" s="1">
        <v>45545</v>
      </c>
      <c r="B417" s="3">
        <v>2006.6595749999999</v>
      </c>
    </row>
    <row r="418" spans="1:2" hidden="1" x14ac:dyDescent="0.35">
      <c r="A418" s="1">
        <v>45546</v>
      </c>
      <c r="B418" s="3">
        <v>0</v>
      </c>
    </row>
    <row r="419" spans="1:2" hidden="1" x14ac:dyDescent="0.35">
      <c r="A419" s="1">
        <v>45547</v>
      </c>
      <c r="B419" s="3">
        <v>24.68652727272729</v>
      </c>
    </row>
    <row r="420" spans="1:2" hidden="1" x14ac:dyDescent="0.35">
      <c r="A420" s="1">
        <v>45548</v>
      </c>
      <c r="B420" s="3">
        <v>7064.22</v>
      </c>
    </row>
    <row r="421" spans="1:2" hidden="1" x14ac:dyDescent="0.35">
      <c r="A421" s="1">
        <v>45549</v>
      </c>
      <c r="B421" s="3">
        <v>20.3741333333334</v>
      </c>
    </row>
    <row r="422" spans="1:2" hidden="1" x14ac:dyDescent="0.35">
      <c r="A422" s="1">
        <v>45550</v>
      </c>
      <c r="B422" s="3">
        <v>8196.5863199999985</v>
      </c>
    </row>
    <row r="423" spans="1:2" hidden="1" x14ac:dyDescent="0.35">
      <c r="A423" s="1">
        <v>45551</v>
      </c>
      <c r="B423" s="3">
        <v>5919.93066</v>
      </c>
    </row>
    <row r="424" spans="1:2" hidden="1" x14ac:dyDescent="0.35">
      <c r="A424" s="1">
        <v>45552</v>
      </c>
      <c r="B424" s="3">
        <v>2800.7427444444443</v>
      </c>
    </row>
    <row r="425" spans="1:2" hidden="1" x14ac:dyDescent="0.35">
      <c r="A425" s="1">
        <v>45553</v>
      </c>
      <c r="B425" s="3">
        <v>0</v>
      </c>
    </row>
    <row r="426" spans="1:2" hidden="1" x14ac:dyDescent="0.35">
      <c r="A426" s="1">
        <v>45554</v>
      </c>
      <c r="B426" s="3">
        <v>3424.56</v>
      </c>
    </row>
    <row r="427" spans="1:2" hidden="1" x14ac:dyDescent="0.35">
      <c r="A427" s="1">
        <v>45555</v>
      </c>
      <c r="B427" s="3">
        <v>9851.0630666666675</v>
      </c>
    </row>
    <row r="428" spans="1:2" hidden="1" x14ac:dyDescent="0.35">
      <c r="A428" s="1">
        <v>45556</v>
      </c>
      <c r="B428" s="3">
        <v>4488.5066666666671</v>
      </c>
    </row>
    <row r="429" spans="1:2" hidden="1" x14ac:dyDescent="0.35">
      <c r="A429" s="1">
        <v>45557</v>
      </c>
      <c r="B429" s="3">
        <v>0</v>
      </c>
    </row>
    <row r="430" spans="1:2" hidden="1" x14ac:dyDescent="0.35">
      <c r="A430" s="1">
        <v>45558</v>
      </c>
      <c r="B430" s="3">
        <v>738.29</v>
      </c>
    </row>
    <row r="431" spans="1:2" hidden="1" x14ac:dyDescent="0.35">
      <c r="A431" s="1">
        <v>45559</v>
      </c>
      <c r="B431" s="3">
        <v>1172.0300500000001</v>
      </c>
    </row>
    <row r="432" spans="1:2" hidden="1" x14ac:dyDescent="0.35">
      <c r="A432" s="1">
        <v>45560</v>
      </c>
      <c r="B432" s="3">
        <v>-841.68</v>
      </c>
    </row>
    <row r="433" spans="1:2" hidden="1" x14ac:dyDescent="0.35">
      <c r="A433" s="1">
        <v>45561</v>
      </c>
      <c r="B433" s="3">
        <v>1319.651709090909</v>
      </c>
    </row>
    <row r="434" spans="1:2" hidden="1" x14ac:dyDescent="0.35">
      <c r="A434" s="1">
        <v>45562</v>
      </c>
      <c r="B434" s="3">
        <v>3616.9607000000001</v>
      </c>
    </row>
    <row r="435" spans="1:2" hidden="1" x14ac:dyDescent="0.35">
      <c r="A435" s="1">
        <v>45563</v>
      </c>
      <c r="B435" s="3">
        <v>3647.4966823529421</v>
      </c>
    </row>
    <row r="436" spans="1:2" hidden="1" x14ac:dyDescent="0.35">
      <c r="A436" s="1">
        <v>45564</v>
      </c>
      <c r="B436" s="3">
        <v>5493.6012000000001</v>
      </c>
    </row>
    <row r="437" spans="1:2" hidden="1" x14ac:dyDescent="0.35">
      <c r="A437" s="1">
        <v>45565</v>
      </c>
      <c r="B437" s="3">
        <v>2094.7908400000001</v>
      </c>
    </row>
    <row r="438" spans="1:2" hidden="1" x14ac:dyDescent="0.35">
      <c r="A438" s="1">
        <v>45566</v>
      </c>
      <c r="B438" s="3">
        <v>7288.0131499999998</v>
      </c>
    </row>
    <row r="439" spans="1:2" hidden="1" x14ac:dyDescent="0.35">
      <c r="A439" s="1">
        <v>45567</v>
      </c>
      <c r="B439" s="3">
        <v>0</v>
      </c>
    </row>
    <row r="440" spans="1:2" hidden="1" x14ac:dyDescent="0.35">
      <c r="A440" s="1">
        <v>45568</v>
      </c>
      <c r="B440" s="3">
        <v>5911.3020799999995</v>
      </c>
    </row>
    <row r="441" spans="1:2" hidden="1" x14ac:dyDescent="0.35">
      <c r="A441" s="1">
        <v>45569</v>
      </c>
      <c r="B441" s="3">
        <v>2356.6748857142857</v>
      </c>
    </row>
    <row r="442" spans="1:2" hidden="1" x14ac:dyDescent="0.35">
      <c r="A442" s="1">
        <v>45570</v>
      </c>
      <c r="B442" s="3">
        <v>590.1176909090907</v>
      </c>
    </row>
    <row r="443" spans="1:2" hidden="1" x14ac:dyDescent="0.35">
      <c r="A443" s="1">
        <v>45571</v>
      </c>
      <c r="B443" s="3">
        <v>9192.6299999999992</v>
      </c>
    </row>
    <row r="444" spans="1:2" hidden="1" x14ac:dyDescent="0.35">
      <c r="A444" s="1">
        <v>45572</v>
      </c>
      <c r="B444" s="3">
        <v>6855.3183333333336</v>
      </c>
    </row>
    <row r="445" spans="1:2" hidden="1" x14ac:dyDescent="0.35">
      <c r="A445" s="1">
        <v>45573</v>
      </c>
      <c r="B445" s="3">
        <v>7099.1436799999992</v>
      </c>
    </row>
    <row r="446" spans="1:2" hidden="1" x14ac:dyDescent="0.35">
      <c r="A446" s="1">
        <v>45574</v>
      </c>
      <c r="B446" s="3">
        <v>6143.6107333333339</v>
      </c>
    </row>
    <row r="447" spans="1:2" hidden="1" x14ac:dyDescent="0.35">
      <c r="A447" s="1">
        <v>45575</v>
      </c>
      <c r="B447" s="3">
        <v>110.42428571428572</v>
      </c>
    </row>
    <row r="448" spans="1:2" hidden="1" x14ac:dyDescent="0.35">
      <c r="A448" s="1">
        <v>45576</v>
      </c>
      <c r="B448" s="3">
        <v>364.59469999999993</v>
      </c>
    </row>
    <row r="449" spans="1:2" hidden="1" x14ac:dyDescent="0.35">
      <c r="A449" s="1">
        <v>45577</v>
      </c>
      <c r="B449" s="3">
        <v>1182.7588000000001</v>
      </c>
    </row>
    <row r="450" spans="1:2" hidden="1" x14ac:dyDescent="0.35">
      <c r="A450" s="1">
        <v>45578</v>
      </c>
      <c r="B450" s="3">
        <v>8034.1814999999997</v>
      </c>
    </row>
    <row r="451" spans="1:2" hidden="1" x14ac:dyDescent="0.35">
      <c r="A451" s="1">
        <v>45579</v>
      </c>
      <c r="B451" s="3">
        <v>4166.34</v>
      </c>
    </row>
    <row r="452" spans="1:2" hidden="1" x14ac:dyDescent="0.35">
      <c r="A452" s="1">
        <v>45580</v>
      </c>
      <c r="B452" s="3">
        <v>1757.7046500000001</v>
      </c>
    </row>
    <row r="453" spans="1:2" hidden="1" x14ac:dyDescent="0.35">
      <c r="A453" s="1">
        <v>45581</v>
      </c>
      <c r="B453" s="3">
        <v>1526.8190142857143</v>
      </c>
    </row>
    <row r="454" spans="1:2" hidden="1" x14ac:dyDescent="0.35">
      <c r="A454" s="1">
        <v>45582</v>
      </c>
      <c r="B454" s="3">
        <v>-793.09999999999991</v>
      </c>
    </row>
    <row r="455" spans="1:2" hidden="1" x14ac:dyDescent="0.35">
      <c r="A455" s="1">
        <v>45583</v>
      </c>
      <c r="B455" s="3">
        <v>0</v>
      </c>
    </row>
    <row r="456" spans="1:2" hidden="1" x14ac:dyDescent="0.35">
      <c r="A456" s="1">
        <v>45584</v>
      </c>
      <c r="B456" s="3">
        <v>5362.3874999999998</v>
      </c>
    </row>
    <row r="457" spans="1:2" hidden="1" x14ac:dyDescent="0.35">
      <c r="A457" s="1">
        <v>45585</v>
      </c>
      <c r="B457" s="3">
        <v>908.25250000000005</v>
      </c>
    </row>
    <row r="458" spans="1:2" hidden="1" x14ac:dyDescent="0.35">
      <c r="A458" s="1">
        <v>45586</v>
      </c>
      <c r="B458" s="3">
        <v>1754.105</v>
      </c>
    </row>
    <row r="459" spans="1:2" hidden="1" x14ac:dyDescent="0.35">
      <c r="A459" s="1">
        <v>45587</v>
      </c>
      <c r="B459" s="3">
        <v>4251.2957874999993</v>
      </c>
    </row>
    <row r="460" spans="1:2" hidden="1" x14ac:dyDescent="0.35">
      <c r="A460" s="1">
        <v>45588</v>
      </c>
      <c r="B460" s="3">
        <v>2587.6172799999999</v>
      </c>
    </row>
    <row r="461" spans="1:2" hidden="1" x14ac:dyDescent="0.35">
      <c r="A461" s="1">
        <v>45589</v>
      </c>
      <c r="B461" s="3">
        <v>7317.0345749999997</v>
      </c>
    </row>
    <row r="462" spans="1:2" hidden="1" x14ac:dyDescent="0.35">
      <c r="A462" s="1">
        <v>45590</v>
      </c>
      <c r="B462" s="3">
        <v>3978.1018812499997</v>
      </c>
    </row>
    <row r="463" spans="1:2" hidden="1" x14ac:dyDescent="0.35">
      <c r="A463" s="1">
        <v>45591</v>
      </c>
      <c r="B463" s="3">
        <v>639.16918750000002</v>
      </c>
    </row>
    <row r="464" spans="1:2" hidden="1" x14ac:dyDescent="0.35">
      <c r="A464" s="1">
        <v>45592</v>
      </c>
      <c r="B464" s="3">
        <v>1672.1128833333332</v>
      </c>
    </row>
    <row r="465" spans="1:2" hidden="1" x14ac:dyDescent="0.35">
      <c r="A465" s="1">
        <v>45593</v>
      </c>
      <c r="B465" s="3">
        <v>1539.7515624999999</v>
      </c>
    </row>
    <row r="466" spans="1:2" hidden="1" x14ac:dyDescent="0.35">
      <c r="A466" s="1">
        <v>45594</v>
      </c>
      <c r="B466" s="3">
        <v>1221.8399999999999</v>
      </c>
    </row>
    <row r="467" spans="1:2" hidden="1" x14ac:dyDescent="0.35">
      <c r="A467" s="1">
        <v>45595</v>
      </c>
      <c r="B467" s="3">
        <v>3705.4995428571428</v>
      </c>
    </row>
    <row r="468" spans="1:2" hidden="1" x14ac:dyDescent="0.35">
      <c r="A468" s="1">
        <v>45596</v>
      </c>
      <c r="B468" s="3">
        <v>1600.8765600000002</v>
      </c>
    </row>
    <row r="469" spans="1:2" hidden="1" x14ac:dyDescent="0.35">
      <c r="A469" s="1">
        <v>45597</v>
      </c>
      <c r="B469" s="3">
        <v>195.94505555555557</v>
      </c>
    </row>
    <row r="470" spans="1:2" hidden="1" x14ac:dyDescent="0.35">
      <c r="A470" s="1">
        <v>45598</v>
      </c>
      <c r="B470" s="3">
        <v>894.42650000000003</v>
      </c>
    </row>
    <row r="471" spans="1:2" hidden="1" x14ac:dyDescent="0.35">
      <c r="A471" s="1">
        <v>45599</v>
      </c>
      <c r="B471" s="3">
        <v>2899.3899333333334</v>
      </c>
    </row>
    <row r="472" spans="1:2" hidden="1" x14ac:dyDescent="0.35">
      <c r="A472" s="1">
        <v>45600</v>
      </c>
      <c r="B472" s="3">
        <v>2282.7600000000002</v>
      </c>
    </row>
    <row r="473" spans="1:2" hidden="1" x14ac:dyDescent="0.35">
      <c r="A473" s="1">
        <v>45601</v>
      </c>
      <c r="B473" s="3">
        <v>2279.9677285714288</v>
      </c>
    </row>
    <row r="474" spans="1:2" hidden="1" x14ac:dyDescent="0.35">
      <c r="A474" s="1">
        <v>45602</v>
      </c>
      <c r="B474" s="3">
        <v>-4287.9030499999999</v>
      </c>
    </row>
    <row r="475" spans="1:2" hidden="1" x14ac:dyDescent="0.35">
      <c r="A475" s="1">
        <v>45603</v>
      </c>
      <c r="B475" s="3">
        <v>-548.19000000000005</v>
      </c>
    </row>
    <row r="476" spans="1:2" hidden="1" x14ac:dyDescent="0.35">
      <c r="A476" s="1">
        <v>45604</v>
      </c>
      <c r="B476" s="3">
        <v>2012.8930636363636</v>
      </c>
    </row>
    <row r="477" spans="1:2" hidden="1" x14ac:dyDescent="0.35">
      <c r="A477" s="1">
        <v>45605</v>
      </c>
      <c r="B477" s="3">
        <v>6703.6425285714286</v>
      </c>
    </row>
    <row r="478" spans="1:2" hidden="1" x14ac:dyDescent="0.35">
      <c r="A478" s="1">
        <v>45606</v>
      </c>
      <c r="B478" s="3">
        <v>4109.2900499999996</v>
      </c>
    </row>
    <row r="479" spans="1:2" hidden="1" x14ac:dyDescent="0.35">
      <c r="A479" s="1">
        <v>45607</v>
      </c>
      <c r="B479" s="3">
        <v>-444.42800000000005</v>
      </c>
    </row>
    <row r="480" spans="1:2" hidden="1" x14ac:dyDescent="0.35">
      <c r="A480" s="1">
        <v>45608</v>
      </c>
      <c r="B480" s="3">
        <v>7399.6833333333334</v>
      </c>
    </row>
    <row r="481" spans="1:2" hidden="1" x14ac:dyDescent="0.35">
      <c r="A481" s="1">
        <v>45609</v>
      </c>
      <c r="B481" s="3">
        <v>4784.8053200000004</v>
      </c>
    </row>
    <row r="482" spans="1:2" hidden="1" x14ac:dyDescent="0.35">
      <c r="A482" s="1">
        <v>45610</v>
      </c>
      <c r="B482" s="3">
        <v>5719.72</v>
      </c>
    </row>
    <row r="483" spans="1:2" hidden="1" x14ac:dyDescent="0.35">
      <c r="A483" s="1">
        <v>45611</v>
      </c>
      <c r="B483" s="3">
        <v>3406.982</v>
      </c>
    </row>
    <row r="484" spans="1:2" hidden="1" x14ac:dyDescent="0.35">
      <c r="A484" s="1">
        <v>45612</v>
      </c>
      <c r="B484" s="3">
        <v>3615.9586857142854</v>
      </c>
    </row>
    <row r="485" spans="1:2" hidden="1" x14ac:dyDescent="0.35">
      <c r="A485" s="1">
        <v>45613</v>
      </c>
      <c r="B485" s="3">
        <v>3045.2215714285712</v>
      </c>
    </row>
    <row r="486" spans="1:2" hidden="1" x14ac:dyDescent="0.35">
      <c r="A486" s="1">
        <v>45614</v>
      </c>
      <c r="B486" s="3">
        <v>3525.4856249999998</v>
      </c>
    </row>
    <row r="487" spans="1:2" hidden="1" x14ac:dyDescent="0.35">
      <c r="A487" s="1">
        <v>45615</v>
      </c>
      <c r="B487" s="3">
        <v>4443.6099999999997</v>
      </c>
    </row>
    <row r="488" spans="1:2" hidden="1" x14ac:dyDescent="0.35">
      <c r="A488" s="1">
        <v>45616</v>
      </c>
      <c r="B488" s="3">
        <v>0</v>
      </c>
    </row>
    <row r="489" spans="1:2" hidden="1" x14ac:dyDescent="0.35">
      <c r="A489" s="1">
        <v>45617</v>
      </c>
      <c r="B489" s="3">
        <v>2698.9603499999998</v>
      </c>
    </row>
    <row r="490" spans="1:2" hidden="1" x14ac:dyDescent="0.35">
      <c r="A490" s="1">
        <v>45618</v>
      </c>
      <c r="B490" s="3">
        <v>-1799.8164666666669</v>
      </c>
    </row>
    <row r="491" spans="1:2" hidden="1" x14ac:dyDescent="0.35">
      <c r="A491" s="1">
        <v>45619</v>
      </c>
      <c r="B491" s="3">
        <v>2712.8290999999999</v>
      </c>
    </row>
    <row r="492" spans="1:2" hidden="1" x14ac:dyDescent="0.35">
      <c r="A492" s="1">
        <v>45620</v>
      </c>
      <c r="B492" s="3">
        <v>-938.19599999999991</v>
      </c>
    </row>
    <row r="493" spans="1:2" hidden="1" x14ac:dyDescent="0.35">
      <c r="A493" s="1">
        <v>45621</v>
      </c>
      <c r="B493" s="3">
        <v>1535.0346857142856</v>
      </c>
    </row>
    <row r="494" spans="1:2" hidden="1" x14ac:dyDescent="0.35">
      <c r="A494" s="1">
        <v>45622</v>
      </c>
      <c r="B494" s="3">
        <v>3163.9700000000003</v>
      </c>
    </row>
    <row r="495" spans="1:2" hidden="1" x14ac:dyDescent="0.35">
      <c r="A495" s="1">
        <v>45623</v>
      </c>
      <c r="B495" s="3">
        <v>2306.0887714285714</v>
      </c>
    </row>
    <row r="496" spans="1:2" hidden="1" x14ac:dyDescent="0.35">
      <c r="A496" s="1">
        <v>45624</v>
      </c>
      <c r="B496" s="3">
        <v>3444.317</v>
      </c>
    </row>
    <row r="497" spans="1:2" hidden="1" x14ac:dyDescent="0.35">
      <c r="A497" s="1">
        <v>45625</v>
      </c>
      <c r="B497" s="3">
        <v>5451.3989333333338</v>
      </c>
    </row>
    <row r="498" spans="1:2" hidden="1" x14ac:dyDescent="0.35">
      <c r="A498" s="1">
        <v>45626</v>
      </c>
      <c r="B498" s="3">
        <v>2323.5004111111107</v>
      </c>
    </row>
    <row r="499" spans="1:2" hidden="1" x14ac:dyDescent="0.35">
      <c r="A499" s="1">
        <v>45627</v>
      </c>
      <c r="B499" s="3">
        <v>0</v>
      </c>
    </row>
    <row r="500" spans="1:2" hidden="1" x14ac:dyDescent="0.35">
      <c r="A500" s="1">
        <v>45628</v>
      </c>
      <c r="B500" s="3">
        <v>629.72657142857145</v>
      </c>
    </row>
    <row r="501" spans="1:2" hidden="1" x14ac:dyDescent="0.35">
      <c r="A501" s="1">
        <v>45629</v>
      </c>
      <c r="B501" s="3">
        <v>-1688.4684</v>
      </c>
    </row>
    <row r="502" spans="1:2" hidden="1" x14ac:dyDescent="0.35">
      <c r="A502" s="1">
        <v>45630</v>
      </c>
      <c r="B502" s="3">
        <v>10492.708699999999</v>
      </c>
    </row>
    <row r="503" spans="1:2" hidden="1" x14ac:dyDescent="0.35">
      <c r="A503" s="1">
        <v>45631</v>
      </c>
      <c r="B503" s="3">
        <v>424.22499999999997</v>
      </c>
    </row>
    <row r="504" spans="1:2" hidden="1" x14ac:dyDescent="0.35">
      <c r="A504" s="1">
        <v>45632</v>
      </c>
      <c r="B504" s="3">
        <v>2661.1601428571425</v>
      </c>
    </row>
    <row r="505" spans="1:2" hidden="1" x14ac:dyDescent="0.35">
      <c r="A505" s="1">
        <v>45633</v>
      </c>
      <c r="B505" s="3">
        <v>3428.3970399999998</v>
      </c>
    </row>
    <row r="506" spans="1:2" hidden="1" x14ac:dyDescent="0.35">
      <c r="A506" s="1">
        <v>45634</v>
      </c>
      <c r="B506" s="3">
        <v>-1754.0618833333331</v>
      </c>
    </row>
    <row r="507" spans="1:2" hidden="1" x14ac:dyDescent="0.35">
      <c r="A507" s="1">
        <v>45635</v>
      </c>
      <c r="B507" s="3">
        <v>0</v>
      </c>
    </row>
    <row r="508" spans="1:2" hidden="1" x14ac:dyDescent="0.35">
      <c r="A508" s="1">
        <v>45636</v>
      </c>
      <c r="B508" s="3">
        <v>739.97416666666675</v>
      </c>
    </row>
    <row r="509" spans="1:2" hidden="1" x14ac:dyDescent="0.35">
      <c r="A509" s="1">
        <v>45637</v>
      </c>
      <c r="B509" s="3">
        <v>1479.9483333333335</v>
      </c>
    </row>
    <row r="510" spans="1:2" hidden="1" x14ac:dyDescent="0.35">
      <c r="A510" s="1">
        <v>45638</v>
      </c>
      <c r="B510" s="3">
        <v>1144.105</v>
      </c>
    </row>
    <row r="511" spans="1:2" hidden="1" x14ac:dyDescent="0.35">
      <c r="A511" s="1">
        <v>45639</v>
      </c>
      <c r="B511" s="3">
        <v>-536.70475999999996</v>
      </c>
    </row>
    <row r="512" spans="1:2" hidden="1" x14ac:dyDescent="0.35">
      <c r="A512" s="1">
        <v>45640</v>
      </c>
      <c r="B512" s="3">
        <v>0</v>
      </c>
    </row>
    <row r="513" spans="1:2" hidden="1" x14ac:dyDescent="0.35">
      <c r="A513" s="1">
        <v>45641</v>
      </c>
      <c r="B513" s="3">
        <v>1027.5129428571429</v>
      </c>
    </row>
    <row r="514" spans="1:2" hidden="1" x14ac:dyDescent="0.35">
      <c r="A514" s="1">
        <v>45642</v>
      </c>
      <c r="B514" s="3">
        <v>2313.0151875000001</v>
      </c>
    </row>
    <row r="515" spans="1:2" hidden="1" x14ac:dyDescent="0.35">
      <c r="A515" s="1">
        <v>45643</v>
      </c>
      <c r="B515" s="3">
        <v>4406.7237599999999</v>
      </c>
    </row>
    <row r="516" spans="1:2" hidden="1" x14ac:dyDescent="0.35">
      <c r="A516" s="1">
        <v>45644</v>
      </c>
      <c r="B516" s="3">
        <v>0</v>
      </c>
    </row>
    <row r="517" spans="1:2" hidden="1" x14ac:dyDescent="0.35">
      <c r="A517" s="1">
        <v>45645</v>
      </c>
      <c r="B517" s="3">
        <v>547.51499999999999</v>
      </c>
    </row>
    <row r="518" spans="1:2" hidden="1" x14ac:dyDescent="0.35">
      <c r="A518" s="1">
        <v>45646</v>
      </c>
      <c r="B518" s="3">
        <v>307.35750000000002</v>
      </c>
    </row>
    <row r="519" spans="1:2" hidden="1" x14ac:dyDescent="0.35">
      <c r="A519" s="1">
        <v>45647</v>
      </c>
      <c r="B519" s="3">
        <v>1154.1111428571428</v>
      </c>
    </row>
    <row r="520" spans="1:2" hidden="1" x14ac:dyDescent="0.35">
      <c r="A520" s="1">
        <v>45648</v>
      </c>
      <c r="B520" s="3">
        <v>1066.345875</v>
      </c>
    </row>
    <row r="521" spans="1:2" hidden="1" x14ac:dyDescent="0.35">
      <c r="A521" s="1">
        <v>45649</v>
      </c>
      <c r="B521" s="3">
        <v>6014.0698499999999</v>
      </c>
    </row>
    <row r="522" spans="1:2" hidden="1" x14ac:dyDescent="0.35">
      <c r="A522" s="1">
        <v>45650</v>
      </c>
      <c r="B522" s="3">
        <v>0</v>
      </c>
    </row>
    <row r="523" spans="1:2" hidden="1" x14ac:dyDescent="0.35">
      <c r="A523" s="1">
        <v>45651</v>
      </c>
      <c r="B523" s="3">
        <v>422.07666666666665</v>
      </c>
    </row>
    <row r="524" spans="1:2" hidden="1" x14ac:dyDescent="0.35">
      <c r="A524" s="1">
        <v>45652</v>
      </c>
      <c r="B524" s="3">
        <v>2937.246333333333</v>
      </c>
    </row>
    <row r="525" spans="1:2" hidden="1" x14ac:dyDescent="0.35">
      <c r="A525" s="1">
        <v>45653</v>
      </c>
      <c r="B525" s="3">
        <v>0</v>
      </c>
    </row>
    <row r="526" spans="1:2" hidden="1" x14ac:dyDescent="0.35">
      <c r="A526" s="1">
        <v>45654</v>
      </c>
      <c r="B526" s="3">
        <v>6438.5365142857145</v>
      </c>
    </row>
    <row r="527" spans="1:2" hidden="1" x14ac:dyDescent="0.35">
      <c r="A527" s="1">
        <v>45655</v>
      </c>
      <c r="B527" s="3">
        <v>-974.952</v>
      </c>
    </row>
    <row r="528" spans="1:2" hidden="1" x14ac:dyDescent="0.35">
      <c r="A528" s="1">
        <v>45656</v>
      </c>
      <c r="B528" s="3">
        <v>3460.8946222222221</v>
      </c>
    </row>
    <row r="529" spans="1:2" hidden="1" x14ac:dyDescent="0.35">
      <c r="A529" s="1">
        <v>45657</v>
      </c>
      <c r="B529" s="3">
        <v>2154.044430769231</v>
      </c>
    </row>
    <row r="530" spans="1:2" hidden="1" x14ac:dyDescent="0.35">
      <c r="A530" s="1">
        <v>45658</v>
      </c>
      <c r="B530" s="3">
        <v>407.6925</v>
      </c>
    </row>
    <row r="531" spans="1:2" hidden="1" x14ac:dyDescent="0.35">
      <c r="A531" s="1">
        <v>45659</v>
      </c>
      <c r="B531" s="3">
        <v>159.45500000000001</v>
      </c>
    </row>
    <row r="532" spans="1:2" hidden="1" x14ac:dyDescent="0.35">
      <c r="A532" s="1">
        <v>45660</v>
      </c>
      <c r="B532" s="3">
        <v>4736.3647000000001</v>
      </c>
    </row>
    <row r="533" spans="1:2" hidden="1" x14ac:dyDescent="0.35">
      <c r="A533" s="1">
        <v>45661</v>
      </c>
      <c r="B533" s="3">
        <v>3407.89752</v>
      </c>
    </row>
    <row r="534" spans="1:2" hidden="1" x14ac:dyDescent="0.35">
      <c r="A534" s="1">
        <v>45662</v>
      </c>
      <c r="B534" s="3">
        <v>2563.7650000000003</v>
      </c>
    </row>
    <row r="535" spans="1:2" hidden="1" x14ac:dyDescent="0.35">
      <c r="A535" s="1">
        <v>45663</v>
      </c>
      <c r="B535" s="3">
        <v>820.99249999999995</v>
      </c>
    </row>
    <row r="536" spans="1:2" hidden="1" x14ac:dyDescent="0.35">
      <c r="A536" s="1">
        <v>45664</v>
      </c>
      <c r="B536" s="3">
        <v>4799.3317777777784</v>
      </c>
    </row>
    <row r="537" spans="1:2" hidden="1" x14ac:dyDescent="0.35">
      <c r="A537" s="1">
        <v>45665</v>
      </c>
      <c r="B537" s="3">
        <v>-1310.1444666666666</v>
      </c>
    </row>
    <row r="538" spans="1:2" hidden="1" x14ac:dyDescent="0.35">
      <c r="A538" s="1">
        <v>45666</v>
      </c>
      <c r="B538" s="3">
        <v>2384.0742500000001</v>
      </c>
    </row>
    <row r="539" spans="1:2" hidden="1" x14ac:dyDescent="0.35">
      <c r="A539" s="1">
        <v>45667</v>
      </c>
      <c r="B539" s="3">
        <v>2245.4406833333333</v>
      </c>
    </row>
    <row r="540" spans="1:2" hidden="1" x14ac:dyDescent="0.35">
      <c r="A540" s="1">
        <v>45668</v>
      </c>
      <c r="B540" s="3">
        <v>5333.4621999999999</v>
      </c>
    </row>
    <row r="541" spans="1:2" hidden="1" x14ac:dyDescent="0.35">
      <c r="A541" s="1">
        <v>45669</v>
      </c>
      <c r="B541" s="3">
        <v>1556.97</v>
      </c>
    </row>
    <row r="542" spans="1:2" hidden="1" x14ac:dyDescent="0.35">
      <c r="A542" s="1">
        <v>45670</v>
      </c>
      <c r="B542" s="3">
        <v>6316.2533545454535</v>
      </c>
    </row>
    <row r="543" spans="1:2" hidden="1" x14ac:dyDescent="0.35">
      <c r="A543" s="1">
        <v>45671</v>
      </c>
      <c r="B543" s="3">
        <v>3227.5630000000001</v>
      </c>
    </row>
    <row r="544" spans="1:2" hidden="1" x14ac:dyDescent="0.35">
      <c r="A544" s="1">
        <v>45672</v>
      </c>
      <c r="B544" s="3">
        <v>3238.3492000000001</v>
      </c>
    </row>
    <row r="545" spans="1:2" hidden="1" x14ac:dyDescent="0.35">
      <c r="A545" s="1">
        <v>45673</v>
      </c>
      <c r="B545" s="3">
        <v>0</v>
      </c>
    </row>
    <row r="546" spans="1:2" hidden="1" x14ac:dyDescent="0.35">
      <c r="A546" s="1">
        <v>45674</v>
      </c>
      <c r="B546" s="3">
        <v>4220.75695</v>
      </c>
    </row>
    <row r="547" spans="1:2" hidden="1" x14ac:dyDescent="0.35">
      <c r="A547" s="1">
        <v>45675</v>
      </c>
      <c r="B547" s="3">
        <v>2238.0879166666668</v>
      </c>
    </row>
    <row r="548" spans="1:2" hidden="1" x14ac:dyDescent="0.35">
      <c r="A548" s="1">
        <v>45676</v>
      </c>
      <c r="B548" s="3">
        <v>-892.70926666666674</v>
      </c>
    </row>
    <row r="549" spans="1:2" hidden="1" x14ac:dyDescent="0.35">
      <c r="A549" s="1">
        <v>45677</v>
      </c>
      <c r="B549" s="3">
        <v>4050.3894</v>
      </c>
    </row>
    <row r="550" spans="1:2" hidden="1" x14ac:dyDescent="0.35">
      <c r="A550" s="1">
        <v>45678</v>
      </c>
      <c r="B550" s="3">
        <v>2265.4606571428571</v>
      </c>
    </row>
    <row r="551" spans="1:2" hidden="1" x14ac:dyDescent="0.35">
      <c r="A551" s="1">
        <v>45679</v>
      </c>
      <c r="B551" s="3">
        <v>3817.7166666666667</v>
      </c>
    </row>
    <row r="552" spans="1:2" hidden="1" x14ac:dyDescent="0.35">
      <c r="A552" s="1">
        <v>45680</v>
      </c>
      <c r="B552" s="3">
        <v>4731.0430999999999</v>
      </c>
    </row>
    <row r="553" spans="1:2" hidden="1" x14ac:dyDescent="0.35">
      <c r="A553" s="1">
        <v>45681</v>
      </c>
      <c r="B553" s="3">
        <v>11465.618133333332</v>
      </c>
    </row>
    <row r="554" spans="1:2" hidden="1" x14ac:dyDescent="0.35">
      <c r="A554" s="1">
        <v>45682</v>
      </c>
      <c r="B554" s="3">
        <v>2234.1529818181821</v>
      </c>
    </row>
    <row r="555" spans="1:2" hidden="1" x14ac:dyDescent="0.35">
      <c r="A555" s="1">
        <v>45683</v>
      </c>
      <c r="B555" s="3">
        <v>789.90599999999995</v>
      </c>
    </row>
    <row r="556" spans="1:2" hidden="1" x14ac:dyDescent="0.35">
      <c r="A556" s="1">
        <v>45684</v>
      </c>
      <c r="B556" s="3">
        <v>0</v>
      </c>
    </row>
    <row r="557" spans="1:2" hidden="1" x14ac:dyDescent="0.35">
      <c r="A557" s="1">
        <v>45685</v>
      </c>
      <c r="B557" s="3">
        <v>2500.4908599999999</v>
      </c>
    </row>
    <row r="558" spans="1:2" hidden="1" x14ac:dyDescent="0.35">
      <c r="A558" s="1">
        <v>45686</v>
      </c>
      <c r="B558" s="3">
        <v>3383.8717999999999</v>
      </c>
    </row>
    <row r="559" spans="1:2" hidden="1" x14ac:dyDescent="0.35">
      <c r="A559" s="1">
        <v>45687</v>
      </c>
      <c r="B559" s="3">
        <v>0</v>
      </c>
    </row>
    <row r="560" spans="1:2" hidden="1" x14ac:dyDescent="0.35">
      <c r="A560" s="1">
        <v>45688</v>
      </c>
      <c r="B560" s="3">
        <v>5385.8519999999999</v>
      </c>
    </row>
    <row r="561" spans="1:2" hidden="1" x14ac:dyDescent="0.35">
      <c r="A561" s="1">
        <v>45689</v>
      </c>
      <c r="B561" s="3">
        <v>0</v>
      </c>
    </row>
    <row r="562" spans="1:2" hidden="1" x14ac:dyDescent="0.35">
      <c r="A562" s="1">
        <v>45690</v>
      </c>
      <c r="B562" s="3">
        <v>2678.0828999999999</v>
      </c>
    </row>
    <row r="563" spans="1:2" hidden="1" x14ac:dyDescent="0.35">
      <c r="A563" s="1">
        <v>45691</v>
      </c>
      <c r="B563" s="3">
        <v>4945.6903124999999</v>
      </c>
    </row>
    <row r="564" spans="1:2" hidden="1" x14ac:dyDescent="0.35">
      <c r="A564" s="1">
        <v>45692</v>
      </c>
      <c r="B564" s="3">
        <v>3836.49836</v>
      </c>
    </row>
    <row r="565" spans="1:2" hidden="1" x14ac:dyDescent="0.35">
      <c r="A565" s="1">
        <v>45693</v>
      </c>
      <c r="B565" s="3">
        <v>2296.5923142857141</v>
      </c>
    </row>
    <row r="566" spans="1:2" hidden="1" x14ac:dyDescent="0.35">
      <c r="A566" s="1">
        <v>45694</v>
      </c>
      <c r="B566" s="3">
        <v>4212.2451812500003</v>
      </c>
    </row>
    <row r="567" spans="1:2" hidden="1" x14ac:dyDescent="0.35">
      <c r="A567" s="1">
        <v>45695</v>
      </c>
      <c r="B567" s="3">
        <v>1981.8503833333332</v>
      </c>
    </row>
    <row r="568" spans="1:2" hidden="1" x14ac:dyDescent="0.35">
      <c r="A568" s="1">
        <v>45696</v>
      </c>
      <c r="B568" s="3">
        <v>-458.3020166666667</v>
      </c>
    </row>
    <row r="569" spans="1:2" hidden="1" x14ac:dyDescent="0.35">
      <c r="A569" s="1">
        <v>45697</v>
      </c>
      <c r="B569" s="3">
        <v>-231.97858333333338</v>
      </c>
    </row>
    <row r="570" spans="1:2" hidden="1" x14ac:dyDescent="0.35">
      <c r="A570" s="1">
        <v>45698</v>
      </c>
      <c r="B570" s="3">
        <v>-1220.9066666666668</v>
      </c>
    </row>
    <row r="571" spans="1:2" hidden="1" x14ac:dyDescent="0.35">
      <c r="A571" s="1">
        <v>45699</v>
      </c>
      <c r="B571" s="3">
        <v>5961.1067444444452</v>
      </c>
    </row>
    <row r="572" spans="1:2" hidden="1" x14ac:dyDescent="0.35">
      <c r="A572" s="1">
        <v>45700</v>
      </c>
      <c r="B572" s="3">
        <v>502.56285714285713</v>
      </c>
    </row>
    <row r="573" spans="1:2" hidden="1" x14ac:dyDescent="0.35">
      <c r="A573" s="1">
        <v>45701</v>
      </c>
      <c r="B573" s="3">
        <v>3872.0250899999992</v>
      </c>
    </row>
    <row r="574" spans="1:2" hidden="1" x14ac:dyDescent="0.35">
      <c r="A574" s="1">
        <v>45702</v>
      </c>
      <c r="B574" s="3">
        <v>6558.3645200000001</v>
      </c>
    </row>
    <row r="575" spans="1:2" hidden="1" x14ac:dyDescent="0.35">
      <c r="A575" s="1">
        <v>45703</v>
      </c>
      <c r="B575" s="3">
        <v>-1876.4584333333332</v>
      </c>
    </row>
    <row r="576" spans="1:2" hidden="1" x14ac:dyDescent="0.35">
      <c r="A576" s="1">
        <v>45704</v>
      </c>
      <c r="B576" s="3">
        <v>0</v>
      </c>
    </row>
    <row r="577" spans="1:2" hidden="1" x14ac:dyDescent="0.35">
      <c r="A577" s="1">
        <v>45705</v>
      </c>
      <c r="B577" s="3">
        <v>4621.5769600000003</v>
      </c>
    </row>
    <row r="578" spans="1:2" hidden="1" x14ac:dyDescent="0.35">
      <c r="A578" s="1">
        <v>45706</v>
      </c>
      <c r="B578" s="3">
        <v>650.26988000000006</v>
      </c>
    </row>
    <row r="579" spans="1:2" hidden="1" x14ac:dyDescent="0.35">
      <c r="A579" s="1">
        <v>45707</v>
      </c>
      <c r="B579" s="3">
        <v>590.69643999999994</v>
      </c>
    </row>
    <row r="580" spans="1:2" hidden="1" x14ac:dyDescent="0.35">
      <c r="A580" s="1">
        <v>45708</v>
      </c>
      <c r="B580" s="3">
        <v>581.39795000000004</v>
      </c>
    </row>
    <row r="581" spans="1:2" hidden="1" x14ac:dyDescent="0.35">
      <c r="A581" s="1">
        <v>45709</v>
      </c>
      <c r="B581" s="3">
        <v>657.39125000000001</v>
      </c>
    </row>
    <row r="582" spans="1:2" hidden="1" x14ac:dyDescent="0.35">
      <c r="A582" s="1">
        <v>45710</v>
      </c>
      <c r="B582" s="3">
        <v>389.39505714285718</v>
      </c>
    </row>
    <row r="583" spans="1:2" hidden="1" x14ac:dyDescent="0.35">
      <c r="A583" s="1">
        <v>45711</v>
      </c>
      <c r="B583" s="3">
        <v>2298.15</v>
      </c>
    </row>
    <row r="584" spans="1:2" hidden="1" x14ac:dyDescent="0.35">
      <c r="A584" s="1">
        <v>45712</v>
      </c>
      <c r="B584" s="3">
        <v>2865.4006250000002</v>
      </c>
    </row>
    <row r="585" spans="1:2" hidden="1" x14ac:dyDescent="0.35">
      <c r="A585" s="1">
        <v>45713</v>
      </c>
      <c r="B585" s="3">
        <v>3432.6512499999999</v>
      </c>
    </row>
    <row r="586" spans="1:2" hidden="1" x14ac:dyDescent="0.35">
      <c r="A586" s="1">
        <v>45714</v>
      </c>
      <c r="B586" s="3">
        <v>528.96992499999999</v>
      </c>
    </row>
    <row r="587" spans="1:2" hidden="1" x14ac:dyDescent="0.35">
      <c r="A587" s="1">
        <v>45715</v>
      </c>
      <c r="B587" s="3">
        <v>0</v>
      </c>
    </row>
    <row r="588" spans="1:2" hidden="1" x14ac:dyDescent="0.35">
      <c r="A588" s="1">
        <v>45716</v>
      </c>
      <c r="B588" s="3">
        <v>2468.54</v>
      </c>
    </row>
    <row r="589" spans="1:2" hidden="1" x14ac:dyDescent="0.35">
      <c r="A589" s="1">
        <v>45717</v>
      </c>
      <c r="B589" s="3">
        <v>0</v>
      </c>
    </row>
    <row r="590" spans="1:2" hidden="1" x14ac:dyDescent="0.35">
      <c r="A590" s="1">
        <v>45718</v>
      </c>
      <c r="B590" s="3">
        <v>1346.71615</v>
      </c>
    </row>
    <row r="591" spans="1:2" hidden="1" x14ac:dyDescent="0.35">
      <c r="A591" s="1">
        <v>45719</v>
      </c>
      <c r="B591" s="3">
        <v>1380.17625</v>
      </c>
    </row>
    <row r="592" spans="1:2" hidden="1" x14ac:dyDescent="0.35">
      <c r="A592" s="1">
        <v>45720</v>
      </c>
      <c r="B592" s="3">
        <v>2426.7375000000002</v>
      </c>
    </row>
    <row r="593" spans="1:2" hidden="1" x14ac:dyDescent="0.35">
      <c r="A593" s="1">
        <v>45721</v>
      </c>
      <c r="B593" s="3">
        <v>2708.4497999999999</v>
      </c>
    </row>
    <row r="594" spans="1:2" hidden="1" x14ac:dyDescent="0.35">
      <c r="A594" s="1">
        <v>45722</v>
      </c>
      <c r="B594" s="3">
        <v>2392.9740099999999</v>
      </c>
    </row>
    <row r="595" spans="1:2" hidden="1" x14ac:dyDescent="0.35">
      <c r="A595" s="1">
        <v>45723</v>
      </c>
      <c r="B595" s="3">
        <v>511.29857142857145</v>
      </c>
    </row>
    <row r="596" spans="1:2" hidden="1" x14ac:dyDescent="0.35">
      <c r="A596" s="1">
        <v>45724</v>
      </c>
      <c r="B596" s="3">
        <v>2348.9479999999999</v>
      </c>
    </row>
    <row r="597" spans="1:2" hidden="1" x14ac:dyDescent="0.35">
      <c r="A597" s="1">
        <v>45725</v>
      </c>
      <c r="B597" s="3">
        <v>-5203.6840499999998</v>
      </c>
    </row>
    <row r="598" spans="1:2" hidden="1" x14ac:dyDescent="0.35">
      <c r="A598" s="1">
        <v>45726</v>
      </c>
      <c r="B598" s="3">
        <v>675.9557299999999</v>
      </c>
    </row>
    <row r="599" spans="1:2" hidden="1" x14ac:dyDescent="0.35">
      <c r="A599" s="1">
        <v>45727</v>
      </c>
      <c r="B599" s="3">
        <v>3691.625</v>
      </c>
    </row>
    <row r="600" spans="1:2" hidden="1" x14ac:dyDescent="0.35">
      <c r="A600" s="1">
        <v>45728</v>
      </c>
      <c r="B600" s="3">
        <v>-4313.38</v>
      </c>
    </row>
    <row r="601" spans="1:2" hidden="1" x14ac:dyDescent="0.35">
      <c r="A601" s="1">
        <v>45729</v>
      </c>
      <c r="B601" s="3">
        <v>5167.68462</v>
      </c>
    </row>
    <row r="602" spans="1:2" hidden="1" x14ac:dyDescent="0.35">
      <c r="A602" s="1">
        <v>45730</v>
      </c>
      <c r="B602" s="3">
        <v>0</v>
      </c>
    </row>
    <row r="603" spans="1:2" hidden="1" x14ac:dyDescent="0.35">
      <c r="A603" s="1">
        <v>45731</v>
      </c>
      <c r="B603" s="3">
        <v>6611.6850000000004</v>
      </c>
    </row>
    <row r="604" spans="1:2" hidden="1" x14ac:dyDescent="0.35">
      <c r="A604" s="1">
        <v>45732</v>
      </c>
      <c r="B604" s="3">
        <v>7176</v>
      </c>
    </row>
    <row r="605" spans="1:2" hidden="1" x14ac:dyDescent="0.35">
      <c r="A605" s="1">
        <v>45733</v>
      </c>
      <c r="B605" s="3">
        <v>6221.68</v>
      </c>
    </row>
    <row r="606" spans="1:2" hidden="1" x14ac:dyDescent="0.35">
      <c r="A606" s="1">
        <v>45734</v>
      </c>
      <c r="B606" s="3">
        <v>-727.17334999999991</v>
      </c>
    </row>
    <row r="607" spans="1:2" hidden="1" x14ac:dyDescent="0.35">
      <c r="A607" s="1">
        <v>45735</v>
      </c>
      <c r="B607" s="3">
        <v>-1166.2014333333334</v>
      </c>
    </row>
    <row r="608" spans="1:2" hidden="1" x14ac:dyDescent="0.35">
      <c r="A608" s="1">
        <v>45736</v>
      </c>
      <c r="B608" s="3">
        <v>2555.8420000000001</v>
      </c>
    </row>
    <row r="609" spans="1:2" hidden="1" x14ac:dyDescent="0.35">
      <c r="A609" s="1">
        <v>45737</v>
      </c>
      <c r="B609" s="3">
        <v>0</v>
      </c>
    </row>
    <row r="610" spans="1:2" hidden="1" x14ac:dyDescent="0.35">
      <c r="A610" s="1">
        <v>45738</v>
      </c>
      <c r="B610" s="3">
        <v>0</v>
      </c>
    </row>
    <row r="611" spans="1:2" hidden="1" x14ac:dyDescent="0.35">
      <c r="A611" s="1">
        <v>45739</v>
      </c>
      <c r="B611" s="3">
        <v>0</v>
      </c>
    </row>
    <row r="612" spans="1:2" hidden="1" x14ac:dyDescent="0.35">
      <c r="A612" s="1">
        <v>45740</v>
      </c>
      <c r="B612" s="3">
        <v>1354.1399999999999</v>
      </c>
    </row>
    <row r="613" spans="1:2" hidden="1" x14ac:dyDescent="0.35">
      <c r="A613" s="1">
        <v>45741</v>
      </c>
      <c r="B613" s="3">
        <v>3104.4282333333326</v>
      </c>
    </row>
    <row r="614" spans="1:2" hidden="1" x14ac:dyDescent="0.35">
      <c r="A614" s="1">
        <v>45742</v>
      </c>
      <c r="B614" s="3">
        <v>391.30333333333328</v>
      </c>
    </row>
    <row r="615" spans="1:2" hidden="1" x14ac:dyDescent="0.35">
      <c r="A615" s="1">
        <v>45743</v>
      </c>
      <c r="B615" s="3">
        <v>1088.0538555555556</v>
      </c>
    </row>
    <row r="616" spans="1:2" hidden="1" x14ac:dyDescent="0.35">
      <c r="A616" s="1">
        <v>45744</v>
      </c>
      <c r="B616" s="3">
        <v>-33.734000000000016</v>
      </c>
    </row>
    <row r="617" spans="1:2" hidden="1" x14ac:dyDescent="0.35">
      <c r="A617" s="1">
        <v>45745</v>
      </c>
      <c r="B617" s="3">
        <v>1875.0171499999997</v>
      </c>
    </row>
    <row r="618" spans="1:2" hidden="1" x14ac:dyDescent="0.35">
      <c r="A618" s="1">
        <v>45746</v>
      </c>
      <c r="B618" s="3">
        <v>803.06</v>
      </c>
    </row>
    <row r="619" spans="1:2" hidden="1" x14ac:dyDescent="0.35">
      <c r="A619" s="1">
        <v>45747</v>
      </c>
      <c r="B619" s="3">
        <v>958.11444444444453</v>
      </c>
    </row>
    <row r="620" spans="1:2" hidden="1" x14ac:dyDescent="0.35">
      <c r="A620" s="1">
        <v>45748</v>
      </c>
      <c r="B620" s="3">
        <v>2253.3341599999999</v>
      </c>
    </row>
    <row r="621" spans="1:2" hidden="1" x14ac:dyDescent="0.35">
      <c r="A621" s="1">
        <v>45749</v>
      </c>
      <c r="B621" s="3">
        <v>2601.6204499999999</v>
      </c>
    </row>
    <row r="622" spans="1:2" hidden="1" x14ac:dyDescent="0.35">
      <c r="A622" s="1">
        <v>45750</v>
      </c>
      <c r="B622" s="3">
        <v>5877.405733333333</v>
      </c>
    </row>
    <row r="623" spans="1:2" hidden="1" x14ac:dyDescent="0.35">
      <c r="A623" s="1">
        <v>45751</v>
      </c>
      <c r="B623" s="3">
        <v>2011.0423999999996</v>
      </c>
    </row>
    <row r="624" spans="1:2" hidden="1" x14ac:dyDescent="0.35">
      <c r="A624" s="1">
        <v>45752</v>
      </c>
      <c r="B624" s="3">
        <v>909.31</v>
      </c>
    </row>
    <row r="625" spans="1:2" hidden="1" x14ac:dyDescent="0.35">
      <c r="A625" s="1">
        <v>45753</v>
      </c>
      <c r="B625" s="3">
        <v>1221.9397857142856</v>
      </c>
    </row>
    <row r="626" spans="1:2" hidden="1" x14ac:dyDescent="0.35">
      <c r="A626" s="1">
        <v>45754</v>
      </c>
      <c r="B626" s="3">
        <v>-1821.8150000000001</v>
      </c>
    </row>
    <row r="627" spans="1:2" hidden="1" x14ac:dyDescent="0.35">
      <c r="A627" s="1">
        <v>45755</v>
      </c>
      <c r="B627" s="3">
        <v>4936.2563250000003</v>
      </c>
    </row>
    <row r="628" spans="1:2" hidden="1" x14ac:dyDescent="0.35">
      <c r="A628" s="1">
        <v>45756</v>
      </c>
      <c r="B628" s="3">
        <v>4089.2878500000002</v>
      </c>
    </row>
    <row r="629" spans="1:2" hidden="1" x14ac:dyDescent="0.35">
      <c r="A629" s="1">
        <v>45757</v>
      </c>
      <c r="B629" s="3">
        <v>3687.3433666666665</v>
      </c>
    </row>
    <row r="630" spans="1:2" hidden="1" x14ac:dyDescent="0.35">
      <c r="A630" s="1">
        <v>45758</v>
      </c>
      <c r="B630" s="3">
        <v>0</v>
      </c>
    </row>
    <row r="631" spans="1:2" hidden="1" x14ac:dyDescent="0.35">
      <c r="A631" s="1">
        <v>45759</v>
      </c>
      <c r="B631" s="3">
        <v>0</v>
      </c>
    </row>
    <row r="632" spans="1:2" hidden="1" x14ac:dyDescent="0.35">
      <c r="A632" s="1">
        <v>45760</v>
      </c>
      <c r="B632" s="3">
        <v>-342.41486250000003</v>
      </c>
    </row>
    <row r="633" spans="1:2" hidden="1" x14ac:dyDescent="0.35">
      <c r="A633" s="1">
        <v>45761</v>
      </c>
      <c r="B633" s="3">
        <v>0</v>
      </c>
    </row>
    <row r="634" spans="1:2" hidden="1" x14ac:dyDescent="0.35">
      <c r="A634" s="1">
        <v>45762</v>
      </c>
      <c r="B634" s="3">
        <v>11513.436816666666</v>
      </c>
    </row>
    <row r="635" spans="1:2" hidden="1" x14ac:dyDescent="0.35">
      <c r="A635" s="1">
        <v>45763</v>
      </c>
      <c r="B635" s="3">
        <v>1759.0855666666666</v>
      </c>
    </row>
    <row r="636" spans="1:2" hidden="1" x14ac:dyDescent="0.35">
      <c r="A636" s="1">
        <v>45764</v>
      </c>
      <c r="B636" s="3">
        <v>1081.8134</v>
      </c>
    </row>
    <row r="637" spans="1:2" hidden="1" x14ac:dyDescent="0.35">
      <c r="A637" s="1">
        <v>45765</v>
      </c>
      <c r="B637" s="3">
        <v>6718.9750000000004</v>
      </c>
    </row>
    <row r="638" spans="1:2" hidden="1" x14ac:dyDescent="0.35">
      <c r="A638" s="1">
        <v>45766</v>
      </c>
      <c r="B638" s="3">
        <v>3742.269866666667</v>
      </c>
    </row>
    <row r="639" spans="1:2" hidden="1" x14ac:dyDescent="0.35">
      <c r="A639" s="1">
        <v>45767</v>
      </c>
      <c r="B639" s="3">
        <v>5928.69</v>
      </c>
    </row>
    <row r="640" spans="1:2" hidden="1" x14ac:dyDescent="0.35">
      <c r="A640" s="1">
        <v>45768</v>
      </c>
      <c r="B640" s="3">
        <v>3684.5776150000002</v>
      </c>
    </row>
    <row r="641" spans="1:2" hidden="1" x14ac:dyDescent="0.35">
      <c r="A641" s="1">
        <v>45769</v>
      </c>
      <c r="B641" s="3">
        <v>1440.4652300000002</v>
      </c>
    </row>
    <row r="642" spans="1:2" hidden="1" x14ac:dyDescent="0.35">
      <c r="A642" s="1">
        <v>45770</v>
      </c>
      <c r="B642" s="3">
        <v>2877.8457454545455</v>
      </c>
    </row>
    <row r="643" spans="1:2" hidden="1" x14ac:dyDescent="0.35">
      <c r="A643" s="1">
        <v>45771</v>
      </c>
      <c r="B643" s="3">
        <v>-1556.252</v>
      </c>
    </row>
    <row r="644" spans="1:2" hidden="1" x14ac:dyDescent="0.35">
      <c r="A644" s="1">
        <v>45772</v>
      </c>
      <c r="B644" s="3">
        <v>732.50821250000013</v>
      </c>
    </row>
    <row r="645" spans="1:2" hidden="1" x14ac:dyDescent="0.35">
      <c r="A645" s="1">
        <v>45773</v>
      </c>
      <c r="B645" s="3">
        <v>966.8643166666667</v>
      </c>
    </row>
    <row r="646" spans="1:2" hidden="1" x14ac:dyDescent="0.35">
      <c r="A646" s="1">
        <v>45774</v>
      </c>
      <c r="B646" s="3">
        <v>-59.149090909090916</v>
      </c>
    </row>
    <row r="647" spans="1:2" hidden="1" x14ac:dyDescent="0.35">
      <c r="A647" s="1">
        <v>45775</v>
      </c>
      <c r="B647" s="3">
        <v>6995.5259750000005</v>
      </c>
    </row>
    <row r="648" spans="1:2" hidden="1" x14ac:dyDescent="0.35">
      <c r="A648" s="1">
        <v>45776</v>
      </c>
      <c r="B648" s="3">
        <v>1239.24125</v>
      </c>
    </row>
    <row r="649" spans="1:2" hidden="1" x14ac:dyDescent="0.35">
      <c r="A649" s="1">
        <v>45777</v>
      </c>
      <c r="B649" s="3">
        <v>8020.7753083333328</v>
      </c>
    </row>
    <row r="650" spans="1:2" hidden="1" x14ac:dyDescent="0.35">
      <c r="A650" s="1">
        <v>45778</v>
      </c>
      <c r="B650" s="3">
        <v>798.0100000000001</v>
      </c>
    </row>
    <row r="651" spans="1:2" hidden="1" x14ac:dyDescent="0.35">
      <c r="A651" s="1">
        <v>45779</v>
      </c>
      <c r="B651" s="3">
        <v>-906.44</v>
      </c>
    </row>
    <row r="652" spans="1:2" hidden="1" x14ac:dyDescent="0.35">
      <c r="A652" s="1">
        <v>45780</v>
      </c>
      <c r="B652" s="3">
        <v>1440.6342461538463</v>
      </c>
    </row>
    <row r="653" spans="1:2" hidden="1" x14ac:dyDescent="0.35">
      <c r="A653" s="1">
        <v>45781</v>
      </c>
      <c r="B653" s="3">
        <v>-989.1633333333333</v>
      </c>
    </row>
    <row r="654" spans="1:2" hidden="1" x14ac:dyDescent="0.35">
      <c r="A654" s="1">
        <v>45782</v>
      </c>
      <c r="B654" s="3">
        <v>1346.9466666666665</v>
      </c>
    </row>
    <row r="655" spans="1:2" hidden="1" x14ac:dyDescent="0.35">
      <c r="A655" s="1">
        <v>45783</v>
      </c>
      <c r="B655" s="3">
        <v>5345.3112600000004</v>
      </c>
    </row>
    <row r="656" spans="1:2" hidden="1" x14ac:dyDescent="0.35">
      <c r="A656" s="1">
        <v>45784</v>
      </c>
      <c r="B656" s="3">
        <v>-2734.4776999999999</v>
      </c>
    </row>
    <row r="657" spans="1:2" hidden="1" x14ac:dyDescent="0.35">
      <c r="A657" s="1">
        <v>45785</v>
      </c>
      <c r="B657" s="3">
        <v>-2992.1161000000006</v>
      </c>
    </row>
    <row r="658" spans="1:2" hidden="1" x14ac:dyDescent="0.35">
      <c r="A658" s="1">
        <v>45786</v>
      </c>
      <c r="B658" s="3">
        <v>-557.56333333333328</v>
      </c>
    </row>
    <row r="659" spans="1:2" hidden="1" x14ac:dyDescent="0.35">
      <c r="A659" s="1">
        <v>45787</v>
      </c>
      <c r="B659" s="3">
        <v>0</v>
      </c>
    </row>
    <row r="660" spans="1:2" hidden="1" x14ac:dyDescent="0.35">
      <c r="A660" s="1">
        <v>45788</v>
      </c>
      <c r="B660" s="3">
        <v>-2636.4866666666667</v>
      </c>
    </row>
    <row r="661" spans="1:2" hidden="1" x14ac:dyDescent="0.35">
      <c r="A661" s="1">
        <v>45789</v>
      </c>
      <c r="B661" s="3">
        <v>3293.4945500000003</v>
      </c>
    </row>
    <row r="662" spans="1:2" hidden="1" x14ac:dyDescent="0.35">
      <c r="A662" s="1">
        <v>45790</v>
      </c>
      <c r="B662" s="3">
        <v>-0.37881999999999605</v>
      </c>
    </row>
    <row r="663" spans="1:2" hidden="1" x14ac:dyDescent="0.35">
      <c r="A663" s="1">
        <v>45791</v>
      </c>
      <c r="B663" s="3">
        <v>-442.41554000000008</v>
      </c>
    </row>
    <row r="664" spans="1:2" hidden="1" x14ac:dyDescent="0.35">
      <c r="A664" s="1">
        <v>45792</v>
      </c>
      <c r="B664" s="3">
        <v>4001.3548500000002</v>
      </c>
    </row>
    <row r="665" spans="1:2" hidden="1" x14ac:dyDescent="0.35">
      <c r="A665" s="1">
        <v>45793</v>
      </c>
      <c r="B665" s="3">
        <v>3960.1279999999997</v>
      </c>
    </row>
    <row r="666" spans="1:2" hidden="1" x14ac:dyDescent="0.35">
      <c r="A666" s="1">
        <v>45794</v>
      </c>
      <c r="B666" s="3">
        <v>11732.313185714285</v>
      </c>
    </row>
    <row r="667" spans="1:2" hidden="1" x14ac:dyDescent="0.35">
      <c r="A667" s="1">
        <v>45795</v>
      </c>
      <c r="B667" s="3">
        <v>4987.4161363636367</v>
      </c>
    </row>
    <row r="668" spans="1:2" hidden="1" x14ac:dyDescent="0.35">
      <c r="A668" s="1">
        <v>45796</v>
      </c>
      <c r="B668" s="3">
        <v>790.90008571428575</v>
      </c>
    </row>
    <row r="669" spans="1:2" hidden="1" x14ac:dyDescent="0.35">
      <c r="A669" s="1">
        <v>45797</v>
      </c>
      <c r="B669" s="3">
        <v>2271.3056200000001</v>
      </c>
    </row>
    <row r="670" spans="1:2" hidden="1" x14ac:dyDescent="0.35">
      <c r="A670" s="1">
        <v>45798</v>
      </c>
      <c r="B670" s="3">
        <v>2648.64</v>
      </c>
    </row>
    <row r="671" spans="1:2" hidden="1" x14ac:dyDescent="0.35">
      <c r="A671" s="1">
        <v>45799</v>
      </c>
      <c r="B671" s="3">
        <v>3114.13</v>
      </c>
    </row>
    <row r="672" spans="1:2" hidden="1" x14ac:dyDescent="0.35">
      <c r="A672" s="1">
        <v>45800</v>
      </c>
      <c r="B672" s="3">
        <v>-919.16946666666672</v>
      </c>
    </row>
    <row r="673" spans="1:2" hidden="1" x14ac:dyDescent="0.35">
      <c r="A673" s="1">
        <v>45801</v>
      </c>
      <c r="B673" s="3">
        <v>1099.6885714285713</v>
      </c>
    </row>
    <row r="674" spans="1:2" hidden="1" x14ac:dyDescent="0.35">
      <c r="A674" s="1">
        <v>45802</v>
      </c>
      <c r="B674" s="3">
        <v>6013.7869333333338</v>
      </c>
    </row>
    <row r="675" spans="1:2" hidden="1" x14ac:dyDescent="0.35">
      <c r="A675" s="1">
        <v>45803</v>
      </c>
      <c r="B675" s="3">
        <v>4900.1535199999998</v>
      </c>
    </row>
    <row r="676" spans="1:2" hidden="1" x14ac:dyDescent="0.35">
      <c r="A676" s="1">
        <v>45804</v>
      </c>
      <c r="B676" s="3">
        <v>2582.2397846153845</v>
      </c>
    </row>
    <row r="677" spans="1:2" hidden="1" x14ac:dyDescent="0.35">
      <c r="A677" s="1">
        <v>45805</v>
      </c>
      <c r="B677" s="3">
        <v>3269.0928589743589</v>
      </c>
    </row>
    <row r="678" spans="1:2" hidden="1" x14ac:dyDescent="0.35">
      <c r="A678" s="1">
        <v>45806</v>
      </c>
      <c r="B678" s="3">
        <v>3955.945933333333</v>
      </c>
    </row>
    <row r="679" spans="1:2" hidden="1" x14ac:dyDescent="0.35">
      <c r="A679" s="1">
        <v>45807</v>
      </c>
      <c r="B679" s="3">
        <v>-2206.105</v>
      </c>
    </row>
    <row r="680" spans="1:2" hidden="1" x14ac:dyDescent="0.35">
      <c r="A680" s="1">
        <v>45808</v>
      </c>
      <c r="B680" s="3">
        <v>3914.6659999999997</v>
      </c>
    </row>
    <row r="681" spans="1:2" hidden="1" x14ac:dyDescent="0.35">
      <c r="A681" s="1">
        <v>45809</v>
      </c>
      <c r="B681" s="3">
        <v>5556.3795</v>
      </c>
    </row>
    <row r="682" spans="1:2" hidden="1" x14ac:dyDescent="0.35">
      <c r="A682" s="1">
        <v>45810</v>
      </c>
      <c r="B682" s="3">
        <v>-434.142</v>
      </c>
    </row>
    <row r="683" spans="1:2" hidden="1" x14ac:dyDescent="0.35">
      <c r="A683" s="1">
        <v>45811</v>
      </c>
      <c r="B683" s="3">
        <v>1484.6818125</v>
      </c>
    </row>
    <row r="684" spans="1:2" hidden="1" x14ac:dyDescent="0.35">
      <c r="A684" s="1">
        <v>45812</v>
      </c>
      <c r="B684" s="3">
        <v>892.42579999999998</v>
      </c>
    </row>
    <row r="685" spans="1:2" hidden="1" x14ac:dyDescent="0.35">
      <c r="A685" s="1">
        <v>45813</v>
      </c>
      <c r="B685" s="3">
        <v>0</v>
      </c>
    </row>
    <row r="686" spans="1:2" hidden="1" x14ac:dyDescent="0.35">
      <c r="A686" s="1">
        <v>45814</v>
      </c>
      <c r="B686" s="3">
        <v>4296.306066666667</v>
      </c>
    </row>
    <row r="687" spans="1:2" hidden="1" x14ac:dyDescent="0.35">
      <c r="A687" s="1">
        <v>45815</v>
      </c>
      <c r="B687" s="3">
        <v>1673.9963000000002</v>
      </c>
    </row>
    <row r="688" spans="1:2" hidden="1" x14ac:dyDescent="0.35">
      <c r="A688" s="1">
        <v>45816</v>
      </c>
      <c r="B688" s="3">
        <v>224.81976923076925</v>
      </c>
    </row>
    <row r="689" spans="1:2" hidden="1" x14ac:dyDescent="0.35">
      <c r="A689" s="1">
        <v>45817</v>
      </c>
      <c r="B689" s="3">
        <v>-499.93757142857146</v>
      </c>
    </row>
    <row r="690" spans="1:2" hidden="1" x14ac:dyDescent="0.35">
      <c r="A690" s="1">
        <v>45818</v>
      </c>
      <c r="B690" s="3">
        <v>0</v>
      </c>
    </row>
    <row r="691" spans="1:2" hidden="1" x14ac:dyDescent="0.35">
      <c r="A691" s="1">
        <v>45819</v>
      </c>
      <c r="B691" s="3">
        <v>2585.5334750000002</v>
      </c>
    </row>
    <row r="692" spans="1:2" hidden="1" x14ac:dyDescent="0.35">
      <c r="A692" s="1">
        <v>45820</v>
      </c>
      <c r="B692" s="3">
        <v>7123.7955600000005</v>
      </c>
    </row>
    <row r="693" spans="1:2" hidden="1" x14ac:dyDescent="0.35">
      <c r="A693" s="1">
        <v>45821</v>
      </c>
      <c r="B693" s="3">
        <v>-219.95001666666658</v>
      </c>
    </row>
    <row r="694" spans="1:2" hidden="1" x14ac:dyDescent="0.35">
      <c r="A694" s="1">
        <v>45822</v>
      </c>
      <c r="B694" s="3">
        <v>0</v>
      </c>
    </row>
    <row r="695" spans="1:2" hidden="1" x14ac:dyDescent="0.35">
      <c r="A695" s="1">
        <v>45823</v>
      </c>
      <c r="B695" s="3">
        <v>0</v>
      </c>
    </row>
    <row r="696" spans="1:2" hidden="1" x14ac:dyDescent="0.35">
      <c r="A696" s="1">
        <v>45824</v>
      </c>
      <c r="B696" s="3">
        <v>7394.2552999999998</v>
      </c>
    </row>
    <row r="697" spans="1:2" hidden="1" x14ac:dyDescent="0.35">
      <c r="A697" s="1">
        <v>45825</v>
      </c>
      <c r="B697" s="3">
        <v>3912.6639999999998</v>
      </c>
    </row>
    <row r="698" spans="1:2" hidden="1" x14ac:dyDescent="0.35">
      <c r="A698" s="1">
        <v>45826</v>
      </c>
      <c r="B698" s="3">
        <v>5997.2787999999991</v>
      </c>
    </row>
    <row r="699" spans="1:2" hidden="1" x14ac:dyDescent="0.35">
      <c r="A699" s="1">
        <v>45827</v>
      </c>
      <c r="B699" s="3">
        <v>2403.1572777777778</v>
      </c>
    </row>
    <row r="700" spans="1:2" hidden="1" x14ac:dyDescent="0.35">
      <c r="A700" s="1">
        <v>45828</v>
      </c>
      <c r="B700" s="3">
        <v>546.15388571428571</v>
      </c>
    </row>
    <row r="701" spans="1:2" hidden="1" x14ac:dyDescent="0.35">
      <c r="A701" s="1">
        <v>45829</v>
      </c>
      <c r="B701" s="3">
        <v>0</v>
      </c>
    </row>
    <row r="702" spans="1:2" hidden="1" x14ac:dyDescent="0.35">
      <c r="A702" s="1">
        <v>45830</v>
      </c>
      <c r="B702" s="3">
        <v>0</v>
      </c>
    </row>
    <row r="703" spans="1:2" hidden="1" x14ac:dyDescent="0.35">
      <c r="A703" s="1">
        <v>45831</v>
      </c>
      <c r="B703" s="3">
        <v>2092.1168888888892</v>
      </c>
    </row>
    <row r="704" spans="1:2" hidden="1" x14ac:dyDescent="0.35">
      <c r="A704" s="1">
        <v>45832</v>
      </c>
      <c r="B704" s="3">
        <v>2776.7934777777782</v>
      </c>
    </row>
    <row r="705" spans="1:2" hidden="1" x14ac:dyDescent="0.35">
      <c r="A705" s="1">
        <v>45833</v>
      </c>
      <c r="B705" s="3">
        <v>5998.5944999999992</v>
      </c>
    </row>
    <row r="706" spans="1:2" hidden="1" x14ac:dyDescent="0.35">
      <c r="A706" s="1">
        <v>45834</v>
      </c>
      <c r="B706" s="3">
        <v>1076.52856</v>
      </c>
    </row>
    <row r="707" spans="1:2" hidden="1" x14ac:dyDescent="0.35">
      <c r="A707" s="1">
        <v>45835</v>
      </c>
      <c r="B707" s="3">
        <v>-1341.5300000000002</v>
      </c>
    </row>
    <row r="708" spans="1:2" hidden="1" x14ac:dyDescent="0.35">
      <c r="A708" s="1">
        <v>45836</v>
      </c>
      <c r="B708" s="3">
        <v>1062.73596</v>
      </c>
    </row>
    <row r="709" spans="1:2" hidden="1" x14ac:dyDescent="0.35">
      <c r="A709" s="1">
        <v>45837</v>
      </c>
      <c r="B709" s="3">
        <v>0</v>
      </c>
    </row>
    <row r="710" spans="1:2" hidden="1" x14ac:dyDescent="0.35">
      <c r="A710" s="1">
        <v>45838</v>
      </c>
      <c r="B710" s="3">
        <v>3687.0133333333338</v>
      </c>
    </row>
    <row r="711" spans="1:2" hidden="1" x14ac:dyDescent="0.35">
      <c r="A711" s="1">
        <v>45839</v>
      </c>
      <c r="B711" s="3">
        <v>3344.9618833333334</v>
      </c>
    </row>
    <row r="712" spans="1:2" hidden="1" x14ac:dyDescent="0.35">
      <c r="A712" s="1">
        <v>45840</v>
      </c>
      <c r="B712" s="3">
        <v>6834.6520333333328</v>
      </c>
    </row>
    <row r="713" spans="1:2" hidden="1" x14ac:dyDescent="0.35">
      <c r="A713" s="1">
        <v>45841</v>
      </c>
      <c r="B713" s="3">
        <v>4663.57</v>
      </c>
    </row>
    <row r="714" spans="1:2" hidden="1" x14ac:dyDescent="0.35">
      <c r="A714" s="1">
        <v>45842</v>
      </c>
      <c r="B714" s="3">
        <v>5141.5451000000003</v>
      </c>
    </row>
    <row r="715" spans="1:2" hidden="1" x14ac:dyDescent="0.35">
      <c r="A715" s="1">
        <v>45843</v>
      </c>
      <c r="B715" s="3">
        <v>3196.3917999999999</v>
      </c>
    </row>
    <row r="716" spans="1:2" hidden="1" x14ac:dyDescent="0.35">
      <c r="A716" s="1">
        <v>45844</v>
      </c>
      <c r="B716" s="3">
        <v>1174.4542285714285</v>
      </c>
    </row>
    <row r="717" spans="1:2" hidden="1" x14ac:dyDescent="0.35">
      <c r="A717" s="1">
        <v>45845</v>
      </c>
      <c r="B717" s="3">
        <v>1378.7542000000001</v>
      </c>
    </row>
    <row r="718" spans="1:2" hidden="1" x14ac:dyDescent="0.35">
      <c r="A718" s="1">
        <v>45846</v>
      </c>
      <c r="B718" s="3">
        <v>-177.22833333333332</v>
      </c>
    </row>
    <row r="719" spans="1:2" hidden="1" x14ac:dyDescent="0.35">
      <c r="A719" s="1">
        <v>45847</v>
      </c>
      <c r="B719" s="3">
        <v>2382.085525</v>
      </c>
    </row>
    <row r="720" spans="1:2" hidden="1" x14ac:dyDescent="0.35">
      <c r="A720" s="1">
        <v>45848</v>
      </c>
      <c r="B720" s="3">
        <v>7322.98</v>
      </c>
    </row>
    <row r="721" spans="1:5" hidden="1" x14ac:dyDescent="0.35">
      <c r="A721" s="1">
        <v>45849</v>
      </c>
      <c r="B721" s="3">
        <v>5764.5406666666668</v>
      </c>
    </row>
    <row r="722" spans="1:5" hidden="1" x14ac:dyDescent="0.35">
      <c r="A722" s="1">
        <v>45850</v>
      </c>
      <c r="B722" s="3">
        <v>0</v>
      </c>
    </row>
    <row r="723" spans="1:5" hidden="1" x14ac:dyDescent="0.35">
      <c r="A723" s="1">
        <v>45851</v>
      </c>
      <c r="B723" s="3">
        <v>-777.15674285714283</v>
      </c>
    </row>
    <row r="724" spans="1:5" hidden="1" x14ac:dyDescent="0.35">
      <c r="A724" s="1">
        <v>45852</v>
      </c>
      <c r="B724" s="3">
        <v>8068.5215333333335</v>
      </c>
    </row>
    <row r="725" spans="1:5" hidden="1" x14ac:dyDescent="0.35">
      <c r="A725" s="1">
        <v>45853</v>
      </c>
      <c r="B725" s="3">
        <v>1335.3905</v>
      </c>
    </row>
    <row r="726" spans="1:5" hidden="1" x14ac:dyDescent="0.35">
      <c r="A726" s="1">
        <v>45854</v>
      </c>
      <c r="B726" s="3">
        <v>3443.8734750000003</v>
      </c>
    </row>
    <row r="727" spans="1:5" hidden="1" x14ac:dyDescent="0.35">
      <c r="A727" s="1">
        <v>45855</v>
      </c>
      <c r="B727" s="3">
        <v>5545.9377777777781</v>
      </c>
    </row>
    <row r="728" spans="1:5" hidden="1" x14ac:dyDescent="0.35">
      <c r="A728" s="1">
        <v>45856</v>
      </c>
      <c r="B728" s="3">
        <v>5478.9864166666666</v>
      </c>
    </row>
    <row r="729" spans="1:5" hidden="1" x14ac:dyDescent="0.35">
      <c r="A729" s="1">
        <v>45857</v>
      </c>
      <c r="B729" s="3">
        <v>0</v>
      </c>
    </row>
    <row r="730" spans="1:5" hidden="1" x14ac:dyDescent="0.35">
      <c r="A730" s="1">
        <v>45858</v>
      </c>
      <c r="B730" s="3">
        <v>3367.6591250000001</v>
      </c>
    </row>
    <row r="731" spans="1:5" hidden="1" x14ac:dyDescent="0.35">
      <c r="A731" s="1">
        <v>45859</v>
      </c>
      <c r="B731" s="3">
        <v>3225.2549333333332</v>
      </c>
    </row>
    <row r="732" spans="1:5" hidden="1" x14ac:dyDescent="0.35">
      <c r="A732" s="1">
        <v>45860</v>
      </c>
      <c r="B732" s="3">
        <v>1495.0446727272727</v>
      </c>
      <c r="C732" s="3">
        <v>1495.0446727272727</v>
      </c>
      <c r="D732" s="3">
        <v>1495.0446727272727</v>
      </c>
      <c r="E732" s="3">
        <v>1495.0446727272727</v>
      </c>
    </row>
    <row r="733" spans="1:5" hidden="1" x14ac:dyDescent="0.35">
      <c r="A733" s="1">
        <v>45861</v>
      </c>
      <c r="C733" s="3">
        <f t="shared" ref="C733:C764" si="0">_xlfn.FORECAST.ETS(A733,$B$2:$B$732,$A$2:$A$732,1,1)</f>
        <v>3550.9017451164837</v>
      </c>
      <c r="D733" s="3">
        <f t="shared" ref="D733:D764" si="1">C733-_xlfn.FORECAST.ETS.CONFINT(A733,$B$2:$B$732,$A$2:$A$732,0.95,1,1)</f>
        <v>-4975.6164269167366</v>
      </c>
      <c r="E733" s="3">
        <f t="shared" ref="E733:E764" si="2">C733+_xlfn.FORECAST.ETS.CONFINT(A733,$B$2:$B$732,$A$2:$A$732,0.95,1,1)</f>
        <v>12077.419917149704</v>
      </c>
    </row>
    <row r="734" spans="1:5" hidden="1" x14ac:dyDescent="0.35">
      <c r="A734" s="1">
        <v>45862</v>
      </c>
      <c r="C734" s="3">
        <f t="shared" si="0"/>
        <v>1597.2377006673755</v>
      </c>
      <c r="D734" s="3">
        <f t="shared" si="1"/>
        <v>-7195.8475920399069</v>
      </c>
      <c r="E734" s="3">
        <f t="shared" si="2"/>
        <v>10390.322993374659</v>
      </c>
    </row>
    <row r="735" spans="1:5" hidden="1" x14ac:dyDescent="0.35">
      <c r="A735" s="1">
        <v>45863</v>
      </c>
      <c r="C735" s="3">
        <f t="shared" si="0"/>
        <v>-973.57313170804764</v>
      </c>
      <c r="D735" s="3">
        <f t="shared" si="1"/>
        <v>-10027.406577009942</v>
      </c>
      <c r="E735" s="3">
        <f t="shared" si="2"/>
        <v>8080.2603135938461</v>
      </c>
    </row>
    <row r="736" spans="1:5" hidden="1" x14ac:dyDescent="0.35">
      <c r="A736" s="1">
        <v>45864</v>
      </c>
      <c r="C736" s="3">
        <f t="shared" si="0"/>
        <v>1542.1458426766733</v>
      </c>
      <c r="D736" s="3">
        <f t="shared" si="1"/>
        <v>-7767.1135699921579</v>
      </c>
      <c r="E736" s="3">
        <f t="shared" si="2"/>
        <v>10851.405255345504</v>
      </c>
    </row>
    <row r="737" spans="1:5" hidden="1" x14ac:dyDescent="0.35">
      <c r="A737" s="1">
        <v>45865</v>
      </c>
      <c r="C737" s="3">
        <f t="shared" si="0"/>
        <v>247.51914651627067</v>
      </c>
      <c r="D737" s="3">
        <f t="shared" si="1"/>
        <v>-9312.2782697022085</v>
      </c>
      <c r="E737" s="3">
        <f t="shared" si="2"/>
        <v>9807.316562734748</v>
      </c>
    </row>
    <row r="738" spans="1:5" hidden="1" x14ac:dyDescent="0.35">
      <c r="A738" s="1">
        <v>45866</v>
      </c>
      <c r="C738" s="3">
        <f t="shared" si="0"/>
        <v>544.84395265818625</v>
      </c>
      <c r="D738" s="3">
        <f t="shared" si="1"/>
        <v>-9260.9855858670617</v>
      </c>
      <c r="E738" s="3">
        <f t="shared" si="2"/>
        <v>10350.673491183434</v>
      </c>
    </row>
    <row r="739" spans="1:5" hidden="1" x14ac:dyDescent="0.35">
      <c r="A739" s="1">
        <v>45867</v>
      </c>
      <c r="C739" s="3">
        <f t="shared" si="0"/>
        <v>2825.9073720349443</v>
      </c>
      <c r="D739" s="3">
        <f t="shared" si="1"/>
        <v>-7221.786647680121</v>
      </c>
      <c r="E739" s="3">
        <f t="shared" si="2"/>
        <v>12873.601391750009</v>
      </c>
    </row>
    <row r="740" spans="1:5" hidden="1" x14ac:dyDescent="0.35">
      <c r="A740" s="1">
        <v>45868</v>
      </c>
      <c r="C740" s="3">
        <f t="shared" si="0"/>
        <v>1139.5791895013454</v>
      </c>
      <c r="D740" s="3">
        <f t="shared" si="1"/>
        <v>-9146.112744820457</v>
      </c>
      <c r="E740" s="3">
        <f t="shared" si="2"/>
        <v>11425.271123823146</v>
      </c>
    </row>
    <row r="741" spans="1:5" hidden="1" x14ac:dyDescent="0.35">
      <c r="A741" s="1">
        <v>45869</v>
      </c>
      <c r="C741" s="3">
        <f t="shared" si="0"/>
        <v>917.69569861034051</v>
      </c>
      <c r="D741" s="3">
        <f t="shared" si="1"/>
        <v>-9602.3969199697167</v>
      </c>
      <c r="E741" s="3">
        <f t="shared" si="2"/>
        <v>11437.788317190396</v>
      </c>
    </row>
    <row r="742" spans="1:5" hidden="1" x14ac:dyDescent="0.35">
      <c r="A742" s="1">
        <v>45870</v>
      </c>
      <c r="C742" s="3">
        <f t="shared" si="0"/>
        <v>1539.6098382299419</v>
      </c>
      <c r="D742" s="3">
        <f t="shared" si="1"/>
        <v>-9211.5282840356376</v>
      </c>
      <c r="E742" s="3">
        <f t="shared" si="2"/>
        <v>12290.747960495522</v>
      </c>
    </row>
    <row r="743" spans="1:5" hidden="1" x14ac:dyDescent="0.35">
      <c r="A743" s="1">
        <v>45871</v>
      </c>
      <c r="C743" s="3">
        <f t="shared" si="0"/>
        <v>489.19132892582286</v>
      </c>
      <c r="D743" s="3">
        <f t="shared" si="1"/>
        <v>-10489.855561965291</v>
      </c>
      <c r="E743" s="3">
        <f t="shared" si="2"/>
        <v>11468.238219816936</v>
      </c>
    </row>
    <row r="744" spans="1:5" hidden="1" x14ac:dyDescent="0.35">
      <c r="A744" s="1">
        <v>45872</v>
      </c>
      <c r="C744" s="3">
        <f t="shared" si="0"/>
        <v>-768.6941292767774</v>
      </c>
      <c r="D744" s="3">
        <f t="shared" si="1"/>
        <v>-11972.710963947617</v>
      </c>
      <c r="E744" s="3">
        <f t="shared" si="2"/>
        <v>10435.322705394063</v>
      </c>
    </row>
    <row r="745" spans="1:5" hidden="1" x14ac:dyDescent="0.35">
      <c r="A745" s="1">
        <v>45873</v>
      </c>
      <c r="C745" s="3">
        <f t="shared" si="0"/>
        <v>789.47784050119071</v>
      </c>
      <c r="D745" s="3">
        <f t="shared" si="1"/>
        <v>-10636.750063958871</v>
      </c>
      <c r="E745" s="3">
        <f t="shared" si="2"/>
        <v>12215.705744961253</v>
      </c>
    </row>
    <row r="746" spans="1:5" hidden="1" x14ac:dyDescent="0.35">
      <c r="A746" s="1">
        <v>45874</v>
      </c>
      <c r="C746" s="3">
        <f t="shared" si="0"/>
        <v>520.74806793399102</v>
      </c>
      <c r="D746" s="3">
        <f t="shared" si="1"/>
        <v>-11125.096200071343</v>
      </c>
      <c r="E746" s="3">
        <f t="shared" si="2"/>
        <v>12166.592335939325</v>
      </c>
    </row>
    <row r="747" spans="1:5" hidden="1" x14ac:dyDescent="0.35">
      <c r="A747" s="1">
        <v>45875</v>
      </c>
      <c r="C747" s="3">
        <f t="shared" si="0"/>
        <v>771.5187276818283</v>
      </c>
      <c r="D747" s="3">
        <f t="shared" si="1"/>
        <v>-11091.49743198535</v>
      </c>
      <c r="E747" s="3">
        <f t="shared" si="2"/>
        <v>12634.534887349007</v>
      </c>
    </row>
    <row r="748" spans="1:5" hidden="1" x14ac:dyDescent="0.35">
      <c r="A748" s="1">
        <v>45876</v>
      </c>
      <c r="C748" s="3">
        <f t="shared" si="0"/>
        <v>3889.6561158308077</v>
      </c>
      <c r="D748" s="3">
        <f t="shared" si="1"/>
        <v>-8188.2253456408971</v>
      </c>
      <c r="E748" s="3">
        <f t="shared" si="2"/>
        <v>15967.537577302512</v>
      </c>
    </row>
    <row r="749" spans="1:5" hidden="1" x14ac:dyDescent="0.35">
      <c r="A749" s="1">
        <v>45877</v>
      </c>
      <c r="C749" s="3">
        <f t="shared" si="0"/>
        <v>2209.4365202436184</v>
      </c>
      <c r="D749" s="3">
        <f t="shared" si="1"/>
        <v>-10081.130541375984</v>
      </c>
      <c r="E749" s="3">
        <f t="shared" si="2"/>
        <v>14500.00358186322</v>
      </c>
    </row>
    <row r="750" spans="1:5" hidden="1" x14ac:dyDescent="0.35">
      <c r="A750" s="1">
        <v>45878</v>
      </c>
      <c r="C750" s="3">
        <f t="shared" si="0"/>
        <v>1330.2365295722009</v>
      </c>
      <c r="D750" s="3">
        <f t="shared" si="1"/>
        <v>-11170.95349793995</v>
      </c>
      <c r="E750" s="3">
        <f t="shared" si="2"/>
        <v>13831.426557084353</v>
      </c>
    </row>
    <row r="751" spans="1:5" hidden="1" x14ac:dyDescent="0.35">
      <c r="A751" s="1">
        <v>45879</v>
      </c>
      <c r="C751" s="3">
        <f t="shared" si="0"/>
        <v>473.23714031567124</v>
      </c>
      <c r="D751" s="3">
        <f t="shared" si="1"/>
        <v>-12236.621482965238</v>
      </c>
      <c r="E751" s="3">
        <f t="shared" si="2"/>
        <v>13183.095763596582</v>
      </c>
    </row>
    <row r="752" spans="1:5" hidden="1" x14ac:dyDescent="0.35">
      <c r="A752" s="1">
        <v>45880</v>
      </c>
      <c r="C752" s="3">
        <f t="shared" si="0"/>
        <v>3746.0552884710032</v>
      </c>
      <c r="D752" s="3">
        <f t="shared" si="1"/>
        <v>-9170.6179077761317</v>
      </c>
      <c r="E752" s="3">
        <f t="shared" si="2"/>
        <v>16662.728484718136</v>
      </c>
    </row>
    <row r="753" spans="1:5" hidden="1" x14ac:dyDescent="0.35">
      <c r="A753" s="1">
        <v>45881</v>
      </c>
      <c r="C753" s="3">
        <f t="shared" si="0"/>
        <v>1092.9929604890583</v>
      </c>
      <c r="D753" s="3">
        <f t="shared" si="1"/>
        <v>-12028.733991843739</v>
      </c>
      <c r="E753" s="3">
        <f t="shared" si="2"/>
        <v>14214.719912821856</v>
      </c>
    </row>
    <row r="754" spans="1:5" hidden="1" x14ac:dyDescent="0.35">
      <c r="A754" s="1">
        <v>45882</v>
      </c>
      <c r="C754" s="3">
        <f t="shared" si="0"/>
        <v>2130.2636290740556</v>
      </c>
      <c r="D754" s="3">
        <f t="shared" si="1"/>
        <v>-11194.843007857437</v>
      </c>
      <c r="E754" s="3">
        <f t="shared" si="2"/>
        <v>15455.370266005548</v>
      </c>
    </row>
    <row r="755" spans="1:5" hidden="1" x14ac:dyDescent="0.35">
      <c r="A755" s="1">
        <v>45883</v>
      </c>
      <c r="C755" s="3">
        <f t="shared" si="0"/>
        <v>1036.9839745971444</v>
      </c>
      <c r="D755" s="3">
        <f t="shared" si="1"/>
        <v>-12489.909160329649</v>
      </c>
      <c r="E755" s="3">
        <f t="shared" si="2"/>
        <v>14563.877109523937</v>
      </c>
    </row>
    <row r="756" spans="1:5" hidden="1" x14ac:dyDescent="0.35">
      <c r="A756" s="1">
        <v>45884</v>
      </c>
      <c r="C756" s="3">
        <f t="shared" si="0"/>
        <v>695.85963970857756</v>
      </c>
      <c r="D756" s="3">
        <f t="shared" si="1"/>
        <v>-13031.302361557493</v>
      </c>
      <c r="E756" s="3">
        <f t="shared" si="2"/>
        <v>14423.02164097465</v>
      </c>
    </row>
    <row r="757" spans="1:5" hidden="1" x14ac:dyDescent="0.35">
      <c r="A757" s="1">
        <v>45885</v>
      </c>
      <c r="C757" s="3">
        <f t="shared" si="0"/>
        <v>-531.7215537968209</v>
      </c>
      <c r="D757" s="3">
        <f t="shared" si="1"/>
        <v>-14457.70548544202</v>
      </c>
      <c r="E757" s="3">
        <f t="shared" si="2"/>
        <v>13394.262377848379</v>
      </c>
    </row>
    <row r="758" spans="1:5" hidden="1" x14ac:dyDescent="0.35">
      <c r="A758" s="1">
        <v>45886</v>
      </c>
      <c r="C758" s="3">
        <f t="shared" si="0"/>
        <v>1393.6993052903492</v>
      </c>
      <c r="D758" s="3">
        <f t="shared" si="1"/>
        <v>-12729.725876055201</v>
      </c>
      <c r="E758" s="3">
        <f t="shared" si="2"/>
        <v>15517.124486635899</v>
      </c>
    </row>
    <row r="759" spans="1:5" hidden="1" x14ac:dyDescent="0.35">
      <c r="A759" s="1">
        <v>45887</v>
      </c>
      <c r="C759" s="3">
        <f t="shared" si="0"/>
        <v>2396.943852927021</v>
      </c>
      <c r="D759" s="3">
        <f t="shared" si="1"/>
        <v>-11922.604086093372</v>
      </c>
      <c r="E759" s="3">
        <f t="shared" si="2"/>
        <v>16716.491791947414</v>
      </c>
    </row>
    <row r="760" spans="1:5" hidden="1" x14ac:dyDescent="0.35">
      <c r="A760" s="1">
        <v>45888</v>
      </c>
      <c r="C760" s="3">
        <f t="shared" si="0"/>
        <v>1456.3416706415985</v>
      </c>
      <c r="D760" s="3">
        <f t="shared" si="1"/>
        <v>-13058.06899055913</v>
      </c>
      <c r="E760" s="3">
        <f t="shared" si="2"/>
        <v>15970.752331842328</v>
      </c>
    </row>
    <row r="761" spans="1:5" hidden="1" x14ac:dyDescent="0.35">
      <c r="A761" s="1">
        <v>45889</v>
      </c>
      <c r="C761" s="3">
        <f t="shared" si="0"/>
        <v>3512.19874303081</v>
      </c>
      <c r="D761" s="3">
        <f t="shared" si="1"/>
        <v>-11686.912438225514</v>
      </c>
      <c r="E761" s="3">
        <f t="shared" si="2"/>
        <v>18711.309924287132</v>
      </c>
    </row>
    <row r="762" spans="1:5" hidden="1" x14ac:dyDescent="0.35">
      <c r="A762" s="1">
        <v>45890</v>
      </c>
      <c r="C762" s="3">
        <f t="shared" si="0"/>
        <v>1558.5346985817014</v>
      </c>
      <c r="D762" s="3">
        <f t="shared" si="1"/>
        <v>-13826.938295506297</v>
      </c>
      <c r="E762" s="3">
        <f t="shared" si="2"/>
        <v>16944.0076926697</v>
      </c>
    </row>
    <row r="763" spans="1:5" hidden="1" x14ac:dyDescent="0.35">
      <c r="A763" s="1">
        <v>45891</v>
      </c>
      <c r="C763" s="3">
        <f t="shared" si="0"/>
        <v>-1012.276133793722</v>
      </c>
      <c r="D763" s="3">
        <f t="shared" si="1"/>
        <v>-16583.190151658597</v>
      </c>
      <c r="E763" s="3">
        <f t="shared" si="2"/>
        <v>14558.637884071151</v>
      </c>
    </row>
    <row r="764" spans="1:5" hidden="1" x14ac:dyDescent="0.35">
      <c r="A764" s="1">
        <v>45892</v>
      </c>
      <c r="C764" s="3">
        <f t="shared" si="0"/>
        <v>1503.4428405909991</v>
      </c>
      <c r="D764" s="3">
        <f t="shared" si="1"/>
        <v>-14252.028539313955</v>
      </c>
      <c r="E764" s="3">
        <f t="shared" si="2"/>
        <v>17258.914220495953</v>
      </c>
    </row>
    <row r="765" spans="1:5" hidden="1" x14ac:dyDescent="0.35">
      <c r="A765" s="1">
        <v>45893</v>
      </c>
      <c r="C765" s="3">
        <f t="shared" ref="C765:C796" si="3">_xlfn.FORECAST.ETS(A765,$B$2:$B$732,$A$2:$A$732,1,1)</f>
        <v>208.81614443059652</v>
      </c>
      <c r="D765" s="3">
        <f t="shared" ref="D765:D796" si="4">C765-_xlfn.FORECAST.ETS.CONFINT(A765,$B$2:$B$732,$A$2:$A$732,0.95,1,1)</f>
        <v>-15730.364192356656</v>
      </c>
      <c r="E765" s="3">
        <f t="shared" ref="E765:E796" si="5">C765+_xlfn.FORECAST.ETS.CONFINT(A765,$B$2:$B$732,$A$2:$A$732,0.95,1,1)</f>
        <v>16147.99648121785</v>
      </c>
    </row>
    <row r="766" spans="1:5" hidden="1" x14ac:dyDescent="0.35">
      <c r="A766" s="1">
        <v>45894</v>
      </c>
      <c r="C766" s="3">
        <f t="shared" si="3"/>
        <v>506.14095057251211</v>
      </c>
      <c r="D766" s="3">
        <f t="shared" si="4"/>
        <v>-15615.933449814958</v>
      </c>
      <c r="E766" s="3">
        <f t="shared" si="5"/>
        <v>16628.215350959981</v>
      </c>
    </row>
    <row r="767" spans="1:5" hidden="1" x14ac:dyDescent="0.35">
      <c r="A767" s="1">
        <v>45895</v>
      </c>
      <c r="C767" s="3">
        <f t="shared" si="3"/>
        <v>2787.2043699492706</v>
      </c>
      <c r="D767" s="3">
        <f t="shared" si="4"/>
        <v>-13516.98108333355</v>
      </c>
      <c r="E767" s="3">
        <f t="shared" si="5"/>
        <v>19091.38982323209</v>
      </c>
    </row>
    <row r="768" spans="1:5" hidden="1" x14ac:dyDescent="0.35">
      <c r="A768" s="1">
        <v>45896</v>
      </c>
      <c r="C768" s="3">
        <f t="shared" si="3"/>
        <v>1100.876187415671</v>
      </c>
      <c r="D768" s="3">
        <f t="shared" si="4"/>
        <v>-15384.66766718251</v>
      </c>
      <c r="E768" s="3">
        <f t="shared" si="5"/>
        <v>17586.420042013851</v>
      </c>
    </row>
    <row r="769" spans="1:5" hidden="1" x14ac:dyDescent="0.35">
      <c r="A769" s="1">
        <v>45897</v>
      </c>
      <c r="C769" s="3">
        <f t="shared" si="3"/>
        <v>878.99269652466637</v>
      </c>
      <c r="D769" s="3">
        <f t="shared" si="4"/>
        <v>-15787.185840715832</v>
      </c>
      <c r="E769" s="3">
        <f t="shared" si="5"/>
        <v>17545.171233765166</v>
      </c>
    </row>
    <row r="770" spans="1:5" hidden="1" x14ac:dyDescent="0.35">
      <c r="A770" s="1">
        <v>45898</v>
      </c>
      <c r="C770" s="3">
        <f t="shared" si="3"/>
        <v>1500.9068361442678</v>
      </c>
      <c r="D770" s="3">
        <f t="shared" si="4"/>
        <v>-15345.210261215327</v>
      </c>
      <c r="E770" s="3">
        <f t="shared" si="5"/>
        <v>18347.023933503864</v>
      </c>
    </row>
    <row r="771" spans="1:5" hidden="1" x14ac:dyDescent="0.35">
      <c r="A771" s="1">
        <v>45899</v>
      </c>
      <c r="C771" s="3">
        <f t="shared" si="3"/>
        <v>450.48832684014872</v>
      </c>
      <c r="D771" s="3">
        <f t="shared" si="4"/>
        <v>-16574.897549938978</v>
      </c>
      <c r="E771" s="3">
        <f t="shared" si="5"/>
        <v>17475.874203619278</v>
      </c>
    </row>
    <row r="772" spans="1:5" hidden="1" x14ac:dyDescent="0.35">
      <c r="A772" s="1">
        <v>45900</v>
      </c>
      <c r="C772" s="3">
        <f t="shared" si="3"/>
        <v>-807.39713136245155</v>
      </c>
      <c r="D772" s="3">
        <f t="shared" si="4"/>
        <v>-18011.407170421291</v>
      </c>
      <c r="E772" s="3">
        <f t="shared" si="5"/>
        <v>16396.612907696384</v>
      </c>
    </row>
    <row r="773" spans="1:5" hidden="1" x14ac:dyDescent="0.35">
      <c r="A773" s="1">
        <v>45901</v>
      </c>
      <c r="C773" s="3">
        <f t="shared" si="3"/>
        <v>750.77483841551657</v>
      </c>
      <c r="D773" s="3">
        <f t="shared" si="4"/>
        <v>-16631.238801361556</v>
      </c>
      <c r="E773" s="3">
        <f t="shared" si="5"/>
        <v>18132.78847819259</v>
      </c>
    </row>
    <row r="774" spans="1:5" hidden="1" x14ac:dyDescent="0.35">
      <c r="A774" s="1">
        <v>45902</v>
      </c>
      <c r="C774" s="3">
        <f t="shared" si="3"/>
        <v>482.04506584831688</v>
      </c>
      <c r="D774" s="3">
        <f t="shared" si="4"/>
        <v>-17077.374625711302</v>
      </c>
      <c r="E774" s="3">
        <f t="shared" si="5"/>
        <v>18041.464757407935</v>
      </c>
    </row>
    <row r="775" spans="1:5" hidden="1" x14ac:dyDescent="0.35">
      <c r="A775" s="1">
        <v>45903</v>
      </c>
      <c r="C775" s="3">
        <f t="shared" si="3"/>
        <v>732.81572559615415</v>
      </c>
      <c r="D775" s="3">
        <f t="shared" si="4"/>
        <v>-17003.434498728828</v>
      </c>
      <c r="E775" s="3">
        <f t="shared" si="5"/>
        <v>18469.065949921132</v>
      </c>
    </row>
    <row r="776" spans="1:5" hidden="1" x14ac:dyDescent="0.35">
      <c r="A776" s="1">
        <v>45904</v>
      </c>
      <c r="C776" s="3">
        <f t="shared" si="3"/>
        <v>3850.953113745134</v>
      </c>
      <c r="D776" s="3">
        <f t="shared" si="4"/>
        <v>-14061.573227422636</v>
      </c>
      <c r="E776" s="3">
        <f t="shared" si="5"/>
        <v>21763.479454912904</v>
      </c>
    </row>
    <row r="777" spans="1:5" hidden="1" x14ac:dyDescent="0.35">
      <c r="A777" s="1">
        <v>45905</v>
      </c>
      <c r="C777" s="3">
        <f t="shared" si="3"/>
        <v>2170.7335181579438</v>
      </c>
      <c r="D777" s="3">
        <f t="shared" si="4"/>
        <v>-15917.534752100539</v>
      </c>
      <c r="E777" s="3">
        <f t="shared" si="5"/>
        <v>20259.001788416426</v>
      </c>
    </row>
    <row r="778" spans="1:5" hidden="1" x14ac:dyDescent="0.35">
      <c r="A778" s="1">
        <v>45906</v>
      </c>
      <c r="C778" s="3">
        <f t="shared" si="3"/>
        <v>1291.5335274865267</v>
      </c>
      <c r="D778" s="3">
        <f t="shared" si="4"/>
        <v>-16971.961885613451</v>
      </c>
      <c r="E778" s="3">
        <f t="shared" si="5"/>
        <v>19555.028940586508</v>
      </c>
    </row>
    <row r="779" spans="1:5" hidden="1" x14ac:dyDescent="0.35">
      <c r="A779" s="1">
        <v>45907</v>
      </c>
      <c r="C779" s="3">
        <f t="shared" si="3"/>
        <v>434.5341382299971</v>
      </c>
      <c r="D779" s="3">
        <f t="shared" si="4"/>
        <v>-18003.69225121717</v>
      </c>
      <c r="E779" s="3">
        <f t="shared" si="5"/>
        <v>18872.760527677161</v>
      </c>
    </row>
    <row r="780" spans="1:5" hidden="1" x14ac:dyDescent="0.35">
      <c r="A780" s="1">
        <v>45908</v>
      </c>
      <c r="C780" s="3">
        <f t="shared" si="3"/>
        <v>3707.3522863853291</v>
      </c>
      <c r="D780" s="3">
        <f t="shared" si="4"/>
        <v>-14905.126792781153</v>
      </c>
      <c r="E780" s="3">
        <f t="shared" si="5"/>
        <v>22319.83136555181</v>
      </c>
    </row>
    <row r="781" spans="1:5" hidden="1" x14ac:dyDescent="0.35">
      <c r="A781" s="1">
        <v>45909</v>
      </c>
      <c r="C781" s="3">
        <f t="shared" si="3"/>
        <v>1054.2899584033842</v>
      </c>
      <c r="D781" s="3">
        <f t="shared" si="4"/>
        <v>-17731.98070288169</v>
      </c>
      <c r="E781" s="3">
        <f t="shared" si="5"/>
        <v>19840.560619688458</v>
      </c>
    </row>
    <row r="782" spans="1:5" hidden="1" x14ac:dyDescent="0.35">
      <c r="A782" s="1">
        <v>45910</v>
      </c>
      <c r="C782" s="3">
        <f t="shared" si="3"/>
        <v>2091.560626988381</v>
      </c>
      <c r="D782" s="3">
        <f t="shared" si="4"/>
        <v>-16868.057023467591</v>
      </c>
      <c r="E782" s="3">
        <f t="shared" si="5"/>
        <v>21051.178277444349</v>
      </c>
    </row>
    <row r="783" spans="1:5" hidden="1" x14ac:dyDescent="0.35">
      <c r="A783" s="1">
        <v>45911</v>
      </c>
      <c r="C783" s="3">
        <f t="shared" si="3"/>
        <v>998.28097251147028</v>
      </c>
      <c r="D783" s="3">
        <f t="shared" si="4"/>
        <v>-18134.254958532736</v>
      </c>
      <c r="E783" s="3">
        <f t="shared" si="5"/>
        <v>20130.816903555678</v>
      </c>
    </row>
    <row r="784" spans="1:5" hidden="1" x14ac:dyDescent="0.35">
      <c r="A784" s="1">
        <v>45912</v>
      </c>
      <c r="C784" s="3">
        <f t="shared" si="3"/>
        <v>657.15663762290342</v>
      </c>
      <c r="D784" s="3">
        <f t="shared" si="4"/>
        <v>-18647.88415139728</v>
      </c>
      <c r="E784" s="3">
        <f t="shared" si="5"/>
        <v>19962.197426643084</v>
      </c>
    </row>
    <row r="785" spans="1:5" hidden="1" x14ac:dyDescent="0.35">
      <c r="A785" s="1">
        <v>45913</v>
      </c>
      <c r="C785" s="3">
        <f t="shared" si="3"/>
        <v>-570.42455588249504</v>
      </c>
      <c r="D785" s="3">
        <f t="shared" si="4"/>
        <v>-20047.571497711826</v>
      </c>
      <c r="E785" s="3">
        <f t="shared" si="5"/>
        <v>18906.722385946836</v>
      </c>
    </row>
    <row r="786" spans="1:5" hidden="1" x14ac:dyDescent="0.35">
      <c r="A786" s="1">
        <v>45914</v>
      </c>
      <c r="C786" s="3">
        <f t="shared" si="3"/>
        <v>1354.9963032046751</v>
      </c>
      <c r="D786" s="3">
        <f t="shared" si="4"/>
        <v>-18293.872263187597</v>
      </c>
      <c r="E786" s="3">
        <f t="shared" si="5"/>
        <v>21003.86486959695</v>
      </c>
    </row>
    <row r="787" spans="1:5" hidden="1" x14ac:dyDescent="0.35">
      <c r="A787" s="1">
        <v>45915</v>
      </c>
      <c r="C787" s="3">
        <f t="shared" si="3"/>
        <v>2358.2408508413464</v>
      </c>
      <c r="D787" s="3">
        <f t="shared" si="4"/>
        <v>-17461.978474534371</v>
      </c>
      <c r="E787" s="3">
        <f t="shared" si="5"/>
        <v>22178.460176217064</v>
      </c>
    </row>
    <row r="788" spans="1:5" hidden="1" x14ac:dyDescent="0.35">
      <c r="A788" s="1">
        <v>45916</v>
      </c>
      <c r="C788" s="3">
        <f t="shared" si="3"/>
        <v>1417.6386685559244</v>
      </c>
      <c r="D788" s="3">
        <f t="shared" si="4"/>
        <v>-18573.573723306457</v>
      </c>
      <c r="E788" s="3">
        <f t="shared" si="5"/>
        <v>21408.851060418303</v>
      </c>
    </row>
    <row r="789" spans="1:5" hidden="1" x14ac:dyDescent="0.35">
      <c r="A789" s="1">
        <v>45917</v>
      </c>
      <c r="C789" s="3">
        <f t="shared" si="3"/>
        <v>3473.4957409451354</v>
      </c>
      <c r="D789" s="3">
        <f t="shared" si="4"/>
        <v>-17074.111037846851</v>
      </c>
      <c r="E789" s="3">
        <f t="shared" si="5"/>
        <v>24021.10251973712</v>
      </c>
    </row>
    <row r="790" spans="1:5" hidden="1" x14ac:dyDescent="0.35">
      <c r="A790" s="1">
        <v>45918</v>
      </c>
      <c r="C790" s="3">
        <f t="shared" si="3"/>
        <v>1519.8316964960272</v>
      </c>
      <c r="D790" s="3">
        <f t="shared" si="4"/>
        <v>-19194.919100540337</v>
      </c>
      <c r="E790" s="3">
        <f t="shared" si="5"/>
        <v>22234.582493532394</v>
      </c>
    </row>
    <row r="791" spans="1:5" hidden="1" x14ac:dyDescent="0.35">
      <c r="A791" s="1">
        <v>45919</v>
      </c>
      <c r="C791" s="3">
        <f t="shared" si="3"/>
        <v>-1050.9791358793962</v>
      </c>
      <c r="D791" s="3">
        <f t="shared" si="4"/>
        <v>-21932.610146501349</v>
      </c>
      <c r="E791" s="3">
        <f t="shared" si="5"/>
        <v>19830.651874742558</v>
      </c>
    </row>
    <row r="792" spans="1:5" hidden="1" x14ac:dyDescent="0.35">
      <c r="A792" s="1">
        <v>45920</v>
      </c>
      <c r="C792" s="3">
        <f t="shared" si="3"/>
        <v>1464.7398385053248</v>
      </c>
      <c r="D792" s="3">
        <f t="shared" si="4"/>
        <v>-19583.517309777319</v>
      </c>
      <c r="E792" s="3">
        <f t="shared" si="5"/>
        <v>22512.996986787966</v>
      </c>
    </row>
    <row r="793" spans="1:5" hidden="1" x14ac:dyDescent="0.35">
      <c r="A793" s="1">
        <v>45921</v>
      </c>
      <c r="C793" s="3">
        <f t="shared" si="3"/>
        <v>170.11314234492238</v>
      </c>
      <c r="D793" s="3">
        <f t="shared" si="4"/>
        <v>-21044.525481391567</v>
      </c>
      <c r="E793" s="3">
        <f t="shared" si="5"/>
        <v>21384.751766081412</v>
      </c>
    </row>
    <row r="794" spans="1:5" hidden="1" x14ac:dyDescent="0.35">
      <c r="A794" s="1">
        <v>45922</v>
      </c>
      <c r="C794" s="3">
        <f t="shared" si="3"/>
        <v>467.43794848683797</v>
      </c>
      <c r="D794" s="3">
        <f t="shared" si="4"/>
        <v>-20913.346600572509</v>
      </c>
      <c r="E794" s="3">
        <f t="shared" si="5"/>
        <v>21848.222497546183</v>
      </c>
    </row>
    <row r="795" spans="1:5" hidden="1" x14ac:dyDescent="0.35">
      <c r="A795" s="1">
        <v>45923</v>
      </c>
      <c r="C795" s="3">
        <f t="shared" si="3"/>
        <v>2748.501367863596</v>
      </c>
      <c r="D795" s="3">
        <f t="shared" si="4"/>
        <v>-18798.202379483555</v>
      </c>
      <c r="E795" s="3">
        <f t="shared" si="5"/>
        <v>24295.205115210745</v>
      </c>
    </row>
    <row r="796" spans="1:5" hidden="1" x14ac:dyDescent="0.35">
      <c r="A796" s="1">
        <v>45924</v>
      </c>
      <c r="C796" s="3">
        <f t="shared" si="3"/>
        <v>1062.1731853299968</v>
      </c>
      <c r="D796" s="3">
        <f t="shared" si="4"/>
        <v>-20650.231579382347</v>
      </c>
      <c r="E796" s="3">
        <f t="shared" si="5"/>
        <v>22774.577950042341</v>
      </c>
    </row>
    <row r="797" spans="1:5" hidden="1" x14ac:dyDescent="0.35">
      <c r="A797" s="1">
        <v>45925</v>
      </c>
      <c r="C797" s="3">
        <f t="shared" ref="C797:C828" si="6">_xlfn.FORECAST.ETS(A797,$B$2:$B$732,$A$2:$A$732,1,1)</f>
        <v>840.289694438992</v>
      </c>
      <c r="D797" s="3">
        <f t="shared" ref="D797:D828" si="7">C797-_xlfn.FORECAST.ETS.CONFINT(A797,$B$2:$B$732,$A$2:$A$732,0.95,1,1)</f>
        <v>-21037.6061872174</v>
      </c>
      <c r="E797" s="3">
        <f t="shared" ref="E797:E828" si="8">C797+_xlfn.FORECAST.ETS.CONFINT(A797,$B$2:$B$732,$A$2:$A$732,0.95,1,1)</f>
        <v>22718.18557609538</v>
      </c>
    </row>
    <row r="798" spans="1:5" hidden="1" x14ac:dyDescent="0.35">
      <c r="A798" s="1">
        <v>45926</v>
      </c>
      <c r="C798" s="3">
        <f t="shared" si="6"/>
        <v>1462.2038340585937</v>
      </c>
      <c r="D798" s="3">
        <f t="shared" si="7"/>
        <v>-20580.98128979887</v>
      </c>
      <c r="E798" s="3">
        <f t="shared" si="8"/>
        <v>23505.388957916057</v>
      </c>
    </row>
    <row r="799" spans="1:5" hidden="1" x14ac:dyDescent="0.35">
      <c r="A799" s="1">
        <v>45927</v>
      </c>
      <c r="C799" s="3">
        <f t="shared" si="6"/>
        <v>411.78532475447457</v>
      </c>
      <c r="D799" s="3">
        <f t="shared" si="7"/>
        <v>-21796.494947654912</v>
      </c>
      <c r="E799" s="3">
        <f t="shared" si="8"/>
        <v>22620.065597163859</v>
      </c>
    </row>
    <row r="800" spans="1:5" hidden="1" x14ac:dyDescent="0.35">
      <c r="A800" s="1">
        <v>45928</v>
      </c>
      <c r="C800" s="3">
        <f t="shared" si="6"/>
        <v>-846.10013344812569</v>
      </c>
      <c r="D800" s="3">
        <f t="shared" si="7"/>
        <v>-23219.289006993451</v>
      </c>
      <c r="E800" s="3">
        <f t="shared" si="8"/>
        <v>21527.088740097199</v>
      </c>
    </row>
    <row r="801" spans="1:5" hidden="1" x14ac:dyDescent="0.35">
      <c r="A801" s="1">
        <v>45929</v>
      </c>
      <c r="C801" s="3">
        <f t="shared" si="6"/>
        <v>712.0718363298422</v>
      </c>
      <c r="D801" s="3">
        <f t="shared" si="7"/>
        <v>-21825.846411547631</v>
      </c>
      <c r="E801" s="3">
        <f t="shared" si="8"/>
        <v>23249.990084207318</v>
      </c>
    </row>
    <row r="802" spans="1:5" hidden="1" x14ac:dyDescent="0.35">
      <c r="A802" s="1">
        <v>45930</v>
      </c>
      <c r="C802" s="3">
        <f t="shared" si="6"/>
        <v>443.34206376264251</v>
      </c>
      <c r="D802" s="3">
        <f t="shared" si="7"/>
        <v>-22259.13343541896</v>
      </c>
      <c r="E802" s="3">
        <f t="shared" si="8"/>
        <v>23145.817562944248</v>
      </c>
    </row>
    <row r="803" spans="1:5" hidden="1" x14ac:dyDescent="0.35">
      <c r="A803" s="1">
        <v>45931</v>
      </c>
      <c r="C803" s="3">
        <f t="shared" si="6"/>
        <v>694.11272351048001</v>
      </c>
      <c r="D803" s="3">
        <f t="shared" si="7"/>
        <v>-22172.754799242917</v>
      </c>
      <c r="E803" s="3">
        <f t="shared" si="8"/>
        <v>23560.980246263876</v>
      </c>
    </row>
    <row r="804" spans="1:5" hidden="1" x14ac:dyDescent="0.35">
      <c r="A804" s="1">
        <v>45932</v>
      </c>
      <c r="C804" s="3">
        <f t="shared" si="6"/>
        <v>3812.2501116594594</v>
      </c>
      <c r="D804" s="3">
        <f t="shared" si="7"/>
        <v>-19218.850901702273</v>
      </c>
      <c r="E804" s="3">
        <f t="shared" si="8"/>
        <v>26843.351125021189</v>
      </c>
    </row>
    <row r="805" spans="1:5" hidden="1" x14ac:dyDescent="0.35">
      <c r="A805" s="1">
        <v>45933</v>
      </c>
      <c r="C805" s="3">
        <f t="shared" si="6"/>
        <v>2132.0305160722696</v>
      </c>
      <c r="D805" s="3">
        <f t="shared" si="7"/>
        <v>-21063.151956749931</v>
      </c>
      <c r="E805" s="3">
        <f t="shared" si="8"/>
        <v>25327.212988894473</v>
      </c>
    </row>
    <row r="806" spans="1:5" hidden="1" x14ac:dyDescent="0.35">
      <c r="A806" s="1">
        <v>45934</v>
      </c>
      <c r="C806" s="3">
        <f t="shared" si="6"/>
        <v>1252.8305254008524</v>
      </c>
      <c r="D806" s="3">
        <f t="shared" si="7"/>
        <v>-22106.287691811853</v>
      </c>
      <c r="E806" s="3">
        <f t="shared" si="8"/>
        <v>24611.948742613557</v>
      </c>
    </row>
    <row r="807" spans="1:5" hidden="1" x14ac:dyDescent="0.35">
      <c r="A807" s="1">
        <v>45935</v>
      </c>
      <c r="C807" s="3">
        <f t="shared" si="6"/>
        <v>395.83113614432273</v>
      </c>
      <c r="D807" s="3">
        <f t="shared" si="7"/>
        <v>-23127.083247607025</v>
      </c>
      <c r="E807" s="3">
        <f t="shared" si="8"/>
        <v>23918.74551989567</v>
      </c>
    </row>
    <row r="808" spans="1:5" hidden="1" x14ac:dyDescent="0.35">
      <c r="A808" s="1">
        <v>45936</v>
      </c>
      <c r="C808" s="3">
        <f t="shared" si="6"/>
        <v>3668.6492842996549</v>
      </c>
      <c r="D808" s="3">
        <f t="shared" si="7"/>
        <v>-20017.92765305614</v>
      </c>
      <c r="E808" s="3">
        <f t="shared" si="8"/>
        <v>27355.226221655452</v>
      </c>
    </row>
    <row r="809" spans="1:5" hidden="1" x14ac:dyDescent="0.35">
      <c r="A809" s="1">
        <v>45937</v>
      </c>
      <c r="C809" s="3">
        <f t="shared" si="6"/>
        <v>1015.5869563177101</v>
      </c>
      <c r="D809" s="3">
        <f t="shared" si="7"/>
        <v>-22834.524720583955</v>
      </c>
      <c r="E809" s="3">
        <f t="shared" si="8"/>
        <v>24865.698633219377</v>
      </c>
    </row>
    <row r="810" spans="1:5" hidden="1" x14ac:dyDescent="0.35">
      <c r="A810" s="1">
        <v>45938</v>
      </c>
      <c r="C810" s="3">
        <f t="shared" si="6"/>
        <v>2052.8576249027069</v>
      </c>
      <c r="D810" s="3">
        <f t="shared" si="7"/>
        <v>-21960.666616293896</v>
      </c>
      <c r="E810" s="3">
        <f t="shared" si="8"/>
        <v>26066.381866099309</v>
      </c>
    </row>
    <row r="811" spans="1:5" hidden="1" x14ac:dyDescent="0.35">
      <c r="A811" s="1">
        <v>45939</v>
      </c>
      <c r="C811" s="3">
        <f t="shared" si="6"/>
        <v>959.57797042579591</v>
      </c>
      <c r="D811" s="3">
        <f t="shared" si="7"/>
        <v>-23217.242144259832</v>
      </c>
      <c r="E811" s="3">
        <f t="shared" si="8"/>
        <v>25136.398085111421</v>
      </c>
    </row>
    <row r="812" spans="1:5" hidden="1" x14ac:dyDescent="0.35">
      <c r="A812" s="1">
        <v>45940</v>
      </c>
      <c r="C812" s="3">
        <f t="shared" si="6"/>
        <v>618.45363553722927</v>
      </c>
      <c r="D812" s="3">
        <f t="shared" si="7"/>
        <v>-23721.550997364902</v>
      </c>
      <c r="E812" s="3">
        <f t="shared" si="8"/>
        <v>24958.458268439361</v>
      </c>
    </row>
    <row r="813" spans="1:5" hidden="1" x14ac:dyDescent="0.35">
      <c r="A813" s="1">
        <v>45941</v>
      </c>
      <c r="C813" s="3">
        <f t="shared" si="6"/>
        <v>-609.12755796816919</v>
      </c>
      <c r="D813" s="3">
        <f t="shared" si="7"/>
        <v>-25112.210545646471</v>
      </c>
      <c r="E813" s="3">
        <f t="shared" si="8"/>
        <v>23893.955429710135</v>
      </c>
    </row>
    <row r="814" spans="1:5" hidden="1" x14ac:dyDescent="0.35">
      <c r="A814" s="1">
        <v>45942</v>
      </c>
      <c r="C814" s="3">
        <f t="shared" si="6"/>
        <v>1316.2933011190009</v>
      </c>
      <c r="D814" s="3">
        <f t="shared" si="7"/>
        <v>-23349.766931008675</v>
      </c>
      <c r="E814" s="3">
        <f t="shared" si="8"/>
        <v>25982.353533246674</v>
      </c>
    </row>
    <row r="815" spans="1:5" hidden="1" x14ac:dyDescent="0.35">
      <c r="A815" s="1">
        <v>45943</v>
      </c>
      <c r="C815" s="3">
        <f t="shared" si="6"/>
        <v>2319.5378487556723</v>
      </c>
      <c r="D815" s="3">
        <f t="shared" si="7"/>
        <v>-22509.403436656041</v>
      </c>
      <c r="E815" s="3">
        <f t="shared" si="8"/>
        <v>27148.479134167388</v>
      </c>
    </row>
    <row r="816" spans="1:5" hidden="1" x14ac:dyDescent="0.35">
      <c r="A816" s="1">
        <v>45944</v>
      </c>
      <c r="C816" s="3">
        <f t="shared" si="6"/>
        <v>1378.93566647025</v>
      </c>
      <c r="D816" s="3">
        <f t="shared" si="7"/>
        <v>-23612.795270831604</v>
      </c>
      <c r="E816" s="3">
        <f t="shared" si="8"/>
        <v>26370.666603772104</v>
      </c>
    </row>
    <row r="817" spans="1:5" hidden="1" x14ac:dyDescent="0.35">
      <c r="A817" s="1">
        <v>45945</v>
      </c>
      <c r="C817" s="3">
        <f t="shared" si="6"/>
        <v>3434.7927388594617</v>
      </c>
      <c r="D817" s="3">
        <f t="shared" si="7"/>
        <v>-22049.847541786487</v>
      </c>
      <c r="E817" s="3">
        <f t="shared" si="8"/>
        <v>28919.43301950541</v>
      </c>
    </row>
    <row r="818" spans="1:5" hidden="1" x14ac:dyDescent="0.35">
      <c r="A818" s="1">
        <v>45946</v>
      </c>
      <c r="C818" s="3">
        <f t="shared" si="6"/>
        <v>1481.1286944103531</v>
      </c>
      <c r="D818" s="3">
        <f t="shared" si="7"/>
        <v>-24164.038494521275</v>
      </c>
      <c r="E818" s="3">
        <f t="shared" si="8"/>
        <v>27126.29588334198</v>
      </c>
    </row>
    <row r="819" spans="1:5" hidden="1" x14ac:dyDescent="0.35">
      <c r="A819" s="1">
        <v>45947</v>
      </c>
      <c r="C819" s="3">
        <f t="shared" si="6"/>
        <v>-1089.6821379650703</v>
      </c>
      <c r="D819" s="3">
        <f t="shared" si="7"/>
        <v>-26895.325671507439</v>
      </c>
      <c r="E819" s="3">
        <f t="shared" si="8"/>
        <v>24715.961395577295</v>
      </c>
    </row>
    <row r="820" spans="1:5" hidden="1" x14ac:dyDescent="0.35">
      <c r="A820" s="1">
        <v>45948</v>
      </c>
      <c r="C820" s="3">
        <f t="shared" si="6"/>
        <v>1426.0368364196506</v>
      </c>
      <c r="D820" s="3">
        <f t="shared" si="7"/>
        <v>-24540.036215409964</v>
      </c>
      <c r="E820" s="3">
        <f t="shared" si="8"/>
        <v>27392.109888249266</v>
      </c>
    </row>
    <row r="821" spans="1:5" hidden="1" x14ac:dyDescent="0.35">
      <c r="A821" s="1">
        <v>45949</v>
      </c>
      <c r="C821" s="3">
        <f t="shared" si="6"/>
        <v>131.41014025924801</v>
      </c>
      <c r="D821" s="3">
        <f t="shared" si="7"/>
        <v>-25995.049248823012</v>
      </c>
      <c r="E821" s="3">
        <f t="shared" si="8"/>
        <v>26257.869529341511</v>
      </c>
    </row>
    <row r="822" spans="1:5" hidden="1" x14ac:dyDescent="0.35">
      <c r="A822" s="1">
        <v>45950</v>
      </c>
      <c r="C822" s="3">
        <f t="shared" si="6"/>
        <v>428.73494640116382</v>
      </c>
      <c r="D822" s="3">
        <f t="shared" si="7"/>
        <v>-25858.071154997291</v>
      </c>
      <c r="E822" s="3">
        <f t="shared" si="8"/>
        <v>26715.541047799619</v>
      </c>
    </row>
    <row r="823" spans="1:5" hidden="1" x14ac:dyDescent="0.35">
      <c r="A823" s="1">
        <v>45951</v>
      </c>
      <c r="C823" s="3">
        <f t="shared" si="6"/>
        <v>2709.7983657779223</v>
      </c>
      <c r="D823" s="3">
        <f t="shared" si="7"/>
        <v>-23737.318292667838</v>
      </c>
      <c r="E823" s="3">
        <f t="shared" si="8"/>
        <v>29156.915024223683</v>
      </c>
    </row>
    <row r="824" spans="1:5" hidden="1" x14ac:dyDescent="0.35">
      <c r="A824" s="1">
        <v>45952</v>
      </c>
      <c r="C824" s="3">
        <f t="shared" si="6"/>
        <v>1023.4701832443227</v>
      </c>
      <c r="D824" s="3">
        <f t="shared" si="7"/>
        <v>-25583.924262870649</v>
      </c>
      <c r="E824" s="3">
        <f t="shared" si="8"/>
        <v>27630.864629359297</v>
      </c>
    </row>
    <row r="825" spans="1:5" hidden="1" x14ac:dyDescent="0.35">
      <c r="A825" s="1">
        <v>45953</v>
      </c>
      <c r="C825" s="3">
        <f t="shared" si="6"/>
        <v>801.58669235331786</v>
      </c>
      <c r="D825" s="3">
        <f t="shared" si="7"/>
        <v>-25966.056076719098</v>
      </c>
      <c r="E825" s="3">
        <f t="shared" si="8"/>
        <v>27569.229461425733</v>
      </c>
    </row>
    <row r="826" spans="1:5" hidden="1" x14ac:dyDescent="0.35">
      <c r="A826" s="1">
        <v>45954</v>
      </c>
      <c r="C826" s="3">
        <f t="shared" si="6"/>
        <v>1423.5008319729195</v>
      </c>
      <c r="D826" s="3">
        <f t="shared" si="7"/>
        <v>-25504.364021242582</v>
      </c>
      <c r="E826" s="3">
        <f t="shared" si="8"/>
        <v>28351.365685188423</v>
      </c>
    </row>
    <row r="827" spans="1:5" hidden="1" x14ac:dyDescent="0.35">
      <c r="A827" s="1">
        <v>45955</v>
      </c>
      <c r="C827" s="3">
        <f t="shared" si="6"/>
        <v>373.08232266880043</v>
      </c>
      <c r="D827" s="3">
        <f t="shared" si="7"/>
        <v>-26714.981525367031</v>
      </c>
      <c r="E827" s="3">
        <f t="shared" si="8"/>
        <v>27461.146170704633</v>
      </c>
    </row>
    <row r="828" spans="1:5" hidden="1" x14ac:dyDescent="0.35">
      <c r="A828" s="1">
        <v>45956</v>
      </c>
      <c r="C828" s="3">
        <f t="shared" si="6"/>
        <v>-884.80313553379983</v>
      </c>
      <c r="D828" s="3">
        <f t="shared" si="7"/>
        <v>-28133.045964427922</v>
      </c>
      <c r="E828" s="3">
        <f t="shared" si="8"/>
        <v>26363.439693360324</v>
      </c>
    </row>
    <row r="829" spans="1:5" hidden="1" x14ac:dyDescent="0.35">
      <c r="A829" s="1">
        <v>45957</v>
      </c>
      <c r="C829" s="3">
        <f t="shared" ref="C829:C860" si="9">_xlfn.FORECAST.ETS(A829,$B$2:$B$732,$A$2:$A$732,1,1)</f>
        <v>673.36883424416806</v>
      </c>
      <c r="D829" s="3">
        <f t="shared" ref="D829:D860" si="10">C829-_xlfn.FORECAST.ETS.CONFINT(A829,$B$2:$B$732,$A$2:$A$732,0.95,1,1)</f>
        <v>-26735.035964966715</v>
      </c>
      <c r="E829" s="3">
        <f t="shared" ref="E829:E860" si="11">C829+_xlfn.FORECAST.ETS.CONFINT(A829,$B$2:$B$732,$A$2:$A$732,0.95,1,1)</f>
        <v>28081.77363345505</v>
      </c>
    </row>
    <row r="830" spans="1:5" hidden="1" x14ac:dyDescent="0.35">
      <c r="A830" s="1">
        <v>45958</v>
      </c>
      <c r="C830" s="3">
        <f t="shared" si="9"/>
        <v>404.63906167696837</v>
      </c>
      <c r="D830" s="3">
        <f t="shared" si="10"/>
        <v>-27163.913630899548</v>
      </c>
      <c r="E830" s="3">
        <f t="shared" si="11"/>
        <v>27973.191754253483</v>
      </c>
    </row>
    <row r="831" spans="1:5" hidden="1" x14ac:dyDescent="0.35">
      <c r="A831" s="1">
        <v>45959</v>
      </c>
      <c r="C831" s="3">
        <f t="shared" si="9"/>
        <v>655.40972142480587</v>
      </c>
      <c r="D831" s="3">
        <f t="shared" si="10"/>
        <v>-27073.27965335975</v>
      </c>
      <c r="E831" s="3">
        <f t="shared" si="11"/>
        <v>28384.099096209364</v>
      </c>
    </row>
    <row r="832" spans="1:5" hidden="1" x14ac:dyDescent="0.35">
      <c r="A832" s="1">
        <v>45960</v>
      </c>
      <c r="C832" s="3">
        <f t="shared" si="9"/>
        <v>3773.5471095737857</v>
      </c>
      <c r="D832" s="3">
        <f t="shared" si="10"/>
        <v>-24115.270536217453</v>
      </c>
      <c r="E832" s="3">
        <f t="shared" si="11"/>
        <v>31662.364755365023</v>
      </c>
    </row>
    <row r="833" spans="1:5" hidden="1" x14ac:dyDescent="0.35">
      <c r="A833" s="1">
        <v>45961</v>
      </c>
      <c r="C833" s="3">
        <f t="shared" si="9"/>
        <v>2093.3275139865955</v>
      </c>
      <c r="D833" s="3">
        <f t="shared" si="10"/>
        <v>-25955.612727618114</v>
      </c>
      <c r="E833" s="3">
        <f t="shared" si="11"/>
        <v>30142.267755591303</v>
      </c>
    </row>
    <row r="834" spans="1:5" hidden="1" x14ac:dyDescent="0.35">
      <c r="A834" s="1">
        <v>45962</v>
      </c>
      <c r="C834" s="3">
        <f t="shared" si="9"/>
        <v>1214.1275233151782</v>
      </c>
      <c r="D834" s="3">
        <f t="shared" si="10"/>
        <v>-26994.932312791734</v>
      </c>
      <c r="E834" s="3">
        <f t="shared" si="11"/>
        <v>29423.187359422092</v>
      </c>
    </row>
    <row r="835" spans="1:5" hidden="1" x14ac:dyDescent="0.35">
      <c r="A835" s="1">
        <v>45963</v>
      </c>
      <c r="C835" s="3">
        <f t="shared" si="9"/>
        <v>357.12813405864858</v>
      </c>
      <c r="D835" s="3">
        <f t="shared" si="10"/>
        <v>-28012.050908752331</v>
      </c>
      <c r="E835" s="3">
        <f t="shared" si="11"/>
        <v>28726.307176869632</v>
      </c>
    </row>
    <row r="836" spans="1:5" hidden="1" x14ac:dyDescent="0.35">
      <c r="A836" s="1">
        <v>45964</v>
      </c>
      <c r="C836" s="3">
        <f t="shared" si="9"/>
        <v>3629.9462822139808</v>
      </c>
      <c r="D836" s="3">
        <f t="shared" si="10"/>
        <v>-24899.35413434291</v>
      </c>
      <c r="E836" s="3">
        <f t="shared" si="11"/>
        <v>32159.246698770869</v>
      </c>
    </row>
    <row r="837" spans="1:5" hidden="1" x14ac:dyDescent="0.35">
      <c r="A837" s="1">
        <v>45965</v>
      </c>
      <c r="C837" s="3">
        <f t="shared" si="9"/>
        <v>976.88395423203599</v>
      </c>
      <c r="D837" s="3">
        <f t="shared" si="10"/>
        <v>-27712.54250091597</v>
      </c>
      <c r="E837" s="3">
        <f t="shared" si="11"/>
        <v>29666.310409380039</v>
      </c>
    </row>
    <row r="838" spans="1:5" hidden="1" x14ac:dyDescent="0.35">
      <c r="A838" s="1">
        <v>45966</v>
      </c>
      <c r="C838" s="3">
        <f t="shared" si="9"/>
        <v>2014.1546228170328</v>
      </c>
      <c r="D838" s="3">
        <f t="shared" si="10"/>
        <v>-26835.404978113955</v>
      </c>
      <c r="E838" s="3">
        <f t="shared" si="11"/>
        <v>30863.714223748022</v>
      </c>
    </row>
    <row r="839" spans="1:5" hidden="1" x14ac:dyDescent="0.35">
      <c r="A839" s="1">
        <v>45967</v>
      </c>
      <c r="C839" s="3">
        <f t="shared" si="9"/>
        <v>920.87496834012177</v>
      </c>
      <c r="D839" s="3">
        <f t="shared" si="10"/>
        <v>-28088.827273981275</v>
      </c>
      <c r="E839" s="3">
        <f t="shared" si="11"/>
        <v>29930.577210661519</v>
      </c>
    </row>
    <row r="840" spans="1:5" hidden="1" x14ac:dyDescent="0.35">
      <c r="A840" s="1">
        <v>45968</v>
      </c>
      <c r="C840" s="3">
        <f t="shared" si="9"/>
        <v>579.7506334515549</v>
      </c>
      <c r="D840" s="3">
        <f t="shared" si="10"/>
        <v>-28590.106081825659</v>
      </c>
      <c r="E840" s="3">
        <f t="shared" si="11"/>
        <v>29749.607348728772</v>
      </c>
    </row>
    <row r="841" spans="1:5" hidden="1" x14ac:dyDescent="0.35">
      <c r="A841" s="1">
        <v>45969</v>
      </c>
      <c r="C841" s="3">
        <f t="shared" si="9"/>
        <v>-647.83056005384333</v>
      </c>
      <c r="D841" s="3">
        <f t="shared" si="10"/>
        <v>-29977.855864776349</v>
      </c>
      <c r="E841" s="3">
        <f t="shared" si="11"/>
        <v>28682.194744668661</v>
      </c>
    </row>
    <row r="842" spans="1:5" hidden="1" x14ac:dyDescent="0.35">
      <c r="A842" s="1">
        <v>45970</v>
      </c>
      <c r="C842" s="3">
        <f t="shared" si="9"/>
        <v>1277.5902990333268</v>
      </c>
      <c r="D842" s="3">
        <f t="shared" si="10"/>
        <v>-28212.61994688979</v>
      </c>
      <c r="E842" s="3">
        <f t="shared" si="11"/>
        <v>30767.800544956444</v>
      </c>
    </row>
    <row r="843" spans="1:5" hidden="1" x14ac:dyDescent="0.35">
      <c r="A843" s="1">
        <v>45971</v>
      </c>
      <c r="C843" s="3">
        <f t="shared" si="9"/>
        <v>2280.8348466699981</v>
      </c>
      <c r="D843" s="3">
        <f t="shared" si="10"/>
        <v>-27369.578879146491</v>
      </c>
      <c r="E843" s="3">
        <f t="shared" si="11"/>
        <v>31931.248572486486</v>
      </c>
    </row>
    <row r="844" spans="1:5" hidden="1" x14ac:dyDescent="0.35">
      <c r="A844" s="1">
        <v>45972</v>
      </c>
      <c r="C844" s="3">
        <f t="shared" si="9"/>
        <v>1340.2326643845759</v>
      </c>
      <c r="D844" s="3">
        <f t="shared" si="10"/>
        <v>-28470.405219912711</v>
      </c>
      <c r="E844" s="3">
        <f t="shared" si="11"/>
        <v>31150.870548681865</v>
      </c>
    </row>
    <row r="845" spans="1:5" hidden="1" x14ac:dyDescent="0.35">
      <c r="A845" s="1">
        <v>45973</v>
      </c>
      <c r="C845" s="3">
        <f t="shared" si="9"/>
        <v>3396.0897367737871</v>
      </c>
      <c r="D845" s="3">
        <f t="shared" si="10"/>
        <v>-26869.288264884963</v>
      </c>
      <c r="E845" s="3">
        <f t="shared" si="11"/>
        <v>33661.467738432541</v>
      </c>
    </row>
    <row r="846" spans="1:5" hidden="1" x14ac:dyDescent="0.35">
      <c r="A846" s="1">
        <v>45974</v>
      </c>
      <c r="C846" s="3">
        <f t="shared" si="9"/>
        <v>1442.4256923246789</v>
      </c>
      <c r="D846" s="3">
        <f t="shared" si="10"/>
        <v>-28981.67273532848</v>
      </c>
      <c r="E846" s="3">
        <f t="shared" si="11"/>
        <v>31866.524119977839</v>
      </c>
    </row>
    <row r="847" spans="1:5" hidden="1" x14ac:dyDescent="0.35">
      <c r="A847" s="1">
        <v>45975</v>
      </c>
      <c r="C847" s="3">
        <f t="shared" si="9"/>
        <v>-1128.3851400507444</v>
      </c>
      <c r="D847" s="3">
        <f t="shared" si="10"/>
        <v>-31711.246747331941</v>
      </c>
      <c r="E847" s="3">
        <f t="shared" si="11"/>
        <v>29454.476467230452</v>
      </c>
    </row>
    <row r="848" spans="1:5" hidden="1" x14ac:dyDescent="0.35">
      <c r="A848" s="1">
        <v>45976</v>
      </c>
      <c r="C848" s="3">
        <f t="shared" si="9"/>
        <v>1387.3338343339765</v>
      </c>
      <c r="D848" s="3">
        <f t="shared" si="10"/>
        <v>-29354.335408732084</v>
      </c>
      <c r="E848" s="3">
        <f t="shared" si="11"/>
        <v>32129.003077400041</v>
      </c>
    </row>
    <row r="849" spans="1:5" hidden="1" x14ac:dyDescent="0.35">
      <c r="A849" s="1">
        <v>45977</v>
      </c>
      <c r="C849" s="3">
        <f t="shared" si="9"/>
        <v>92.707138173573867</v>
      </c>
      <c r="D849" s="3">
        <f t="shared" si="10"/>
        <v>-30807.815864171076</v>
      </c>
      <c r="E849" s="3">
        <f t="shared" si="11"/>
        <v>30993.230140518222</v>
      </c>
    </row>
    <row r="850" spans="1:5" hidden="1" x14ac:dyDescent="0.35">
      <c r="A850" s="1">
        <v>45978</v>
      </c>
      <c r="C850" s="3">
        <f t="shared" si="9"/>
        <v>390.03194431548945</v>
      </c>
      <c r="D850" s="3">
        <f t="shared" si="10"/>
        <v>-30669.392573827296</v>
      </c>
      <c r="E850" s="3">
        <f t="shared" si="11"/>
        <v>31449.456462458271</v>
      </c>
    </row>
    <row r="851" spans="1:5" hidden="1" x14ac:dyDescent="0.35">
      <c r="A851" s="1">
        <v>45979</v>
      </c>
      <c r="C851" s="3">
        <f t="shared" si="9"/>
        <v>2671.0953636922477</v>
      </c>
      <c r="D851" s="3">
        <f t="shared" si="10"/>
        <v>-28547.280026331384</v>
      </c>
      <c r="E851" s="3">
        <f t="shared" si="11"/>
        <v>33889.470753715876</v>
      </c>
    </row>
    <row r="852" spans="1:5" hidden="1" x14ac:dyDescent="0.35">
      <c r="A852" s="1">
        <v>45980</v>
      </c>
      <c r="C852" s="3">
        <f t="shared" si="9"/>
        <v>984.76718115864855</v>
      </c>
      <c r="D852" s="3">
        <f t="shared" si="10"/>
        <v>-30392.610003751615</v>
      </c>
      <c r="E852" s="3">
        <f t="shared" si="11"/>
        <v>32362.144366068911</v>
      </c>
    </row>
    <row r="853" spans="1:5" hidden="1" x14ac:dyDescent="0.35">
      <c r="A853" s="1">
        <v>45981</v>
      </c>
      <c r="C853" s="3">
        <f t="shared" si="9"/>
        <v>762.88369026764371</v>
      </c>
      <c r="D853" s="3">
        <f t="shared" si="10"/>
        <v>-30773.54774761567</v>
      </c>
      <c r="E853" s="3">
        <f t="shared" si="11"/>
        <v>32299.31512815096</v>
      </c>
    </row>
    <row r="854" spans="1:5" hidden="1" x14ac:dyDescent="0.35">
      <c r="A854" s="1">
        <v>45982</v>
      </c>
      <c r="C854" s="3">
        <f t="shared" si="9"/>
        <v>1384.7978298872451</v>
      </c>
      <c r="D854" s="3">
        <f t="shared" si="10"/>
        <v>-30310.741823067427</v>
      </c>
      <c r="E854" s="3">
        <f t="shared" si="11"/>
        <v>33080.337482841918</v>
      </c>
    </row>
    <row r="855" spans="1:5" hidden="1" x14ac:dyDescent="0.35">
      <c r="A855" s="1">
        <v>45983</v>
      </c>
      <c r="C855" s="3">
        <f t="shared" si="9"/>
        <v>334.37932058312606</v>
      </c>
      <c r="D855" s="3">
        <f t="shared" si="10"/>
        <v>-31520.323983234844</v>
      </c>
      <c r="E855" s="3">
        <f t="shared" si="11"/>
        <v>32189.082624401093</v>
      </c>
    </row>
    <row r="856" spans="1:5" hidden="1" x14ac:dyDescent="0.35">
      <c r="A856" s="1">
        <v>45984</v>
      </c>
      <c r="C856" s="3">
        <f t="shared" si="9"/>
        <v>-923.50613761947398</v>
      </c>
      <c r="D856" s="3">
        <f t="shared" si="10"/>
        <v>-32937.429972196325</v>
      </c>
      <c r="E856" s="3">
        <f t="shared" si="11"/>
        <v>31090.417696957378</v>
      </c>
    </row>
    <row r="857" spans="1:5" hidden="1" x14ac:dyDescent="0.35">
      <c r="A857" s="1">
        <v>45985</v>
      </c>
      <c r="C857" s="3">
        <f t="shared" si="9"/>
        <v>634.66583215849391</v>
      </c>
      <c r="D857" s="3">
        <f t="shared" si="10"/>
        <v>-31538.536828293203</v>
      </c>
      <c r="E857" s="3">
        <f t="shared" si="11"/>
        <v>32807.868492610192</v>
      </c>
    </row>
    <row r="858" spans="1:5" hidden="1" x14ac:dyDescent="0.35">
      <c r="A858" s="1">
        <v>45986</v>
      </c>
      <c r="C858" s="3">
        <f t="shared" si="9"/>
        <v>365.93605959129422</v>
      </c>
      <c r="D858" s="3">
        <f t="shared" si="10"/>
        <v>-31966.605108874261</v>
      </c>
      <c r="E858" s="3">
        <f t="shared" si="11"/>
        <v>32698.47722805685</v>
      </c>
    </row>
    <row r="859" spans="1:5" hidden="1" x14ac:dyDescent="0.35">
      <c r="A859" s="1">
        <v>45987</v>
      </c>
      <c r="C859" s="3">
        <f t="shared" si="9"/>
        <v>616.7067193391315</v>
      </c>
      <c r="D859" s="3">
        <f t="shared" si="10"/>
        <v>-31875.233998771004</v>
      </c>
      <c r="E859" s="3">
        <f t="shared" si="11"/>
        <v>33108.647437449268</v>
      </c>
    </row>
    <row r="860" spans="1:5" hidden="1" x14ac:dyDescent="0.35">
      <c r="A860" s="1">
        <v>45988</v>
      </c>
      <c r="C860" s="3">
        <f t="shared" si="9"/>
        <v>3734.8441074881111</v>
      </c>
      <c r="D860" s="3">
        <f t="shared" si="10"/>
        <v>-28916.558534504333</v>
      </c>
      <c r="E860" s="3">
        <f t="shared" si="11"/>
        <v>36386.246749480553</v>
      </c>
    </row>
    <row r="861" spans="1:5" hidden="1" x14ac:dyDescent="0.35">
      <c r="A861" s="1">
        <v>45989</v>
      </c>
      <c r="C861" s="3">
        <f t="shared" ref="C861:C892" si="12">_xlfn.FORECAST.ETS(A861,$B$2:$B$732,$A$2:$A$732,1,1)</f>
        <v>2054.6245119009213</v>
      </c>
      <c r="D861" s="3">
        <f t="shared" ref="D861:D892" si="13">C861-_xlfn.FORECAST.ETS.CONFINT(A861,$B$2:$B$732,$A$2:$A$732,0.95,1,1)</f>
        <v>-30756.30373456184</v>
      </c>
      <c r="E861" s="3">
        <f t="shared" ref="E861:E892" si="14">C861+_xlfn.FORECAST.ETS.CONFINT(A861,$B$2:$B$732,$A$2:$A$732,0.95,1,1)</f>
        <v>34865.552758363679</v>
      </c>
    </row>
    <row r="862" spans="1:5" hidden="1" x14ac:dyDescent="0.35">
      <c r="A862" s="1">
        <v>45990</v>
      </c>
      <c r="C862" s="3">
        <f t="shared" si="12"/>
        <v>1175.4245212295041</v>
      </c>
      <c r="D862" s="3">
        <f t="shared" si="13"/>
        <v>-31795.094290995101</v>
      </c>
      <c r="E862" s="3">
        <f t="shared" si="14"/>
        <v>34145.94333345411</v>
      </c>
    </row>
    <row r="863" spans="1:5" hidden="1" x14ac:dyDescent="0.35">
      <c r="A863" s="1">
        <v>45991</v>
      </c>
      <c r="C863" s="3">
        <f t="shared" si="12"/>
        <v>318.42513197297444</v>
      </c>
      <c r="D863" s="3">
        <f t="shared" si="13"/>
        <v>-32811.75046295442</v>
      </c>
      <c r="E863" s="3">
        <f t="shared" si="14"/>
        <v>33448.600726900368</v>
      </c>
    </row>
    <row r="864" spans="1:5" hidden="1" x14ac:dyDescent="0.35">
      <c r="A864" s="1">
        <v>45992</v>
      </c>
      <c r="C864" s="3">
        <f t="shared" si="12"/>
        <v>3591.2432801283067</v>
      </c>
      <c r="D864" s="3">
        <f t="shared" si="13"/>
        <v>-29698.656545613885</v>
      </c>
      <c r="E864" s="3">
        <f t="shared" si="14"/>
        <v>36881.143105870498</v>
      </c>
    </row>
    <row r="865" spans="1:5" hidden="1" x14ac:dyDescent="0.35">
      <c r="A865" s="1">
        <v>45993</v>
      </c>
      <c r="C865" s="3">
        <f t="shared" si="12"/>
        <v>938.18095214636162</v>
      </c>
      <c r="D865" s="3">
        <f t="shared" si="13"/>
        <v>-32511.511759774967</v>
      </c>
      <c r="E865" s="3">
        <f t="shared" si="14"/>
        <v>34387.873664067687</v>
      </c>
    </row>
    <row r="866" spans="1:5" hidden="1" x14ac:dyDescent="0.35">
      <c r="A866" s="1">
        <v>45994</v>
      </c>
      <c r="C866" s="3">
        <f t="shared" si="12"/>
        <v>1975.4516207313586</v>
      </c>
      <c r="D866" s="3">
        <f t="shared" si="13"/>
        <v>-31634.10381661095</v>
      </c>
      <c r="E866" s="3">
        <f t="shared" si="14"/>
        <v>35585.007058073665</v>
      </c>
    </row>
    <row r="867" spans="1:5" hidden="1" x14ac:dyDescent="0.35">
      <c r="A867" s="1">
        <v>45995</v>
      </c>
      <c r="C867" s="3">
        <f t="shared" si="12"/>
        <v>882.17196625444763</v>
      </c>
      <c r="D867" s="3">
        <f t="shared" si="13"/>
        <v>-32887.317196782096</v>
      </c>
      <c r="E867" s="3">
        <f t="shared" si="14"/>
        <v>34651.661129290995</v>
      </c>
    </row>
    <row r="868" spans="1:5" hidden="1" x14ac:dyDescent="0.35">
      <c r="A868" s="1">
        <v>45996</v>
      </c>
      <c r="C868" s="3">
        <f t="shared" si="12"/>
        <v>541.04763136588076</v>
      </c>
      <c r="D868" s="3">
        <f t="shared" si="13"/>
        <v>-33388.447396337644</v>
      </c>
      <c r="E868" s="3">
        <f t="shared" si="14"/>
        <v>34470.542659069404</v>
      </c>
    </row>
    <row r="869" spans="1:5" hidden="1" x14ac:dyDescent="0.35">
      <c r="A869" s="1">
        <v>45997</v>
      </c>
      <c r="C869" s="3">
        <f t="shared" si="12"/>
        <v>-686.5335621395177</v>
      </c>
      <c r="D869" s="3">
        <f t="shared" si="13"/>
        <v>-34776.107710350232</v>
      </c>
      <c r="E869" s="3">
        <f t="shared" si="14"/>
        <v>33403.040586071191</v>
      </c>
    </row>
    <row r="870" spans="1:5" hidden="1" x14ac:dyDescent="0.35">
      <c r="A870" s="1">
        <v>45998</v>
      </c>
      <c r="C870" s="3">
        <f t="shared" si="12"/>
        <v>1238.8872969476527</v>
      </c>
      <c r="D870" s="3">
        <f t="shared" si="13"/>
        <v>-33010.840323132208</v>
      </c>
      <c r="E870" s="3">
        <f t="shared" si="14"/>
        <v>35488.614917027509</v>
      </c>
    </row>
    <row r="871" spans="1:5" hidden="1" x14ac:dyDescent="0.35">
      <c r="A871" s="1">
        <v>45999</v>
      </c>
      <c r="C871" s="3">
        <f t="shared" si="12"/>
        <v>2242.131844584324</v>
      </c>
      <c r="D871" s="3">
        <f t="shared" si="13"/>
        <v>-32167.824673375671</v>
      </c>
      <c r="E871" s="3">
        <f t="shared" si="14"/>
        <v>36652.088362544317</v>
      </c>
    </row>
    <row r="872" spans="1:5" hidden="1" x14ac:dyDescent="0.35">
      <c r="A872" s="1">
        <v>46000</v>
      </c>
      <c r="C872" s="3">
        <f t="shared" si="12"/>
        <v>1301.5296622989017</v>
      </c>
      <c r="D872" s="3">
        <f t="shared" si="13"/>
        <v>-33268.732233788738</v>
      </c>
      <c r="E872" s="3">
        <f t="shared" si="14"/>
        <v>35871.791558386547</v>
      </c>
    </row>
    <row r="873" spans="1:5" hidden="1" x14ac:dyDescent="0.35">
      <c r="A873" s="1">
        <v>46001</v>
      </c>
      <c r="C873" s="3">
        <f t="shared" si="12"/>
        <v>3357.3867346881129</v>
      </c>
      <c r="D873" s="3">
        <f t="shared" si="13"/>
        <v>-31642.251514483378</v>
      </c>
      <c r="E873" s="3">
        <f t="shared" si="14"/>
        <v>38357.024983859606</v>
      </c>
    </row>
    <row r="874" spans="1:5" hidden="1" x14ac:dyDescent="0.35">
      <c r="A874" s="1">
        <v>46002</v>
      </c>
      <c r="C874" s="3">
        <f t="shared" si="12"/>
        <v>1403.7226902390044</v>
      </c>
      <c r="D874" s="3">
        <f t="shared" si="13"/>
        <v>-33755.149344199803</v>
      </c>
      <c r="E874" s="3">
        <f t="shared" si="14"/>
        <v>36562.594724677809</v>
      </c>
    </row>
    <row r="875" spans="1:5" hidden="1" x14ac:dyDescent="0.35">
      <c r="A875" s="1">
        <v>46003</v>
      </c>
      <c r="C875" s="3">
        <f t="shared" si="12"/>
        <v>-1167.0881421364186</v>
      </c>
      <c r="D875" s="3">
        <f t="shared" si="13"/>
        <v>-36485.283998978361</v>
      </c>
      <c r="E875" s="3">
        <f t="shared" si="14"/>
        <v>34151.107714705526</v>
      </c>
    </row>
    <row r="876" spans="1:5" hidden="1" x14ac:dyDescent="0.35">
      <c r="A876" s="1">
        <v>46004</v>
      </c>
      <c r="C876" s="3">
        <f t="shared" si="12"/>
        <v>1348.6308322483023</v>
      </c>
      <c r="D876" s="3">
        <f t="shared" si="13"/>
        <v>-34128.979720331256</v>
      </c>
      <c r="E876" s="3">
        <f t="shared" si="14"/>
        <v>36826.241384827859</v>
      </c>
    </row>
    <row r="877" spans="1:5" hidden="1" x14ac:dyDescent="0.35">
      <c r="A877" s="1">
        <v>46005</v>
      </c>
      <c r="C877" s="3">
        <f t="shared" si="12"/>
        <v>54.004136087899724</v>
      </c>
      <c r="D877" s="3">
        <f t="shared" si="13"/>
        <v>-35583.112806109282</v>
      </c>
      <c r="E877" s="3">
        <f t="shared" si="14"/>
        <v>35691.121078285076</v>
      </c>
    </row>
    <row r="878" spans="1:5" hidden="1" x14ac:dyDescent="0.35">
      <c r="A878" s="1">
        <v>46006</v>
      </c>
      <c r="C878" s="3">
        <f t="shared" si="12"/>
        <v>351.32894222981531</v>
      </c>
      <c r="D878" s="3">
        <f t="shared" si="13"/>
        <v>-35445.386888685061</v>
      </c>
      <c r="E878" s="3">
        <f t="shared" si="14"/>
        <v>36148.044773144698</v>
      </c>
    </row>
    <row r="879" spans="1:5" hidden="1" x14ac:dyDescent="0.35">
      <c r="A879" s="1">
        <v>46007</v>
      </c>
      <c r="C879" s="3">
        <f t="shared" si="12"/>
        <v>2632.3923616065736</v>
      </c>
      <c r="D879" s="3">
        <f t="shared" si="13"/>
        <v>-33324.015647339926</v>
      </c>
      <c r="E879" s="3">
        <f t="shared" si="14"/>
        <v>38588.800370553072</v>
      </c>
    </row>
    <row r="880" spans="1:5" hidden="1" x14ac:dyDescent="0.35">
      <c r="A880" s="1">
        <v>46008</v>
      </c>
      <c r="C880" s="3">
        <f t="shared" si="12"/>
        <v>946.06417907297441</v>
      </c>
      <c r="D880" s="3">
        <f t="shared" si="13"/>
        <v>-35170.130072737971</v>
      </c>
      <c r="E880" s="3">
        <f t="shared" si="14"/>
        <v>37062.258430883914</v>
      </c>
    </row>
    <row r="881" spans="1:5" hidden="1" x14ac:dyDescent="0.35">
      <c r="A881" s="1">
        <v>46009</v>
      </c>
      <c r="C881" s="3">
        <f t="shared" si="12"/>
        <v>724.18068818196957</v>
      </c>
      <c r="D881" s="3">
        <f t="shared" si="13"/>
        <v>-35551.894632453601</v>
      </c>
      <c r="E881" s="3">
        <f t="shared" si="14"/>
        <v>37000.256008817545</v>
      </c>
    </row>
    <row r="882" spans="1:5" hidden="1" x14ac:dyDescent="0.35">
      <c r="A882" s="1">
        <v>46010</v>
      </c>
      <c r="C882" s="3">
        <f t="shared" si="12"/>
        <v>1346.094827801571</v>
      </c>
      <c r="D882" s="3">
        <f t="shared" si="13"/>
        <v>-35089.957134650504</v>
      </c>
      <c r="E882" s="3">
        <f t="shared" si="14"/>
        <v>37782.146790253646</v>
      </c>
    </row>
    <row r="883" spans="1:5" hidden="1" x14ac:dyDescent="0.35">
      <c r="A883" s="1">
        <v>46011</v>
      </c>
      <c r="C883" s="3">
        <f t="shared" si="12"/>
        <v>295.67631849745192</v>
      </c>
      <c r="D883" s="3">
        <f t="shared" si="13"/>
        <v>-36300.448591987428</v>
      </c>
      <c r="E883" s="3">
        <f t="shared" si="14"/>
        <v>36891.801228982338</v>
      </c>
    </row>
    <row r="884" spans="1:5" hidden="1" x14ac:dyDescent="0.35">
      <c r="A884" s="1">
        <v>46012</v>
      </c>
      <c r="C884" s="3">
        <f t="shared" si="12"/>
        <v>-962.20913970514812</v>
      </c>
      <c r="D884" s="3">
        <f t="shared" si="13"/>
        <v>-37718.504024137714</v>
      </c>
      <c r="E884" s="3">
        <f t="shared" si="14"/>
        <v>35794.085744727417</v>
      </c>
    </row>
    <row r="885" spans="1:5" hidden="1" x14ac:dyDescent="0.35">
      <c r="A885" s="1">
        <v>46013</v>
      </c>
      <c r="C885" s="3">
        <f t="shared" si="12"/>
        <v>595.96283007281977</v>
      </c>
      <c r="D885" s="3">
        <f t="shared" si="13"/>
        <v>-36320.599760669371</v>
      </c>
      <c r="E885" s="3">
        <f t="shared" si="14"/>
        <v>37512.525420815015</v>
      </c>
    </row>
    <row r="886" spans="1:5" hidden="1" x14ac:dyDescent="0.35">
      <c r="A886" s="1">
        <v>46014</v>
      </c>
      <c r="C886" s="3">
        <f t="shared" si="12"/>
        <v>327.23305750562008</v>
      </c>
      <c r="D886" s="3">
        <f t="shared" si="13"/>
        <v>-36749.695665371422</v>
      </c>
      <c r="E886" s="3">
        <f t="shared" si="14"/>
        <v>37404.161780382659</v>
      </c>
    </row>
    <row r="887" spans="1:5" hidden="1" x14ac:dyDescent="0.35">
      <c r="A887" s="1">
        <v>46015</v>
      </c>
      <c r="C887" s="3">
        <f t="shared" si="12"/>
        <v>578.00371725345735</v>
      </c>
      <c r="D887" s="3">
        <f t="shared" si="13"/>
        <v>-36659.390244324219</v>
      </c>
      <c r="E887" s="3">
        <f t="shared" si="14"/>
        <v>37815.397678831134</v>
      </c>
    </row>
    <row r="888" spans="1:5" hidden="1" x14ac:dyDescent="0.35">
      <c r="A888" s="1">
        <v>46016</v>
      </c>
      <c r="C888" s="3">
        <f t="shared" si="12"/>
        <v>3696.141105402437</v>
      </c>
      <c r="D888" s="3">
        <f t="shared" si="13"/>
        <v>-33701.81786971441</v>
      </c>
      <c r="E888" s="3">
        <f t="shared" si="14"/>
        <v>41094.100080519282</v>
      </c>
    </row>
    <row r="889" spans="1:5" hidden="1" x14ac:dyDescent="0.35">
      <c r="A889" s="1">
        <v>46017</v>
      </c>
      <c r="C889" s="3">
        <f t="shared" si="12"/>
        <v>2015.9215098152472</v>
      </c>
      <c r="D889" s="3">
        <f t="shared" si="13"/>
        <v>-35542.70290973282</v>
      </c>
      <c r="E889" s="3">
        <f t="shared" si="14"/>
        <v>39574.545929363318</v>
      </c>
    </row>
    <row r="890" spans="1:5" hidden="1" x14ac:dyDescent="0.35">
      <c r="A890" s="1">
        <v>46018</v>
      </c>
      <c r="C890" s="3">
        <f t="shared" si="12"/>
        <v>1136.7215191438299</v>
      </c>
      <c r="D890" s="3">
        <f t="shared" si="13"/>
        <v>-36582.669419804472</v>
      </c>
      <c r="E890" s="3">
        <f t="shared" si="14"/>
        <v>38856.112458092131</v>
      </c>
    </row>
    <row r="891" spans="1:5" hidden="1" x14ac:dyDescent="0.35">
      <c r="A891" s="1">
        <v>46019</v>
      </c>
      <c r="C891" s="3">
        <f t="shared" si="12"/>
        <v>279.7221298873003</v>
      </c>
      <c r="D891" s="3">
        <f t="shared" si="13"/>
        <v>-37600.537035767491</v>
      </c>
      <c r="E891" s="3">
        <f t="shared" si="14"/>
        <v>38159.981295542086</v>
      </c>
    </row>
    <row r="892" spans="1:5" hidden="1" x14ac:dyDescent="0.35">
      <c r="A892" s="1">
        <v>46020</v>
      </c>
      <c r="C892" s="3">
        <f t="shared" si="12"/>
        <v>3552.5402780426321</v>
      </c>
      <c r="D892" s="3">
        <f t="shared" si="13"/>
        <v>-34488.689442453702</v>
      </c>
      <c r="E892" s="3">
        <f t="shared" si="14"/>
        <v>41593.769998538963</v>
      </c>
    </row>
    <row r="893" spans="1:5" hidden="1" x14ac:dyDescent="0.35">
      <c r="A893" s="1">
        <v>46021</v>
      </c>
      <c r="C893" s="3">
        <f t="shared" ref="C893:C915" si="15">_xlfn.FORECAST.ETS(A893,$B$2:$B$732,$A$2:$A$732,1,1)</f>
        <v>899.47795006068748</v>
      </c>
      <c r="D893" s="3">
        <f t="shared" ref="D893:D915" si="16">C893-_xlfn.FORECAST.ETS.CONFINT(A893,$B$2:$B$732,$A$2:$A$732,0.95,1,1)</f>
        <v>-37302.825262958278</v>
      </c>
      <c r="E893" s="3">
        <f t="shared" ref="E893:E915" si="17">C893+_xlfn.FORECAST.ETS.CONFINT(A893,$B$2:$B$732,$A$2:$A$732,0.95,1,1)</f>
        <v>39101.781163079657</v>
      </c>
    </row>
    <row r="894" spans="1:5" hidden="1" x14ac:dyDescent="0.35">
      <c r="A894" s="1">
        <v>46022</v>
      </c>
      <c r="C894" s="3">
        <f t="shared" si="15"/>
        <v>1936.7486186456845</v>
      </c>
      <c r="D894" s="3">
        <f t="shared" si="16"/>
        <v>-36426.731623060667</v>
      </c>
      <c r="E894" s="3">
        <f t="shared" si="17"/>
        <v>40300.228860352043</v>
      </c>
    </row>
    <row r="895" spans="1:5" x14ac:dyDescent="0.35">
      <c r="A895" s="1">
        <v>46023</v>
      </c>
      <c r="C895" s="3">
        <f t="shared" si="15"/>
        <v>843.46896416877348</v>
      </c>
      <c r="D895" s="3">
        <f t="shared" si="16"/>
        <v>-37681.292430026297</v>
      </c>
      <c r="E895" s="3">
        <f t="shared" si="17"/>
        <v>39368.230358363842</v>
      </c>
    </row>
    <row r="896" spans="1:5" x14ac:dyDescent="0.35">
      <c r="A896" s="1">
        <v>46024</v>
      </c>
      <c r="C896" s="3">
        <f t="shared" si="15"/>
        <v>502.34462928020662</v>
      </c>
      <c r="D896" s="3">
        <f t="shared" si="16"/>
        <v>-38183.802618204514</v>
      </c>
      <c r="E896" s="3">
        <f t="shared" si="17"/>
        <v>39188.491876764921</v>
      </c>
    </row>
    <row r="897" spans="1:5" x14ac:dyDescent="0.35">
      <c r="A897" s="1">
        <v>46025</v>
      </c>
      <c r="C897" s="3">
        <f t="shared" si="15"/>
        <v>-725.23656422519184</v>
      </c>
      <c r="D897" s="3">
        <f t="shared" si="16"/>
        <v>-39572.874932368475</v>
      </c>
      <c r="E897" s="3">
        <f t="shared" si="17"/>
        <v>38122.401803918096</v>
      </c>
    </row>
    <row r="898" spans="1:5" x14ac:dyDescent="0.35">
      <c r="A898" s="1">
        <v>46026</v>
      </c>
      <c r="C898" s="3">
        <f t="shared" si="15"/>
        <v>1200.1842948619783</v>
      </c>
      <c r="D898" s="3">
        <f t="shared" si="16"/>
        <v>-37809.051017645681</v>
      </c>
      <c r="E898" s="3">
        <f t="shared" si="17"/>
        <v>40209.419607369644</v>
      </c>
    </row>
    <row r="899" spans="1:5" x14ac:dyDescent="0.35">
      <c r="A899" s="1">
        <v>46027</v>
      </c>
      <c r="C899" s="3">
        <f t="shared" si="15"/>
        <v>2203.4288424986498</v>
      </c>
      <c r="D899" s="3">
        <f t="shared" si="16"/>
        <v>-36967.509784380862</v>
      </c>
      <c r="E899" s="3">
        <f t="shared" si="17"/>
        <v>41374.367469378165</v>
      </c>
    </row>
    <row r="900" spans="1:5" x14ac:dyDescent="0.35">
      <c r="A900" s="1">
        <v>46028</v>
      </c>
      <c r="C900" s="3">
        <f t="shared" si="15"/>
        <v>1262.8266602132276</v>
      </c>
      <c r="D900" s="3">
        <f t="shared" si="16"/>
        <v>-38069.922187503522</v>
      </c>
      <c r="E900" s="3">
        <f t="shared" si="17"/>
        <v>40595.575507929978</v>
      </c>
    </row>
    <row r="901" spans="1:5" x14ac:dyDescent="0.35">
      <c r="A901" s="1">
        <v>46029</v>
      </c>
      <c r="C901" s="3">
        <f t="shared" si="15"/>
        <v>3318.6837326024388</v>
      </c>
      <c r="D901" s="3">
        <f t="shared" si="16"/>
        <v>-36425.542179994794</v>
      </c>
      <c r="E901" s="3">
        <f t="shared" si="17"/>
        <v>43062.909645199674</v>
      </c>
    </row>
    <row r="902" spans="1:5" x14ac:dyDescent="0.35">
      <c r="A902" s="1">
        <v>46030</v>
      </c>
      <c r="C902" s="3">
        <f t="shared" si="15"/>
        <v>1365.0196881533302</v>
      </c>
      <c r="D902" s="3">
        <f t="shared" si="16"/>
        <v>-38540.218566149953</v>
      </c>
      <c r="E902" s="3">
        <f t="shared" si="17"/>
        <v>41270.257942456621</v>
      </c>
    </row>
    <row r="903" spans="1:5" x14ac:dyDescent="0.35">
      <c r="A903" s="1">
        <v>46031</v>
      </c>
      <c r="C903" s="3">
        <f t="shared" si="15"/>
        <v>-1205.791144222093</v>
      </c>
      <c r="D903" s="3">
        <f t="shared" si="16"/>
        <v>-41272.157698297895</v>
      </c>
      <c r="E903" s="3">
        <f t="shared" si="17"/>
        <v>38860.575409853707</v>
      </c>
    </row>
    <row r="904" spans="1:5" x14ac:dyDescent="0.35">
      <c r="A904" s="1">
        <v>46032</v>
      </c>
      <c r="C904" s="3">
        <f t="shared" si="15"/>
        <v>1309.9278301626282</v>
      </c>
      <c r="D904" s="3">
        <f t="shared" si="16"/>
        <v>-38917.683395625434</v>
      </c>
      <c r="E904" s="3">
        <f t="shared" si="17"/>
        <v>41537.539055950685</v>
      </c>
    </row>
    <row r="905" spans="1:5" x14ac:dyDescent="0.35">
      <c r="A905" s="1">
        <v>46033</v>
      </c>
      <c r="C905" s="3">
        <f t="shared" si="15"/>
        <v>15.301134002225581</v>
      </c>
      <c r="D905" s="3">
        <f t="shared" si="16"/>
        <v>-40373.671541698401</v>
      </c>
      <c r="E905" s="3">
        <f t="shared" si="17"/>
        <v>40404.273809702856</v>
      </c>
    </row>
    <row r="906" spans="1:5" x14ac:dyDescent="0.35">
      <c r="A906" s="1">
        <v>46034</v>
      </c>
      <c r="C906" s="3">
        <f t="shared" si="15"/>
        <v>312.62594014414117</v>
      </c>
      <c r="D906" s="3">
        <f t="shared" si="16"/>
        <v>-40237.825362456861</v>
      </c>
      <c r="E906" s="3">
        <f t="shared" si="17"/>
        <v>40863.077242745145</v>
      </c>
    </row>
    <row r="907" spans="1:5" x14ac:dyDescent="0.35">
      <c r="A907" s="1">
        <v>46035</v>
      </c>
      <c r="C907" s="3">
        <f t="shared" si="15"/>
        <v>2593.6893595208994</v>
      </c>
      <c r="D907" s="3">
        <f t="shared" si="16"/>
        <v>-38118.358138419375</v>
      </c>
      <c r="E907" s="3">
        <f t="shared" si="17"/>
        <v>43305.736857461168</v>
      </c>
    </row>
    <row r="908" spans="1:5" x14ac:dyDescent="0.35">
      <c r="A908" s="1">
        <v>46036</v>
      </c>
      <c r="C908" s="3">
        <f t="shared" si="15"/>
        <v>907.36117698730004</v>
      </c>
      <c r="D908" s="3">
        <f t="shared" si="16"/>
        <v>-39966.400468979438</v>
      </c>
      <c r="E908" s="3">
        <f t="shared" si="17"/>
        <v>41781.122822954043</v>
      </c>
    </row>
    <row r="909" spans="1:5" x14ac:dyDescent="0.35">
      <c r="A909" s="1">
        <v>46037</v>
      </c>
      <c r="C909" s="3">
        <f t="shared" si="15"/>
        <v>685.47768609629543</v>
      </c>
      <c r="D909" s="3">
        <f t="shared" si="16"/>
        <v>-40350.116437760538</v>
      </c>
      <c r="E909" s="3">
        <f t="shared" si="17"/>
        <v>41721.07180995313</v>
      </c>
    </row>
    <row r="910" spans="1:5" x14ac:dyDescent="0.35">
      <c r="A910" s="1">
        <v>46038</v>
      </c>
      <c r="C910" s="3">
        <f t="shared" si="15"/>
        <v>1307.3918257158969</v>
      </c>
      <c r="D910" s="3">
        <f t="shared" si="16"/>
        <v>-39890.153476127074</v>
      </c>
      <c r="E910" s="3">
        <f t="shared" si="17"/>
        <v>42504.937127558864</v>
      </c>
    </row>
    <row r="911" spans="1:5" x14ac:dyDescent="0.35">
      <c r="A911" s="1">
        <v>46039</v>
      </c>
      <c r="C911" s="3">
        <f t="shared" si="15"/>
        <v>256.97331641177777</v>
      </c>
      <c r="D911" s="3">
        <f t="shared" si="16"/>
        <v>-41102.642226927055</v>
      </c>
      <c r="E911" s="3">
        <f t="shared" si="17"/>
        <v>41616.588859750613</v>
      </c>
    </row>
    <row r="912" spans="1:5" x14ac:dyDescent="0.35">
      <c r="A912" s="1">
        <v>46040</v>
      </c>
      <c r="C912" s="3">
        <f t="shared" si="15"/>
        <v>-1000.9121417908225</v>
      </c>
      <c r="D912" s="3">
        <f t="shared" si="16"/>
        <v>-42522.717346852827</v>
      </c>
      <c r="E912" s="3">
        <f t="shared" si="17"/>
        <v>40520.893063271178</v>
      </c>
    </row>
    <row r="913" spans="1:5" x14ac:dyDescent="0.35">
      <c r="A913" s="1">
        <v>46041</v>
      </c>
      <c r="C913" s="3">
        <f t="shared" si="15"/>
        <v>557.2598279871454</v>
      </c>
      <c r="D913" s="3">
        <f t="shared" si="16"/>
        <v>-41126.854809166703</v>
      </c>
      <c r="E913" s="3">
        <f t="shared" si="17"/>
        <v>42241.374465140994</v>
      </c>
    </row>
    <row r="914" spans="1:5" x14ac:dyDescent="0.35">
      <c r="A914" s="1">
        <v>46042</v>
      </c>
      <c r="C914" s="3">
        <f t="shared" si="15"/>
        <v>288.53005541994594</v>
      </c>
      <c r="D914" s="3">
        <f t="shared" si="16"/>
        <v>-41558.014127877046</v>
      </c>
      <c r="E914" s="3">
        <f t="shared" si="17"/>
        <v>42135.074238716945</v>
      </c>
    </row>
    <row r="915" spans="1:5" x14ac:dyDescent="0.35">
      <c r="A915" s="1">
        <v>46043</v>
      </c>
      <c r="C915" s="3">
        <f t="shared" si="15"/>
        <v>539.30071516778321</v>
      </c>
      <c r="D915" s="3">
        <f t="shared" si="16"/>
        <v>-41469.793465662537</v>
      </c>
      <c r="E915" s="3">
        <f t="shared" si="17"/>
        <v>42548.394895998099</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96262-02CD-46F8-B1A9-ED370B7FBC51}">
  <dimension ref="A1:M16"/>
  <sheetViews>
    <sheetView workbookViewId="0">
      <selection activeCell="O14" sqref="O14"/>
    </sheetView>
  </sheetViews>
  <sheetFormatPr defaultRowHeight="14.5" x14ac:dyDescent="0.35"/>
  <cols>
    <col min="1" max="1" width="11.08984375" bestFit="1" customWidth="1"/>
    <col min="2" max="2" width="13.6328125" bestFit="1" customWidth="1"/>
    <col min="3" max="3" width="14.36328125" bestFit="1" customWidth="1"/>
    <col min="8" max="8" width="12.453125" bestFit="1" customWidth="1"/>
    <col min="9" max="9" width="19.08984375" bestFit="1" customWidth="1"/>
    <col min="10" max="11" width="10.26953125" bestFit="1" customWidth="1"/>
    <col min="12" max="12" width="10.453125" bestFit="1" customWidth="1"/>
    <col min="13" max="13" width="15.36328125" bestFit="1" customWidth="1"/>
    <col min="14" max="14" width="10.26953125" bestFit="1" customWidth="1"/>
    <col min="15" max="15" width="11.81640625" bestFit="1" customWidth="1"/>
  </cols>
  <sheetData>
    <row r="1" spans="1:13" x14ac:dyDescent="0.35">
      <c r="A1" s="7" t="s">
        <v>1262</v>
      </c>
      <c r="B1" s="7" t="s">
        <v>1263</v>
      </c>
      <c r="L1" s="7" t="s">
        <v>1262</v>
      </c>
      <c r="M1" s="7" t="s">
        <v>1266</v>
      </c>
    </row>
    <row r="2" spans="1:13" x14ac:dyDescent="0.35">
      <c r="A2" s="8" t="s">
        <v>9</v>
      </c>
      <c r="B2" s="9">
        <v>392920.24</v>
      </c>
      <c r="L2" s="8" t="s">
        <v>9</v>
      </c>
      <c r="M2" s="9">
        <v>1060937.2315000002</v>
      </c>
    </row>
    <row r="3" spans="1:13" x14ac:dyDescent="0.35">
      <c r="A3" s="8" t="s">
        <v>18</v>
      </c>
      <c r="B3" s="9">
        <v>413978.94000000018</v>
      </c>
      <c r="L3" s="8" t="s">
        <v>18</v>
      </c>
      <c r="M3" s="9">
        <v>1074472.0118000002</v>
      </c>
    </row>
    <row r="4" spans="1:13" x14ac:dyDescent="0.35">
      <c r="A4" s="8" t="s">
        <v>7</v>
      </c>
      <c r="B4" s="9">
        <v>369016.85000000015</v>
      </c>
      <c r="L4" s="8" t="s">
        <v>7</v>
      </c>
      <c r="M4" s="9">
        <v>1072961.3314</v>
      </c>
    </row>
    <row r="5" spans="1:13" x14ac:dyDescent="0.35">
      <c r="A5" s="8" t="s">
        <v>23</v>
      </c>
      <c r="B5" s="9">
        <v>418256.67000000004</v>
      </c>
      <c r="L5" s="8" t="s">
        <v>23</v>
      </c>
      <c r="M5" s="9">
        <v>1134559.1340000001</v>
      </c>
    </row>
    <row r="6" spans="1:13" x14ac:dyDescent="0.35">
      <c r="A6" s="8" t="s">
        <v>11</v>
      </c>
      <c r="B6" s="9">
        <v>458368.26999999967</v>
      </c>
      <c r="L6" s="8" t="s">
        <v>11</v>
      </c>
      <c r="M6" s="9">
        <v>1052873.7431000001</v>
      </c>
    </row>
    <row r="7" spans="1:13" x14ac:dyDescent="0.35">
      <c r="A7" s="8" t="s">
        <v>20</v>
      </c>
      <c r="B7" s="9">
        <v>401381.60999999975</v>
      </c>
      <c r="L7" s="8" t="s">
        <v>20</v>
      </c>
      <c r="M7" s="9">
        <v>826604.85430000047</v>
      </c>
    </row>
    <row r="8" spans="1:13" x14ac:dyDescent="0.35">
      <c r="A8" s="8" t="s">
        <v>36</v>
      </c>
      <c r="B8" s="9">
        <v>2453922.5799999996</v>
      </c>
      <c r="L8" s="8" t="s">
        <v>36</v>
      </c>
      <c r="M8" s="9">
        <v>6222408.3061000006</v>
      </c>
    </row>
    <row r="9" spans="1:13" x14ac:dyDescent="0.35">
      <c r="A9" s="7" t="s">
        <v>1264</v>
      </c>
      <c r="B9" s="7" t="s">
        <v>1265</v>
      </c>
      <c r="L9" s="7" t="s">
        <v>1262</v>
      </c>
      <c r="M9" s="7" t="s">
        <v>1267</v>
      </c>
    </row>
    <row r="10" spans="1:13" x14ac:dyDescent="0.35">
      <c r="A10" s="8" t="s">
        <v>12</v>
      </c>
      <c r="B10" s="10">
        <v>0.65897371359345525</v>
      </c>
      <c r="L10" s="8" t="s">
        <v>9</v>
      </c>
      <c r="M10" s="9">
        <v>56348.909999999982</v>
      </c>
    </row>
    <row r="11" spans="1:13" x14ac:dyDescent="0.35">
      <c r="A11" s="8" t="s">
        <v>8</v>
      </c>
      <c r="B11" s="10">
        <v>0.6348990496120277</v>
      </c>
      <c r="L11" s="8" t="s">
        <v>18</v>
      </c>
      <c r="M11" s="9">
        <v>87259.17</v>
      </c>
    </row>
    <row r="12" spans="1:13" x14ac:dyDescent="0.35">
      <c r="A12" s="8" t="s">
        <v>40</v>
      </c>
      <c r="B12" s="10">
        <v>0.64310035490054607</v>
      </c>
      <c r="L12" s="8" t="s">
        <v>7</v>
      </c>
      <c r="M12" s="9">
        <v>24145.829999999994</v>
      </c>
    </row>
    <row r="13" spans="1:13" x14ac:dyDescent="0.35">
      <c r="A13" s="8" t="s">
        <v>36</v>
      </c>
      <c r="B13" s="10">
        <v>0.64571996482890537</v>
      </c>
      <c r="L13" s="8" t="s">
        <v>23</v>
      </c>
      <c r="M13" s="9">
        <v>68300.969999999987</v>
      </c>
    </row>
    <row r="14" spans="1:13" x14ac:dyDescent="0.35">
      <c r="L14" s="8" t="s">
        <v>11</v>
      </c>
      <c r="M14" s="9">
        <v>40121.509999999995</v>
      </c>
    </row>
    <row r="15" spans="1:13" x14ac:dyDescent="0.35">
      <c r="L15" s="8" t="s">
        <v>20</v>
      </c>
      <c r="M15" s="9">
        <v>40714.240000000005</v>
      </c>
    </row>
    <row r="16" spans="1:13" x14ac:dyDescent="0.35">
      <c r="L16" s="8" t="s">
        <v>36</v>
      </c>
      <c r="M16" s="9">
        <v>316890.62999999995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A81FC-0F54-442B-BC67-728E1F1D9ACA}">
  <dimension ref="A1:V19"/>
  <sheetViews>
    <sheetView workbookViewId="0">
      <selection activeCell="D20" sqref="D20"/>
    </sheetView>
  </sheetViews>
  <sheetFormatPr defaultRowHeight="14.5" x14ac:dyDescent="0.35"/>
  <cols>
    <col min="1" max="1" width="22" customWidth="1"/>
    <col min="2" max="2" width="16.1796875" customWidth="1"/>
    <col min="3" max="3" width="16.81640625" customWidth="1"/>
    <col min="4" max="4" width="23.54296875" customWidth="1"/>
    <col min="5" max="5" width="16.26953125" customWidth="1"/>
    <col min="7" max="7" width="10.81640625" bestFit="1" customWidth="1"/>
    <col min="13" max="13" width="9.81640625" customWidth="1"/>
    <col min="14" max="14" width="12.90625" customWidth="1"/>
    <col min="15" max="15" width="11.6328125" customWidth="1"/>
    <col min="16" max="16" width="11.36328125" customWidth="1"/>
    <col min="17" max="18" width="10.81640625" customWidth="1"/>
    <col min="19" max="19" width="11.1796875" customWidth="1"/>
    <col min="20" max="20" width="14" customWidth="1"/>
    <col min="21" max="22" width="11.08984375" customWidth="1"/>
    <col min="23" max="23" width="10.54296875" customWidth="1"/>
    <col min="24" max="24" width="13.453125" customWidth="1"/>
  </cols>
  <sheetData>
    <row r="1" spans="1:22" ht="16" x14ac:dyDescent="0.4">
      <c r="N1" t="s">
        <v>1296</v>
      </c>
    </row>
    <row r="2" spans="1:22" ht="18.5" x14ac:dyDescent="0.45">
      <c r="A2" s="15" t="s">
        <v>1284</v>
      </c>
      <c r="B2" s="14"/>
      <c r="M2" s="23" t="s">
        <v>1287</v>
      </c>
      <c r="N2" s="23" t="s">
        <v>1289</v>
      </c>
      <c r="O2" t="s">
        <v>3</v>
      </c>
    </row>
    <row r="3" spans="1:22" ht="18.5" x14ac:dyDescent="0.45">
      <c r="B3" s="18" t="s">
        <v>1290</v>
      </c>
      <c r="C3" s="13"/>
      <c r="M3" s="11">
        <v>1000</v>
      </c>
      <c r="N3" s="24">
        <v>842</v>
      </c>
      <c r="O3" t="str">
        <f t="shared" ref="O3:O17" si="0">_xlfn.XLOOKUP(M3,$Q$5:$Q$12,$V$5:$V$12,"NOT FOUND",0)</f>
        <v>Delhi</v>
      </c>
      <c r="S3" s="31" t="s">
        <v>1292</v>
      </c>
    </row>
    <row r="4" spans="1:22" x14ac:dyDescent="0.35">
      <c r="A4" s="20" t="s">
        <v>1268</v>
      </c>
      <c r="B4" s="32">
        <v>2707.2592400560256</v>
      </c>
      <c r="C4" s="13"/>
      <c r="M4" s="12">
        <v>1001</v>
      </c>
      <c r="N4" s="25">
        <v>2691.7154999999998</v>
      </c>
      <c r="O4" t="str">
        <f t="shared" si="0"/>
        <v>Ahmedabad</v>
      </c>
      <c r="Q4" s="19" t="s">
        <v>1287</v>
      </c>
      <c r="R4" s="19" t="s">
        <v>1288</v>
      </c>
      <c r="S4" s="19" t="s">
        <v>41</v>
      </c>
      <c r="T4" s="19" t="s">
        <v>1253</v>
      </c>
      <c r="U4" s="19" t="s">
        <v>0</v>
      </c>
      <c r="V4" s="19" t="s">
        <v>3</v>
      </c>
    </row>
    <row r="5" spans="1:22" ht="16" x14ac:dyDescent="0.4">
      <c r="A5" s="20" t="s">
        <v>1269</v>
      </c>
      <c r="B5" s="32">
        <v>18.978627153490677</v>
      </c>
      <c r="C5" s="13"/>
      <c r="D5" s="26"/>
      <c r="E5" s="28" t="s">
        <v>1293</v>
      </c>
      <c r="F5" s="26"/>
      <c r="G5" s="26"/>
      <c r="H5" s="26"/>
      <c r="I5" s="26"/>
      <c r="J5" s="26"/>
      <c r="K5" s="26"/>
      <c r="M5" s="11">
        <v>1002</v>
      </c>
      <c r="N5" s="24">
        <v>2662.3820999999998</v>
      </c>
      <c r="O5" t="str">
        <f t="shared" si="0"/>
        <v>Mumbai</v>
      </c>
      <c r="Q5" s="11">
        <v>1000</v>
      </c>
      <c r="R5" s="17" t="s">
        <v>43</v>
      </c>
      <c r="S5" s="17" t="s">
        <v>44</v>
      </c>
      <c r="T5" s="17" t="s">
        <v>6</v>
      </c>
      <c r="U5" s="11">
        <v>0</v>
      </c>
      <c r="V5" s="22" t="s">
        <v>7</v>
      </c>
    </row>
    <row r="6" spans="1:22" x14ac:dyDescent="0.35">
      <c r="A6" s="20" t="s">
        <v>1270</v>
      </c>
      <c r="B6" s="32">
        <v>2715.0313999999998</v>
      </c>
      <c r="C6" s="13"/>
      <c r="D6" s="27"/>
      <c r="E6" s="26" t="s">
        <v>1291</v>
      </c>
      <c r="F6" s="26"/>
      <c r="G6" s="26"/>
      <c r="H6" s="26"/>
      <c r="I6" s="26"/>
      <c r="J6" s="26"/>
      <c r="K6" s="26"/>
      <c r="M6" s="12">
        <v>1002</v>
      </c>
      <c r="N6" s="25">
        <v>2748.6568000000002</v>
      </c>
      <c r="O6" t="str">
        <f t="shared" si="0"/>
        <v>Mumbai</v>
      </c>
      <c r="Q6" s="12">
        <v>1001</v>
      </c>
      <c r="R6" s="12" t="s">
        <v>45</v>
      </c>
      <c r="S6" s="16" t="s">
        <v>46</v>
      </c>
      <c r="T6" s="16" t="s">
        <v>6</v>
      </c>
      <c r="U6" s="12">
        <v>1</v>
      </c>
      <c r="V6" s="16" t="s">
        <v>9</v>
      </c>
    </row>
    <row r="7" spans="1:22" x14ac:dyDescent="0.35">
      <c r="A7" s="20" t="s">
        <v>1271</v>
      </c>
      <c r="B7" s="32">
        <v>2746.1210000000001</v>
      </c>
      <c r="C7" s="13"/>
      <c r="D7" s="26"/>
      <c r="E7" s="26"/>
      <c r="F7" s="26"/>
      <c r="G7" s="26"/>
      <c r="H7" s="26"/>
      <c r="I7" s="26"/>
      <c r="J7" s="26"/>
      <c r="K7" s="26"/>
      <c r="M7" s="11">
        <v>1002</v>
      </c>
      <c r="N7" s="24">
        <v>2942.95</v>
      </c>
      <c r="O7" t="str">
        <f t="shared" si="0"/>
        <v>Mumbai</v>
      </c>
      <c r="Q7" s="11">
        <v>1002</v>
      </c>
      <c r="R7" s="11" t="s">
        <v>47</v>
      </c>
      <c r="S7" s="17" t="s">
        <v>48</v>
      </c>
      <c r="T7" s="17" t="s">
        <v>34</v>
      </c>
      <c r="U7" s="11">
        <v>3</v>
      </c>
      <c r="V7" s="16" t="s">
        <v>11</v>
      </c>
    </row>
    <row r="8" spans="1:22" ht="16" x14ac:dyDescent="0.4">
      <c r="A8" s="20" t="s">
        <v>1272</v>
      </c>
      <c r="B8" s="32">
        <v>948.7415524205752</v>
      </c>
      <c r="C8" s="13"/>
      <c r="D8" s="28" t="s">
        <v>1297</v>
      </c>
      <c r="E8" s="26"/>
      <c r="F8" s="26"/>
      <c r="G8" s="26"/>
      <c r="H8" s="26"/>
      <c r="I8" s="26"/>
      <c r="J8" s="26"/>
      <c r="K8" s="26"/>
      <c r="M8" s="12">
        <v>1002</v>
      </c>
      <c r="N8" s="25">
        <v>4351.1099999999997</v>
      </c>
      <c r="O8" t="str">
        <f t="shared" si="0"/>
        <v>Mumbai</v>
      </c>
      <c r="Q8" s="12">
        <v>1002</v>
      </c>
      <c r="R8" s="12" t="s">
        <v>49</v>
      </c>
      <c r="S8" s="16" t="s">
        <v>50</v>
      </c>
      <c r="T8" s="16" t="s">
        <v>33</v>
      </c>
      <c r="U8" s="12">
        <v>0</v>
      </c>
      <c r="V8" s="16" t="s">
        <v>9</v>
      </c>
    </row>
    <row r="9" spans="1:22" ht="16" x14ac:dyDescent="0.4">
      <c r="A9" s="20" t="s">
        <v>1273</v>
      </c>
      <c r="B9" s="32">
        <v>900110.53328940296</v>
      </c>
      <c r="C9" s="13"/>
      <c r="D9" s="26"/>
      <c r="E9" s="28" t="s">
        <v>1295</v>
      </c>
      <c r="F9" s="26"/>
      <c r="G9" s="26"/>
      <c r="H9" s="26"/>
      <c r="I9" s="26"/>
      <c r="J9" s="26"/>
      <c r="K9" s="26"/>
      <c r="M9" s="11">
        <v>1002</v>
      </c>
      <c r="N9" s="24">
        <v>2688.2804000000001</v>
      </c>
      <c r="O9" t="str">
        <f t="shared" si="0"/>
        <v>Mumbai</v>
      </c>
      <c r="Q9" s="11">
        <v>1002</v>
      </c>
      <c r="R9" s="11" t="s">
        <v>1285</v>
      </c>
      <c r="S9" s="17" t="s">
        <v>51</v>
      </c>
      <c r="T9" s="17" t="s">
        <v>21</v>
      </c>
      <c r="U9" s="11">
        <v>0</v>
      </c>
      <c r="V9" s="16" t="s">
        <v>18</v>
      </c>
    </row>
    <row r="10" spans="1:22" x14ac:dyDescent="0.35">
      <c r="A10" s="20" t="s">
        <v>1274</v>
      </c>
      <c r="B10" s="21">
        <v>0.53231476696965929</v>
      </c>
      <c r="C10" s="13"/>
      <c r="D10" s="28" t="s">
        <v>1298</v>
      </c>
      <c r="E10" s="26"/>
      <c r="F10" s="26"/>
      <c r="G10" s="26"/>
      <c r="H10" s="26"/>
      <c r="I10" s="26"/>
      <c r="J10" s="26"/>
      <c r="K10" s="26"/>
      <c r="M10" s="12">
        <v>1002</v>
      </c>
      <c r="N10" s="25">
        <v>637.82000000000005</v>
      </c>
      <c r="O10" t="str">
        <f t="shared" si="0"/>
        <v>Mumbai</v>
      </c>
      <c r="Q10" s="12">
        <v>1002</v>
      </c>
      <c r="R10" s="12" t="s">
        <v>52</v>
      </c>
      <c r="S10" s="16" t="s">
        <v>53</v>
      </c>
      <c r="T10" s="16" t="s">
        <v>16</v>
      </c>
      <c r="U10" s="12">
        <v>-1</v>
      </c>
      <c r="V10" s="16" t="s">
        <v>20</v>
      </c>
    </row>
    <row r="11" spans="1:22" x14ac:dyDescent="0.35">
      <c r="A11" s="20" t="s">
        <v>1275</v>
      </c>
      <c r="B11" s="21">
        <v>-4.5535762650951155E-2</v>
      </c>
      <c r="C11" s="13"/>
      <c r="D11" s="26"/>
      <c r="E11" s="26">
        <v>1</v>
      </c>
      <c r="F11" s="26"/>
      <c r="G11" s="26"/>
      <c r="H11" s="26"/>
      <c r="I11" s="26"/>
      <c r="J11" s="26"/>
      <c r="K11" s="26"/>
      <c r="M11" s="11">
        <v>1003</v>
      </c>
      <c r="N11" s="24">
        <v>2962.27</v>
      </c>
      <c r="O11" t="str">
        <f t="shared" si="0"/>
        <v>NOT FOUND</v>
      </c>
      <c r="Q11" s="11">
        <v>1002</v>
      </c>
      <c r="R11" s="11" t="s">
        <v>54</v>
      </c>
      <c r="S11" s="17" t="s">
        <v>55</v>
      </c>
      <c r="T11" s="17" t="s">
        <v>10</v>
      </c>
      <c r="U11" s="11">
        <v>1</v>
      </c>
      <c r="V11" s="16" t="s">
        <v>9</v>
      </c>
    </row>
    <row r="12" spans="1:22" ht="16" x14ac:dyDescent="0.4">
      <c r="A12" s="20" t="s">
        <v>1276</v>
      </c>
      <c r="B12" s="32">
        <v>4598.7</v>
      </c>
      <c r="C12" s="13"/>
      <c r="D12" s="26"/>
      <c r="E12" s="29" t="s">
        <v>1294</v>
      </c>
      <c r="F12" s="26"/>
      <c r="G12" s="26"/>
      <c r="H12" s="26"/>
      <c r="I12" s="26"/>
      <c r="J12" s="26"/>
      <c r="K12" s="26"/>
      <c r="M12" s="12">
        <v>1003</v>
      </c>
      <c r="N12" s="25">
        <v>2700.9094</v>
      </c>
      <c r="O12" t="str">
        <f t="shared" si="0"/>
        <v>NOT FOUND</v>
      </c>
      <c r="Q12" s="12">
        <v>1002</v>
      </c>
      <c r="R12" s="12" t="s">
        <v>56</v>
      </c>
      <c r="S12" s="16" t="s">
        <v>57</v>
      </c>
      <c r="T12" s="16" t="s">
        <v>10</v>
      </c>
      <c r="U12" s="12">
        <v>1</v>
      </c>
      <c r="V12" s="16" t="s">
        <v>11</v>
      </c>
    </row>
    <row r="13" spans="1:22" x14ac:dyDescent="0.35">
      <c r="A13" s="20" t="s">
        <v>1277</v>
      </c>
      <c r="B13" s="32">
        <v>400.21</v>
      </c>
      <c r="C13" s="13"/>
      <c r="D13" s="28" t="s">
        <v>1299</v>
      </c>
      <c r="E13" s="26"/>
      <c r="F13" s="26"/>
      <c r="G13" s="26"/>
      <c r="H13" s="26"/>
      <c r="I13" s="26"/>
      <c r="J13" s="26"/>
      <c r="K13" s="26"/>
      <c r="M13" s="11">
        <v>1003</v>
      </c>
      <c r="N13" s="24">
        <v>1685.85</v>
      </c>
      <c r="O13" t="str">
        <f t="shared" si="0"/>
        <v>NOT FOUND</v>
      </c>
    </row>
    <row r="14" spans="1:22" x14ac:dyDescent="0.35">
      <c r="A14" s="20" t="s">
        <v>1278</v>
      </c>
      <c r="B14" s="32">
        <v>4998.91</v>
      </c>
      <c r="C14" s="13"/>
      <c r="D14" s="26"/>
      <c r="E14" s="26"/>
      <c r="F14" s="30" t="str">
        <f>INDEX(Table4[],4,3)</f>
        <v>Mumbai</v>
      </c>
      <c r="G14" s="26"/>
      <c r="H14" s="26"/>
      <c r="I14" s="26"/>
      <c r="J14" s="26"/>
      <c r="K14" s="26"/>
      <c r="M14" s="12">
        <v>1003</v>
      </c>
      <c r="N14" s="25">
        <v>4426.82</v>
      </c>
      <c r="O14" t="str">
        <f t="shared" si="0"/>
        <v>NOT FOUND</v>
      </c>
    </row>
    <row r="15" spans="1:22" x14ac:dyDescent="0.35">
      <c r="A15" s="20" t="s">
        <v>1279</v>
      </c>
      <c r="B15" s="32">
        <v>6765440.8409000086</v>
      </c>
      <c r="C15" s="13"/>
      <c r="D15" s="26"/>
      <c r="E15" s="26"/>
      <c r="F15" s="26"/>
      <c r="G15" s="26"/>
      <c r="H15" s="26"/>
      <c r="I15" s="26"/>
      <c r="J15" s="26"/>
      <c r="K15" s="26"/>
      <c r="M15" s="11">
        <v>1003</v>
      </c>
      <c r="N15" s="24">
        <v>548.19000000000005</v>
      </c>
      <c r="O15" t="str">
        <f t="shared" si="0"/>
        <v>NOT FOUND</v>
      </c>
    </row>
    <row r="16" spans="1:22" x14ac:dyDescent="0.35">
      <c r="A16" s="20" t="s">
        <v>1280</v>
      </c>
      <c r="B16" s="21">
        <v>2499</v>
      </c>
      <c r="H16" s="14"/>
      <c r="M16" s="12">
        <v>1003</v>
      </c>
      <c r="N16" s="25">
        <v>2835.973</v>
      </c>
      <c r="O16" t="str">
        <f t="shared" si="0"/>
        <v>NOT FOUND</v>
      </c>
    </row>
    <row r="17" spans="1:15" x14ac:dyDescent="0.35">
      <c r="A17" s="20" t="s">
        <v>1281</v>
      </c>
      <c r="B17" s="32">
        <v>4998.91</v>
      </c>
      <c r="H17" s="14"/>
      <c r="M17" s="11">
        <v>1004</v>
      </c>
      <c r="N17" s="24">
        <v>2881.07</v>
      </c>
      <c r="O17" t="str">
        <f t="shared" si="0"/>
        <v>NOT FOUND</v>
      </c>
    </row>
    <row r="18" spans="1:15" x14ac:dyDescent="0.35">
      <c r="A18" s="20" t="s">
        <v>1282</v>
      </c>
      <c r="B18" s="32">
        <v>400.21</v>
      </c>
      <c r="H18" s="14"/>
    </row>
    <row r="19" spans="1:15" x14ac:dyDescent="0.35">
      <c r="A19" s="20" t="s">
        <v>1283</v>
      </c>
      <c r="B19" s="21">
        <v>37.215456708991042</v>
      </c>
      <c r="H19" s="14"/>
    </row>
  </sheetData>
  <pageMargins left="0.7" right="0.7" top="0.75" bottom="0.75" header="0.3" footer="0.3"/>
  <tableParts count="2">
    <tablePart r:id="rId1"/>
    <tablePart r:id="rId2"/>
  </tableParts>
  <extLst>
    <ext xmlns:x15="http://schemas.microsoft.com/office/spreadsheetml/2010/11/main" uri="{F7C9EE02-42E1-4005-9D12-6889AFFD525C}">
      <x15:webExtensions xmlns:xm="http://schemas.microsoft.com/office/excel/2006/main">
        <x15:webExtension appRef="{C61E90F9-A1CD-43BE-B5E0-45A1DB1DA05F}">
          <xm:f>'DESCRIPTIVE STATISTICS,XLOOKUP,'!$I$3:$K$21</xm:f>
        </x15:webExtension>
      </x15:webExtens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98A6-377D-4813-BE7B-4D3769648480}">
  <dimension ref="A1:V2501"/>
  <sheetViews>
    <sheetView tabSelected="1" topLeftCell="L68" zoomScale="104" zoomScaleNormal="104" workbookViewId="0">
      <selection activeCell="V108" sqref="V108"/>
    </sheetView>
  </sheetViews>
  <sheetFormatPr defaultRowHeight="14.5" x14ac:dyDescent="0.35"/>
  <cols>
    <col min="1" max="1" width="10.36328125" bestFit="1" customWidth="1"/>
    <col min="2" max="2" width="11.90625" bestFit="1" customWidth="1"/>
    <col min="3" max="3" width="11.6328125" bestFit="1" customWidth="1"/>
    <col min="4" max="4" width="15.26953125" bestFit="1" customWidth="1"/>
    <col min="5" max="5" width="12.08984375" bestFit="1" customWidth="1"/>
    <col min="6" max="6" width="11.7265625" bestFit="1" customWidth="1"/>
    <col min="7" max="7" width="12.1796875" style="2" bestFit="1" customWidth="1"/>
    <col min="8" max="8" width="15" bestFit="1" customWidth="1"/>
    <col min="9" max="9" width="12.453125" bestFit="1" customWidth="1"/>
    <col min="10" max="11" width="10.453125" bestFit="1" customWidth="1"/>
    <col min="12" max="12" width="15.08984375" customWidth="1"/>
    <col min="13" max="13" width="17.26953125" customWidth="1"/>
    <col min="14" max="14" width="14.1796875" customWidth="1"/>
    <col min="16" max="16" width="13.90625" customWidth="1"/>
    <col min="17" max="17" width="11.26953125" customWidth="1"/>
  </cols>
  <sheetData>
    <row r="1" spans="1:22" x14ac:dyDescent="0.35">
      <c r="A1" t="s">
        <v>1287</v>
      </c>
      <c r="B1" t="s">
        <v>1288</v>
      </c>
      <c r="C1" t="s">
        <v>41</v>
      </c>
      <c r="D1" t="s">
        <v>1253</v>
      </c>
      <c r="E1" t="s">
        <v>0</v>
      </c>
      <c r="F1" t="s">
        <v>1289</v>
      </c>
      <c r="G1" s="2" t="s">
        <v>39</v>
      </c>
      <c r="H1" t="s">
        <v>1</v>
      </c>
      <c r="I1" t="s">
        <v>2</v>
      </c>
      <c r="J1" t="s">
        <v>3</v>
      </c>
      <c r="K1" t="s">
        <v>4</v>
      </c>
      <c r="L1" t="s">
        <v>5</v>
      </c>
      <c r="M1" t="s">
        <v>1254</v>
      </c>
      <c r="N1" t="s">
        <v>42</v>
      </c>
    </row>
    <row r="2" spans="1:22" ht="18.5" x14ac:dyDescent="0.45">
      <c r="A2">
        <v>1000</v>
      </c>
      <c r="B2" s="4" t="s">
        <v>43</v>
      </c>
      <c r="C2" s="4" t="s">
        <v>44</v>
      </c>
      <c r="D2" s="4" t="s">
        <v>6</v>
      </c>
      <c r="E2">
        <v>0</v>
      </c>
      <c r="F2" s="3">
        <v>842</v>
      </c>
      <c r="G2" s="2">
        <v>0.6</v>
      </c>
      <c r="H2" s="3">
        <v>0</v>
      </c>
      <c r="I2" s="1">
        <v>45715</v>
      </c>
      <c r="J2" s="4" t="s">
        <v>7</v>
      </c>
      <c r="K2" s="4" t="s">
        <v>8</v>
      </c>
      <c r="L2" s="3">
        <v>2137.4499999999998</v>
      </c>
      <c r="M2" s="4" t="s">
        <v>1255</v>
      </c>
      <c r="N2" s="3">
        <v>0</v>
      </c>
      <c r="V2" s="5"/>
    </row>
    <row r="3" spans="1:22" hidden="1" x14ac:dyDescent="0.35">
      <c r="A3">
        <v>1001</v>
      </c>
      <c r="B3" t="s">
        <v>45</v>
      </c>
      <c r="C3" s="4" t="s">
        <v>46</v>
      </c>
      <c r="D3" s="4" t="s">
        <v>6</v>
      </c>
      <c r="E3">
        <v>1</v>
      </c>
      <c r="F3" s="3">
        <v>2691.7154999999998</v>
      </c>
      <c r="G3" s="2">
        <v>0.64652122641509402</v>
      </c>
      <c r="H3" s="3">
        <v>0</v>
      </c>
      <c r="I3" s="1">
        <v>45853</v>
      </c>
      <c r="J3" s="4" t="s">
        <v>9</v>
      </c>
      <c r="K3" s="4" t="s">
        <v>40</v>
      </c>
      <c r="L3" s="3">
        <v>1588.15</v>
      </c>
      <c r="M3" s="4" t="s">
        <v>1255</v>
      </c>
      <c r="N3" s="3">
        <v>2691.7154999999998</v>
      </c>
      <c r="V3" s="6"/>
    </row>
    <row r="4" spans="1:22" x14ac:dyDescent="0.35">
      <c r="A4">
        <v>1002</v>
      </c>
      <c r="B4" t="s">
        <v>47</v>
      </c>
      <c r="C4" s="4" t="s">
        <v>48</v>
      </c>
      <c r="D4" s="4" t="s">
        <v>34</v>
      </c>
      <c r="E4">
        <v>3</v>
      </c>
      <c r="F4" s="3">
        <v>2662.3820999999998</v>
      </c>
      <c r="G4" s="2">
        <v>0.67129032258064503</v>
      </c>
      <c r="H4" s="3">
        <v>0</v>
      </c>
      <c r="I4" s="1">
        <v>45853</v>
      </c>
      <c r="J4" s="4" t="s">
        <v>11</v>
      </c>
      <c r="K4" s="4" t="s">
        <v>8</v>
      </c>
      <c r="L4" s="3">
        <v>2315.23</v>
      </c>
      <c r="M4" s="4" t="s">
        <v>1255</v>
      </c>
      <c r="N4" s="3">
        <v>7987.1463000000003</v>
      </c>
    </row>
    <row r="5" spans="1:22" hidden="1" x14ac:dyDescent="0.35">
      <c r="A5">
        <v>1002</v>
      </c>
      <c r="B5" t="s">
        <v>49</v>
      </c>
      <c r="C5" s="4" t="s">
        <v>50</v>
      </c>
      <c r="D5" s="4" t="s">
        <v>33</v>
      </c>
      <c r="E5">
        <v>0</v>
      </c>
      <c r="F5" s="3">
        <v>2748.6568000000002</v>
      </c>
      <c r="G5" s="2">
        <v>0.64629757785467201</v>
      </c>
      <c r="H5" s="3">
        <v>0</v>
      </c>
      <c r="I5" s="1">
        <v>45729</v>
      </c>
      <c r="J5" s="4" t="s">
        <v>9</v>
      </c>
      <c r="K5" s="4" t="s">
        <v>40</v>
      </c>
      <c r="L5" s="3">
        <v>48.87</v>
      </c>
      <c r="M5" s="4" t="s">
        <v>1255</v>
      </c>
      <c r="N5" s="3">
        <v>0</v>
      </c>
    </row>
    <row r="6" spans="1:22" x14ac:dyDescent="0.35">
      <c r="A6">
        <v>1002</v>
      </c>
      <c r="B6" t="s">
        <v>1285</v>
      </c>
      <c r="C6" s="4" t="s">
        <v>51</v>
      </c>
      <c r="D6" s="4" t="s">
        <v>21</v>
      </c>
      <c r="E6">
        <v>0</v>
      </c>
      <c r="F6" s="3">
        <v>2942.95</v>
      </c>
      <c r="G6" s="2">
        <v>0.64480769230769197</v>
      </c>
      <c r="H6" s="3">
        <v>0</v>
      </c>
      <c r="I6" s="1">
        <v>45830</v>
      </c>
      <c r="J6" s="4" t="s">
        <v>18</v>
      </c>
      <c r="K6" s="4" t="s">
        <v>12</v>
      </c>
      <c r="L6" s="3">
        <v>-519.87</v>
      </c>
      <c r="M6" s="4" t="s">
        <v>1255</v>
      </c>
      <c r="N6" s="3">
        <v>0</v>
      </c>
    </row>
    <row r="7" spans="1:22" x14ac:dyDescent="0.35">
      <c r="A7">
        <v>1002</v>
      </c>
      <c r="B7" t="s">
        <v>52</v>
      </c>
      <c r="C7" s="4" t="s">
        <v>53</v>
      </c>
      <c r="D7" s="4" t="s">
        <v>16</v>
      </c>
      <c r="E7">
        <v>-1</v>
      </c>
      <c r="F7" s="3">
        <v>4351.1099999999997</v>
      </c>
      <c r="G7" s="2">
        <v>0.63268595041322295</v>
      </c>
      <c r="H7" s="3">
        <v>0</v>
      </c>
      <c r="I7" s="1">
        <v>45518</v>
      </c>
      <c r="J7" s="4" t="s">
        <v>20</v>
      </c>
      <c r="K7" s="4" t="s">
        <v>8</v>
      </c>
      <c r="L7" s="3">
        <v>-190.68</v>
      </c>
      <c r="M7" s="4" t="s">
        <v>1255</v>
      </c>
      <c r="N7" s="3">
        <v>-4351.1099999999997</v>
      </c>
    </row>
    <row r="8" spans="1:22" x14ac:dyDescent="0.35">
      <c r="A8">
        <v>1002</v>
      </c>
      <c r="B8" t="s">
        <v>54</v>
      </c>
      <c r="C8" s="4" t="s">
        <v>55</v>
      </c>
      <c r="D8" s="4" t="s">
        <v>10</v>
      </c>
      <c r="E8">
        <v>1</v>
      </c>
      <c r="F8" s="3">
        <v>2688.2804000000001</v>
      </c>
      <c r="G8" s="2">
        <v>0.64626847290640399</v>
      </c>
      <c r="H8" s="3">
        <v>0</v>
      </c>
      <c r="I8" s="1">
        <v>45657</v>
      </c>
      <c r="J8" s="4" t="s">
        <v>9</v>
      </c>
      <c r="K8" s="4" t="s">
        <v>12</v>
      </c>
      <c r="L8" s="3">
        <v>2513.75</v>
      </c>
      <c r="M8" s="4" t="s">
        <v>1255</v>
      </c>
      <c r="N8" s="3">
        <v>2688.2804000000001</v>
      </c>
    </row>
    <row r="9" spans="1:22" x14ac:dyDescent="0.35">
      <c r="A9">
        <v>1002</v>
      </c>
      <c r="B9" t="s">
        <v>56</v>
      </c>
      <c r="C9" s="4" t="s">
        <v>57</v>
      </c>
      <c r="D9" s="4" t="s">
        <v>10</v>
      </c>
      <c r="E9">
        <v>1</v>
      </c>
      <c r="F9" s="3">
        <v>637.82000000000005</v>
      </c>
      <c r="G9" s="2">
        <v>0.64652122641509402</v>
      </c>
      <c r="H9" s="3">
        <v>0</v>
      </c>
      <c r="I9" s="1">
        <v>45659</v>
      </c>
      <c r="J9" s="4" t="s">
        <v>11</v>
      </c>
      <c r="K9" s="4" t="s">
        <v>12</v>
      </c>
      <c r="L9" s="3">
        <v>-158.03</v>
      </c>
      <c r="M9" s="4" t="s">
        <v>1255</v>
      </c>
      <c r="N9" s="3">
        <v>637.82000000000005</v>
      </c>
    </row>
    <row r="10" spans="1:22" x14ac:dyDescent="0.35">
      <c r="A10">
        <v>1003</v>
      </c>
      <c r="B10" t="s">
        <v>58</v>
      </c>
      <c r="C10" s="4" t="s">
        <v>59</v>
      </c>
      <c r="D10" s="4" t="s">
        <v>13</v>
      </c>
      <c r="E10">
        <v>2</v>
      </c>
      <c r="F10" s="3">
        <v>2962.27</v>
      </c>
      <c r="G10" s="2">
        <v>0.64652122641509402</v>
      </c>
      <c r="H10" s="3">
        <v>0</v>
      </c>
      <c r="I10" s="1">
        <v>45826</v>
      </c>
      <c r="J10" s="4" t="s">
        <v>18</v>
      </c>
      <c r="K10" s="4" t="s">
        <v>12</v>
      </c>
      <c r="L10" s="3">
        <v>2296.5</v>
      </c>
      <c r="M10" s="4" t="s">
        <v>1255</v>
      </c>
      <c r="N10" s="3">
        <v>5924.54</v>
      </c>
    </row>
    <row r="11" spans="1:22" x14ac:dyDescent="0.35">
      <c r="A11">
        <v>1003</v>
      </c>
      <c r="B11" t="s">
        <v>60</v>
      </c>
      <c r="C11" s="4" t="s">
        <v>61</v>
      </c>
      <c r="D11" s="4" t="s">
        <v>32</v>
      </c>
      <c r="E11">
        <v>-2</v>
      </c>
      <c r="F11" s="3">
        <v>2700.9094</v>
      </c>
      <c r="G11" s="2">
        <v>0.65717850287907797</v>
      </c>
      <c r="H11" s="3">
        <v>0</v>
      </c>
      <c r="I11" s="1">
        <v>45741</v>
      </c>
      <c r="J11" s="4" t="s">
        <v>20</v>
      </c>
      <c r="K11" s="4" t="s">
        <v>12</v>
      </c>
      <c r="L11" s="3">
        <v>2368.6999999999998</v>
      </c>
      <c r="M11" s="4" t="s">
        <v>1255</v>
      </c>
      <c r="N11" s="3">
        <v>-5401.8188</v>
      </c>
    </row>
    <row r="12" spans="1:22" x14ac:dyDescent="0.35">
      <c r="A12">
        <v>1003</v>
      </c>
      <c r="B12" t="s">
        <v>62</v>
      </c>
      <c r="C12" s="4" t="s">
        <v>63</v>
      </c>
      <c r="D12" s="4" t="s">
        <v>10</v>
      </c>
      <c r="E12">
        <v>0</v>
      </c>
      <c r="F12" s="3">
        <v>1685.85</v>
      </c>
      <c r="G12" s="2">
        <v>0.658159645232816</v>
      </c>
      <c r="H12" s="3">
        <v>0</v>
      </c>
      <c r="I12" s="1">
        <v>45567</v>
      </c>
      <c r="J12" s="4" t="s">
        <v>23</v>
      </c>
      <c r="K12" s="4" t="s">
        <v>8</v>
      </c>
      <c r="L12" s="3">
        <v>-298.61</v>
      </c>
      <c r="M12" s="4" t="s">
        <v>1255</v>
      </c>
      <c r="N12" s="3">
        <v>0</v>
      </c>
    </row>
    <row r="13" spans="1:22" x14ac:dyDescent="0.35">
      <c r="A13">
        <v>1003</v>
      </c>
      <c r="B13" t="s">
        <v>1286</v>
      </c>
      <c r="C13" s="4" t="s">
        <v>64</v>
      </c>
      <c r="D13" s="4" t="s">
        <v>21</v>
      </c>
      <c r="E13">
        <v>-1</v>
      </c>
      <c r="F13" s="3">
        <v>4426.82</v>
      </c>
      <c r="G13" s="2">
        <v>0.64546153846153898</v>
      </c>
      <c r="H13" s="3">
        <v>0</v>
      </c>
      <c r="I13" s="1">
        <v>45780</v>
      </c>
      <c r="J13" s="4" t="s">
        <v>23</v>
      </c>
      <c r="K13" s="4" t="s">
        <v>8</v>
      </c>
      <c r="L13" s="3">
        <v>2095.4499999999998</v>
      </c>
      <c r="M13" s="4" t="s">
        <v>1255</v>
      </c>
      <c r="N13" s="3">
        <v>-4426.82</v>
      </c>
    </row>
    <row r="14" spans="1:22" hidden="1" x14ac:dyDescent="0.35">
      <c r="A14">
        <v>1003</v>
      </c>
      <c r="B14" t="s">
        <v>65</v>
      </c>
      <c r="C14" s="4" t="s">
        <v>66</v>
      </c>
      <c r="D14" s="4" t="s">
        <v>10</v>
      </c>
      <c r="E14">
        <v>-2</v>
      </c>
      <c r="F14" s="3">
        <v>548.19000000000005</v>
      </c>
      <c r="G14" s="2">
        <v>0.64704545454545503</v>
      </c>
      <c r="H14" s="3">
        <v>0</v>
      </c>
      <c r="I14" s="1">
        <v>45603</v>
      </c>
      <c r="J14" s="4" t="s">
        <v>11</v>
      </c>
      <c r="K14" s="4" t="s">
        <v>40</v>
      </c>
      <c r="L14" s="3">
        <v>259.02999999999997</v>
      </c>
      <c r="M14" s="4" t="s">
        <v>1255</v>
      </c>
      <c r="N14" s="3">
        <v>-1096.3800000000001</v>
      </c>
    </row>
    <row r="15" spans="1:22" x14ac:dyDescent="0.35">
      <c r="A15">
        <v>1003</v>
      </c>
      <c r="B15" t="s">
        <v>67</v>
      </c>
      <c r="C15" s="4" t="s">
        <v>68</v>
      </c>
      <c r="D15" s="4" t="s">
        <v>6</v>
      </c>
      <c r="E15">
        <v>0</v>
      </c>
      <c r="F15" s="3">
        <v>2835.973</v>
      </c>
      <c r="G15" s="2">
        <v>0.603883495145631</v>
      </c>
      <c r="H15" s="3">
        <v>0</v>
      </c>
      <c r="I15" s="1">
        <v>45396</v>
      </c>
      <c r="J15" s="4" t="s">
        <v>11</v>
      </c>
      <c r="K15" s="4" t="s">
        <v>8</v>
      </c>
      <c r="L15" s="3">
        <v>-756.14</v>
      </c>
      <c r="M15" s="4" t="s">
        <v>1255</v>
      </c>
      <c r="N15" s="3">
        <v>0</v>
      </c>
    </row>
    <row r="16" spans="1:22" hidden="1" x14ac:dyDescent="0.35">
      <c r="A16">
        <v>1004</v>
      </c>
      <c r="B16" t="s">
        <v>69</v>
      </c>
      <c r="C16" s="4" t="s">
        <v>70</v>
      </c>
      <c r="D16" s="4" t="s">
        <v>14</v>
      </c>
      <c r="E16">
        <v>1</v>
      </c>
      <c r="F16" s="3">
        <v>2881.07</v>
      </c>
      <c r="G16" s="2">
        <v>0.27</v>
      </c>
      <c r="H16" s="3">
        <v>2103.1799999999998</v>
      </c>
      <c r="I16" s="1">
        <v>45826</v>
      </c>
      <c r="J16" s="4" t="s">
        <v>23</v>
      </c>
      <c r="K16" s="4" t="s">
        <v>40</v>
      </c>
      <c r="L16" s="3">
        <v>63.66</v>
      </c>
      <c r="M16" s="4" t="s">
        <v>1256</v>
      </c>
      <c r="N16" s="3">
        <v>2881.07</v>
      </c>
    </row>
    <row r="17" spans="1:14" x14ac:dyDescent="0.35">
      <c r="A17">
        <v>1004</v>
      </c>
      <c r="B17" t="s">
        <v>71</v>
      </c>
      <c r="C17" s="4" t="s">
        <v>72</v>
      </c>
      <c r="D17" s="4" t="s">
        <v>32</v>
      </c>
      <c r="E17">
        <v>6</v>
      </c>
      <c r="F17" s="3">
        <v>987.35</v>
      </c>
      <c r="G17" s="2">
        <v>0.65124800000000005</v>
      </c>
      <c r="H17" s="3">
        <v>0</v>
      </c>
      <c r="I17" s="1">
        <v>45692</v>
      </c>
      <c r="J17" s="4" t="s">
        <v>11</v>
      </c>
      <c r="K17" s="4" t="s">
        <v>12</v>
      </c>
      <c r="L17" s="3">
        <v>-108.36</v>
      </c>
      <c r="M17" s="4" t="s">
        <v>1255</v>
      </c>
      <c r="N17" s="3">
        <v>5924.1</v>
      </c>
    </row>
    <row r="18" spans="1:14" hidden="1" x14ac:dyDescent="0.35">
      <c r="A18">
        <v>1004</v>
      </c>
      <c r="B18" t="s">
        <v>73</v>
      </c>
      <c r="C18" s="4" t="s">
        <v>74</v>
      </c>
      <c r="D18" s="4" t="s">
        <v>13</v>
      </c>
      <c r="E18">
        <v>0</v>
      </c>
      <c r="F18" s="3">
        <v>2750.6736000000001</v>
      </c>
      <c r="G18" s="2">
        <v>0.64</v>
      </c>
      <c r="H18" s="3">
        <v>0</v>
      </c>
      <c r="I18" s="1">
        <v>45658</v>
      </c>
      <c r="J18" s="4" t="s">
        <v>20</v>
      </c>
      <c r="K18" s="4" t="s">
        <v>40</v>
      </c>
      <c r="L18" s="3">
        <v>968.3</v>
      </c>
      <c r="M18" s="4" t="s">
        <v>1255</v>
      </c>
      <c r="N18" s="3">
        <v>0</v>
      </c>
    </row>
    <row r="19" spans="1:14" hidden="1" x14ac:dyDescent="0.35">
      <c r="A19">
        <v>1004</v>
      </c>
      <c r="B19" s="4" t="s">
        <v>75</v>
      </c>
      <c r="C19" s="4" t="s">
        <v>76</v>
      </c>
      <c r="D19" s="4" t="s">
        <v>6</v>
      </c>
      <c r="E19">
        <v>0</v>
      </c>
      <c r="F19" s="3">
        <v>977.64</v>
      </c>
      <c r="G19" s="2">
        <v>0.63529100529100502</v>
      </c>
      <c r="H19" s="3">
        <v>0</v>
      </c>
      <c r="I19" s="1">
        <v>45613</v>
      </c>
      <c r="J19" s="4" t="s">
        <v>18</v>
      </c>
      <c r="K19" s="4" t="s">
        <v>40</v>
      </c>
      <c r="L19" s="3">
        <v>2702.46</v>
      </c>
      <c r="M19" s="4" t="s">
        <v>1255</v>
      </c>
      <c r="N19" s="3">
        <v>0</v>
      </c>
    </row>
    <row r="20" spans="1:14" x14ac:dyDescent="0.35">
      <c r="A20">
        <v>1005</v>
      </c>
      <c r="B20" s="4" t="s">
        <v>77</v>
      </c>
      <c r="C20" s="4" t="s">
        <v>78</v>
      </c>
      <c r="D20" s="4" t="s">
        <v>15</v>
      </c>
      <c r="E20">
        <v>0</v>
      </c>
      <c r="F20" s="3">
        <v>2694.5383999999999</v>
      </c>
      <c r="G20" s="2">
        <v>0.64696576151121599</v>
      </c>
      <c r="H20" s="3">
        <v>0</v>
      </c>
      <c r="I20" s="1">
        <v>45265</v>
      </c>
      <c r="J20" s="4" t="s">
        <v>11</v>
      </c>
      <c r="K20" s="4" t="s">
        <v>12</v>
      </c>
      <c r="L20" s="3">
        <v>1477.73</v>
      </c>
      <c r="M20" s="4" t="s">
        <v>1255</v>
      </c>
      <c r="N20" s="3">
        <v>0</v>
      </c>
    </row>
    <row r="21" spans="1:14" x14ac:dyDescent="0.35">
      <c r="A21">
        <v>1005</v>
      </c>
      <c r="B21" s="4" t="s">
        <v>79</v>
      </c>
      <c r="C21" s="4" t="s">
        <v>80</v>
      </c>
      <c r="D21" s="4" t="s">
        <v>21</v>
      </c>
      <c r="E21">
        <v>6</v>
      </c>
      <c r="F21" s="3">
        <v>2228.4499999999998</v>
      </c>
      <c r="G21" s="2">
        <v>1.2</v>
      </c>
      <c r="H21" s="3">
        <v>-2674.14</v>
      </c>
      <c r="I21" s="1">
        <v>45694</v>
      </c>
      <c r="J21" s="4" t="s">
        <v>18</v>
      </c>
      <c r="K21" s="4" t="s">
        <v>8</v>
      </c>
      <c r="L21" s="3">
        <v>2728.03</v>
      </c>
      <c r="M21" s="4" t="s">
        <v>1255</v>
      </c>
      <c r="N21" s="3">
        <v>13370.7</v>
      </c>
    </row>
    <row r="22" spans="1:14" x14ac:dyDescent="0.35">
      <c r="A22">
        <v>1006</v>
      </c>
      <c r="B22" s="4" t="s">
        <v>81</v>
      </c>
      <c r="C22" s="4" t="s">
        <v>82</v>
      </c>
      <c r="D22" s="4" t="s">
        <v>34</v>
      </c>
      <c r="E22">
        <v>-2</v>
      </c>
      <c r="F22" s="3">
        <v>714.5</v>
      </c>
      <c r="G22" s="2">
        <v>0.72</v>
      </c>
      <c r="H22" s="3">
        <v>-400.12</v>
      </c>
      <c r="I22" s="1">
        <v>45497</v>
      </c>
      <c r="J22" s="4" t="s">
        <v>7</v>
      </c>
      <c r="K22" s="4" t="s">
        <v>12</v>
      </c>
      <c r="L22" s="3">
        <v>-29.59</v>
      </c>
      <c r="M22" s="4" t="s">
        <v>1255</v>
      </c>
      <c r="N22" s="3">
        <v>-1429</v>
      </c>
    </row>
    <row r="23" spans="1:14" x14ac:dyDescent="0.35">
      <c r="A23">
        <v>1006</v>
      </c>
      <c r="B23" s="4" t="s">
        <v>83</v>
      </c>
      <c r="C23" s="4" t="s">
        <v>84</v>
      </c>
      <c r="D23" s="4" t="s">
        <v>29</v>
      </c>
      <c r="E23">
        <v>2</v>
      </c>
      <c r="F23" s="3">
        <v>3593.06</v>
      </c>
      <c r="G23" s="2">
        <v>0.34</v>
      </c>
      <c r="H23" s="3">
        <v>4742.84</v>
      </c>
      <c r="I23" s="1">
        <v>45542</v>
      </c>
      <c r="J23" s="4" t="s">
        <v>23</v>
      </c>
      <c r="K23" s="4" t="s">
        <v>8</v>
      </c>
      <c r="L23" s="3">
        <v>1031.6600000000001</v>
      </c>
      <c r="M23" s="4" t="s">
        <v>1256</v>
      </c>
      <c r="N23" s="3">
        <v>7186.12</v>
      </c>
    </row>
    <row r="24" spans="1:14" x14ac:dyDescent="0.35">
      <c r="A24">
        <v>1006</v>
      </c>
      <c r="B24" s="4" t="s">
        <v>85</v>
      </c>
      <c r="C24" s="4" t="s">
        <v>86</v>
      </c>
      <c r="D24" s="4" t="s">
        <v>14</v>
      </c>
      <c r="E24">
        <v>3</v>
      </c>
      <c r="F24" s="3">
        <v>3891.07</v>
      </c>
      <c r="G24" s="2">
        <v>0.2</v>
      </c>
      <c r="H24" s="3">
        <v>9338.57</v>
      </c>
      <c r="I24" s="1">
        <v>45856</v>
      </c>
      <c r="J24" s="4" t="s">
        <v>9</v>
      </c>
      <c r="K24" s="4" t="s">
        <v>8</v>
      </c>
      <c r="L24" s="3">
        <v>-861.28</v>
      </c>
      <c r="M24" s="4" t="s">
        <v>1256</v>
      </c>
      <c r="N24" s="3">
        <v>11673.21</v>
      </c>
    </row>
    <row r="25" spans="1:14" x14ac:dyDescent="0.35">
      <c r="A25">
        <v>1006</v>
      </c>
      <c r="B25" s="4" t="s">
        <v>87</v>
      </c>
      <c r="C25" s="4" t="s">
        <v>88</v>
      </c>
      <c r="D25" s="4" t="s">
        <v>34</v>
      </c>
      <c r="E25">
        <v>4</v>
      </c>
      <c r="F25" s="3">
        <v>2691.5636</v>
      </c>
      <c r="G25" s="2">
        <v>0.65575139146567696</v>
      </c>
      <c r="H25" s="3">
        <v>0</v>
      </c>
      <c r="I25" s="1">
        <v>45762</v>
      </c>
      <c r="J25" s="4" t="s">
        <v>11</v>
      </c>
      <c r="K25" s="4" t="s">
        <v>12</v>
      </c>
      <c r="L25" s="3">
        <v>1663.32</v>
      </c>
      <c r="M25" s="4" t="s">
        <v>1255</v>
      </c>
      <c r="N25" s="3">
        <v>10766.2544</v>
      </c>
    </row>
    <row r="26" spans="1:14" x14ac:dyDescent="0.35">
      <c r="A26">
        <v>1006</v>
      </c>
      <c r="B26" s="4" t="s">
        <v>89</v>
      </c>
      <c r="C26" s="4" t="s">
        <v>90</v>
      </c>
      <c r="D26" s="4" t="s">
        <v>13</v>
      </c>
      <c r="E26">
        <v>0</v>
      </c>
      <c r="F26" s="3">
        <v>2520.44</v>
      </c>
      <c r="G26" s="2">
        <v>0.15</v>
      </c>
      <c r="H26" s="3">
        <v>0</v>
      </c>
      <c r="I26" s="1">
        <v>45698</v>
      </c>
      <c r="J26" s="4" t="s">
        <v>18</v>
      </c>
      <c r="K26" s="4" t="s">
        <v>8</v>
      </c>
      <c r="L26" s="3">
        <v>2408.2800000000002</v>
      </c>
      <c r="M26" s="4" t="s">
        <v>1255</v>
      </c>
      <c r="N26" s="3">
        <v>0</v>
      </c>
    </row>
    <row r="27" spans="1:14" x14ac:dyDescent="0.35">
      <c r="A27">
        <v>1006</v>
      </c>
      <c r="B27" s="4" t="s">
        <v>91</v>
      </c>
      <c r="C27" s="4" t="s">
        <v>92</v>
      </c>
      <c r="D27" s="4" t="s">
        <v>32</v>
      </c>
      <c r="E27">
        <v>0</v>
      </c>
      <c r="F27" s="3">
        <v>732.96</v>
      </c>
      <c r="G27" s="2">
        <v>0.21</v>
      </c>
      <c r="H27" s="3">
        <v>0</v>
      </c>
      <c r="I27" s="1">
        <v>45375</v>
      </c>
      <c r="J27" s="4" t="s">
        <v>23</v>
      </c>
      <c r="K27" s="4" t="s">
        <v>12</v>
      </c>
      <c r="L27" s="3">
        <v>-702.58</v>
      </c>
      <c r="M27" s="4" t="s">
        <v>1255</v>
      </c>
      <c r="N27" s="3">
        <v>0</v>
      </c>
    </row>
    <row r="28" spans="1:14" x14ac:dyDescent="0.35">
      <c r="A28">
        <v>1006</v>
      </c>
      <c r="B28" s="4" t="s">
        <v>93</v>
      </c>
      <c r="C28" s="4" t="s">
        <v>94</v>
      </c>
      <c r="D28" s="4" t="s">
        <v>16</v>
      </c>
      <c r="E28">
        <v>1</v>
      </c>
      <c r="F28" s="3">
        <v>2060.85</v>
      </c>
      <c r="G28" s="2">
        <v>0.64696576151121599</v>
      </c>
      <c r="H28" s="3">
        <v>0</v>
      </c>
      <c r="I28" s="1">
        <v>45384</v>
      </c>
      <c r="J28" s="4" t="s">
        <v>9</v>
      </c>
      <c r="K28" s="4" t="s">
        <v>12</v>
      </c>
      <c r="L28" s="3">
        <v>198.36</v>
      </c>
      <c r="M28" s="4" t="s">
        <v>1255</v>
      </c>
      <c r="N28" s="3">
        <v>2060.85</v>
      </c>
    </row>
    <row r="29" spans="1:14" hidden="1" x14ac:dyDescent="0.35">
      <c r="A29">
        <v>1007</v>
      </c>
      <c r="B29" s="4" t="s">
        <v>43</v>
      </c>
      <c r="C29" s="4" t="s">
        <v>95</v>
      </c>
      <c r="D29" s="4" t="s">
        <v>35</v>
      </c>
      <c r="E29">
        <v>0</v>
      </c>
      <c r="F29" s="3">
        <v>3402.85</v>
      </c>
      <c r="G29" s="2">
        <v>0.63</v>
      </c>
      <c r="H29" s="3">
        <v>0</v>
      </c>
      <c r="I29" s="1">
        <v>45773</v>
      </c>
      <c r="J29" s="4" t="s">
        <v>20</v>
      </c>
      <c r="K29" s="4" t="s">
        <v>40</v>
      </c>
      <c r="L29" s="3">
        <v>1333.09</v>
      </c>
      <c r="M29" s="4" t="s">
        <v>1255</v>
      </c>
      <c r="N29" s="3">
        <v>0</v>
      </c>
    </row>
    <row r="30" spans="1:14" x14ac:dyDescent="0.35">
      <c r="A30">
        <v>1007</v>
      </c>
      <c r="B30" s="4" t="s">
        <v>96</v>
      </c>
      <c r="C30" s="4" t="s">
        <v>97</v>
      </c>
      <c r="D30" s="4" t="s">
        <v>17</v>
      </c>
      <c r="E30">
        <v>0</v>
      </c>
      <c r="F30" s="3">
        <v>3669.56</v>
      </c>
      <c r="G30" s="2">
        <v>0.64696576151121599</v>
      </c>
      <c r="H30" s="3">
        <v>0</v>
      </c>
      <c r="I30" s="1">
        <v>45384</v>
      </c>
      <c r="J30" s="4" t="s">
        <v>18</v>
      </c>
      <c r="K30" s="4" t="s">
        <v>8</v>
      </c>
      <c r="L30" s="3">
        <v>2490.0100000000002</v>
      </c>
      <c r="M30" s="4" t="s">
        <v>1255</v>
      </c>
      <c r="N30" s="3">
        <v>0</v>
      </c>
    </row>
    <row r="31" spans="1:14" x14ac:dyDescent="0.35">
      <c r="A31">
        <v>1008</v>
      </c>
      <c r="B31" s="4" t="s">
        <v>98</v>
      </c>
      <c r="C31" s="4" t="s">
        <v>99</v>
      </c>
      <c r="D31" s="4" t="s">
        <v>19</v>
      </c>
      <c r="E31">
        <v>0</v>
      </c>
      <c r="F31" s="3">
        <v>2694.8863999999999</v>
      </c>
      <c r="G31" s="2">
        <v>0.64696576151121599</v>
      </c>
      <c r="H31" s="3">
        <v>0</v>
      </c>
      <c r="I31" s="1">
        <v>45384</v>
      </c>
      <c r="J31" s="4" t="s">
        <v>9</v>
      </c>
      <c r="K31" s="4" t="s">
        <v>8</v>
      </c>
      <c r="L31" s="3">
        <v>-886.8</v>
      </c>
      <c r="M31" s="4" t="s">
        <v>1255</v>
      </c>
      <c r="N31" s="3">
        <v>0</v>
      </c>
    </row>
    <row r="32" spans="1:14" x14ac:dyDescent="0.35">
      <c r="A32">
        <v>1008</v>
      </c>
      <c r="B32" s="4" t="s">
        <v>56</v>
      </c>
      <c r="C32" s="4" t="s">
        <v>100</v>
      </c>
      <c r="D32" s="4" t="s">
        <v>26</v>
      </c>
      <c r="E32">
        <v>2</v>
      </c>
      <c r="F32" s="3">
        <v>2319.84</v>
      </c>
      <c r="G32" s="2">
        <v>0.64576341127922998</v>
      </c>
      <c r="H32" s="3">
        <v>0</v>
      </c>
      <c r="I32" s="1">
        <v>45705</v>
      </c>
      <c r="J32" s="4" t="s">
        <v>18</v>
      </c>
      <c r="K32" s="4" t="s">
        <v>12</v>
      </c>
      <c r="L32" s="3">
        <v>1669.55</v>
      </c>
      <c r="M32" s="4" t="s">
        <v>1255</v>
      </c>
      <c r="N32" s="3">
        <v>4639.68</v>
      </c>
    </row>
    <row r="33" spans="1:14" x14ac:dyDescent="0.35">
      <c r="A33">
        <v>1009</v>
      </c>
      <c r="B33" s="4" t="s">
        <v>101</v>
      </c>
      <c r="C33" s="4" t="s">
        <v>102</v>
      </c>
      <c r="D33" s="4" t="s">
        <v>32</v>
      </c>
      <c r="E33">
        <v>6</v>
      </c>
      <c r="F33" s="3">
        <v>2739.5266999999999</v>
      </c>
      <c r="G33" s="2">
        <v>1.27</v>
      </c>
      <c r="H33" s="3">
        <v>0</v>
      </c>
      <c r="I33" s="1">
        <v>45606</v>
      </c>
      <c r="J33" s="4" t="s">
        <v>18</v>
      </c>
      <c r="K33" s="4" t="s">
        <v>8</v>
      </c>
      <c r="L33" s="3">
        <v>2936.21</v>
      </c>
      <c r="M33" s="4" t="s">
        <v>1255</v>
      </c>
      <c r="N33" s="3">
        <v>16437.160199999998</v>
      </c>
    </row>
    <row r="34" spans="1:14" x14ac:dyDescent="0.35">
      <c r="A34">
        <v>1009</v>
      </c>
      <c r="B34" s="4" t="s">
        <v>103</v>
      </c>
      <c r="C34" s="4" t="s">
        <v>104</v>
      </c>
      <c r="D34" s="4" t="s">
        <v>37</v>
      </c>
      <c r="E34">
        <v>5</v>
      </c>
      <c r="F34" s="3">
        <v>2694.1273000000001</v>
      </c>
      <c r="G34" s="2">
        <v>0.64696576151121599</v>
      </c>
      <c r="H34" s="3">
        <v>0</v>
      </c>
      <c r="I34" s="1">
        <v>45858</v>
      </c>
      <c r="J34" s="4" t="s">
        <v>18</v>
      </c>
      <c r="K34" s="4" t="s">
        <v>12</v>
      </c>
      <c r="L34" s="3">
        <v>-972.73</v>
      </c>
      <c r="M34" s="4" t="s">
        <v>1255</v>
      </c>
      <c r="N34" s="3">
        <v>13470.636500000001</v>
      </c>
    </row>
    <row r="35" spans="1:14" x14ac:dyDescent="0.35">
      <c r="A35">
        <v>1010</v>
      </c>
      <c r="B35" s="4" t="s">
        <v>105</v>
      </c>
      <c r="C35" s="4" t="s">
        <v>106</v>
      </c>
      <c r="D35" s="4" t="s">
        <v>15</v>
      </c>
      <c r="E35">
        <v>0</v>
      </c>
      <c r="F35" s="3">
        <v>4007.02</v>
      </c>
      <c r="G35" s="2">
        <v>0.64696576151121599</v>
      </c>
      <c r="H35" s="3">
        <v>0</v>
      </c>
      <c r="I35" s="1">
        <v>45858</v>
      </c>
      <c r="J35" s="4" t="s">
        <v>20</v>
      </c>
      <c r="K35" s="4" t="s">
        <v>12</v>
      </c>
      <c r="L35" s="3">
        <v>-950.38</v>
      </c>
      <c r="M35" s="4" t="s">
        <v>1255</v>
      </c>
      <c r="N35" s="3">
        <v>0</v>
      </c>
    </row>
    <row r="36" spans="1:14" x14ac:dyDescent="0.35">
      <c r="A36">
        <v>1010</v>
      </c>
      <c r="B36" s="4" t="s">
        <v>107</v>
      </c>
      <c r="C36" s="4" t="s">
        <v>108</v>
      </c>
      <c r="D36" s="4" t="s">
        <v>15</v>
      </c>
      <c r="E36">
        <v>0</v>
      </c>
      <c r="F36" s="3">
        <v>2680.0319</v>
      </c>
      <c r="G36" s="2">
        <v>0.64903350515463898</v>
      </c>
      <c r="H36" s="3">
        <v>0</v>
      </c>
      <c r="I36" s="1">
        <v>45804</v>
      </c>
      <c r="J36" s="4" t="s">
        <v>23</v>
      </c>
      <c r="K36" s="4" t="s">
        <v>8</v>
      </c>
      <c r="L36" s="3">
        <v>2709.47</v>
      </c>
      <c r="M36" s="4" t="s">
        <v>1255</v>
      </c>
      <c r="N36" s="3">
        <v>0</v>
      </c>
    </row>
    <row r="37" spans="1:14" hidden="1" x14ac:dyDescent="0.35">
      <c r="A37">
        <v>1010</v>
      </c>
      <c r="B37" s="4" t="s">
        <v>90</v>
      </c>
      <c r="C37" s="4" t="s">
        <v>109</v>
      </c>
      <c r="D37" s="4" t="s">
        <v>17</v>
      </c>
      <c r="E37">
        <v>2</v>
      </c>
      <c r="F37" s="3">
        <v>3134.69</v>
      </c>
      <c r="G37" s="2">
        <v>7.0000000000000007E-2</v>
      </c>
      <c r="H37" s="3">
        <v>5830.52</v>
      </c>
      <c r="I37" s="1">
        <v>45662</v>
      </c>
      <c r="J37" s="4" t="s">
        <v>7</v>
      </c>
      <c r="K37" s="4" t="s">
        <v>40</v>
      </c>
      <c r="L37" s="3">
        <v>555.44000000000005</v>
      </c>
      <c r="M37" s="4" t="s">
        <v>1256</v>
      </c>
      <c r="N37" s="3">
        <v>6269.38</v>
      </c>
    </row>
    <row r="38" spans="1:14" x14ac:dyDescent="0.35">
      <c r="A38">
        <v>1011</v>
      </c>
      <c r="B38" s="4" t="s">
        <v>96</v>
      </c>
      <c r="C38" s="4" t="s">
        <v>110</v>
      </c>
      <c r="D38" s="4" t="s">
        <v>19</v>
      </c>
      <c r="E38">
        <v>3</v>
      </c>
      <c r="F38" s="3">
        <v>2741.8591000000001</v>
      </c>
      <c r="G38" s="2">
        <v>0.64644699140401196</v>
      </c>
      <c r="H38" s="3">
        <v>0</v>
      </c>
      <c r="I38" s="1">
        <v>45535</v>
      </c>
      <c r="J38" s="4" t="s">
        <v>11</v>
      </c>
      <c r="K38" s="4" t="s">
        <v>12</v>
      </c>
      <c r="L38" s="3">
        <v>-360.37</v>
      </c>
      <c r="M38" s="4" t="s">
        <v>1255</v>
      </c>
      <c r="N38" s="3">
        <v>8225.5773000000008</v>
      </c>
    </row>
    <row r="39" spans="1:14" x14ac:dyDescent="0.35">
      <c r="A39">
        <v>1011</v>
      </c>
      <c r="B39" s="4" t="s">
        <v>111</v>
      </c>
      <c r="C39" s="4" t="s">
        <v>112</v>
      </c>
      <c r="D39" s="4" t="s">
        <v>17</v>
      </c>
      <c r="E39">
        <v>0</v>
      </c>
      <c r="F39" s="3">
        <v>2842.91</v>
      </c>
      <c r="G39" s="2">
        <v>0.65558139534883697</v>
      </c>
      <c r="H39" s="3">
        <v>0</v>
      </c>
      <c r="I39" s="1">
        <v>45828</v>
      </c>
      <c r="J39" s="4" t="s">
        <v>11</v>
      </c>
      <c r="K39" s="4" t="s">
        <v>8</v>
      </c>
      <c r="L39" s="3">
        <v>-835.65</v>
      </c>
      <c r="M39" s="4" t="s">
        <v>1255</v>
      </c>
      <c r="N39" s="3">
        <v>0</v>
      </c>
    </row>
    <row r="40" spans="1:14" x14ac:dyDescent="0.35">
      <c r="A40">
        <v>1011</v>
      </c>
      <c r="B40" s="4" t="s">
        <v>113</v>
      </c>
      <c r="C40" s="4" t="s">
        <v>114</v>
      </c>
      <c r="D40" s="4" t="s">
        <v>14</v>
      </c>
      <c r="E40">
        <v>0</v>
      </c>
      <c r="F40" s="3">
        <v>2694.1273000000001</v>
      </c>
      <c r="G40" s="2">
        <v>0.64696576151121599</v>
      </c>
      <c r="H40" s="3">
        <v>0</v>
      </c>
      <c r="I40" s="1">
        <v>45804</v>
      </c>
      <c r="J40" s="4" t="s">
        <v>7</v>
      </c>
      <c r="K40" s="4" t="s">
        <v>8</v>
      </c>
      <c r="L40" s="3">
        <v>1370.67</v>
      </c>
      <c r="M40" s="4" t="s">
        <v>1255</v>
      </c>
      <c r="N40" s="3">
        <v>0</v>
      </c>
    </row>
    <row r="41" spans="1:14" hidden="1" x14ac:dyDescent="0.35">
      <c r="A41">
        <v>1012</v>
      </c>
      <c r="B41" s="4" t="s">
        <v>115</v>
      </c>
      <c r="C41" s="4" t="s">
        <v>116</v>
      </c>
      <c r="D41" s="4" t="s">
        <v>30</v>
      </c>
      <c r="E41">
        <v>0</v>
      </c>
      <c r="F41" s="3">
        <v>1364.73</v>
      </c>
      <c r="G41" s="2">
        <v>0.71</v>
      </c>
      <c r="H41" s="3">
        <v>0</v>
      </c>
      <c r="I41" s="1">
        <v>45726</v>
      </c>
      <c r="J41" s="4" t="s">
        <v>11</v>
      </c>
      <c r="K41" s="4" t="s">
        <v>40</v>
      </c>
      <c r="L41" s="3">
        <v>-909.85</v>
      </c>
      <c r="M41" s="4" t="s">
        <v>1255</v>
      </c>
      <c r="N41" s="3">
        <v>0</v>
      </c>
    </row>
    <row r="42" spans="1:14" hidden="1" x14ac:dyDescent="0.35">
      <c r="A42">
        <v>1012</v>
      </c>
      <c r="B42" s="4" t="s">
        <v>117</v>
      </c>
      <c r="C42" s="4" t="s">
        <v>118</v>
      </c>
      <c r="D42" s="4" t="s">
        <v>21</v>
      </c>
      <c r="E42">
        <v>4</v>
      </c>
      <c r="F42" s="3">
        <v>2693.1039999999998</v>
      </c>
      <c r="G42" s="2">
        <v>0.21</v>
      </c>
      <c r="H42" s="3">
        <v>0</v>
      </c>
      <c r="I42" s="1">
        <v>45526</v>
      </c>
      <c r="J42" s="4" t="s">
        <v>9</v>
      </c>
      <c r="K42" s="4" t="s">
        <v>40</v>
      </c>
      <c r="L42" s="3">
        <v>843.61</v>
      </c>
      <c r="M42" s="4" t="s">
        <v>1255</v>
      </c>
      <c r="N42" s="3">
        <v>10772.415999999999</v>
      </c>
    </row>
    <row r="43" spans="1:14" x14ac:dyDescent="0.35">
      <c r="A43">
        <v>1012</v>
      </c>
      <c r="B43" s="4" t="s">
        <v>119</v>
      </c>
      <c r="C43" s="4" t="s">
        <v>120</v>
      </c>
      <c r="D43" s="4" t="s">
        <v>16</v>
      </c>
      <c r="E43">
        <v>0</v>
      </c>
      <c r="F43" s="3">
        <v>4129.37</v>
      </c>
      <c r="G43" s="2">
        <v>0.64846357615894001</v>
      </c>
      <c r="H43" s="3">
        <v>0</v>
      </c>
      <c r="I43" s="1">
        <v>45858</v>
      </c>
      <c r="J43" s="4" t="s">
        <v>7</v>
      </c>
      <c r="K43" s="4" t="s">
        <v>12</v>
      </c>
      <c r="L43" s="3">
        <v>2328.1</v>
      </c>
      <c r="M43" s="4" t="s">
        <v>1255</v>
      </c>
      <c r="N43" s="3">
        <v>0</v>
      </c>
    </row>
    <row r="44" spans="1:14" hidden="1" x14ac:dyDescent="0.35">
      <c r="A44">
        <v>1013</v>
      </c>
      <c r="B44" s="4" t="s">
        <v>121</v>
      </c>
      <c r="C44" s="4" t="s">
        <v>122</v>
      </c>
      <c r="D44" s="4" t="s">
        <v>10</v>
      </c>
      <c r="E44">
        <v>2</v>
      </c>
      <c r="F44" s="3">
        <v>2682.0533999999998</v>
      </c>
      <c r="G44" s="2">
        <v>0.64499298737727895</v>
      </c>
      <c r="H44" s="3">
        <v>0</v>
      </c>
      <c r="I44" s="1">
        <v>45574</v>
      </c>
      <c r="J44" s="4" t="s">
        <v>7</v>
      </c>
      <c r="K44" s="4" t="s">
        <v>40</v>
      </c>
      <c r="L44" s="3">
        <v>1647.38</v>
      </c>
      <c r="M44" s="4" t="s">
        <v>1255</v>
      </c>
      <c r="N44" s="3">
        <v>5364.1067999999996</v>
      </c>
    </row>
    <row r="45" spans="1:14" hidden="1" x14ac:dyDescent="0.35">
      <c r="A45">
        <v>1013</v>
      </c>
      <c r="B45" s="4" t="s">
        <v>123</v>
      </c>
      <c r="C45" s="4" t="s">
        <v>124</v>
      </c>
      <c r="D45" s="4" t="s">
        <v>22</v>
      </c>
      <c r="E45">
        <v>6</v>
      </c>
      <c r="F45" s="3">
        <v>2355.2800000000002</v>
      </c>
      <c r="G45" s="2">
        <v>0.64298360655737696</v>
      </c>
      <c r="H45" s="3">
        <v>0</v>
      </c>
      <c r="I45" s="1">
        <v>45674</v>
      </c>
      <c r="J45" s="4" t="s">
        <v>9</v>
      </c>
      <c r="K45" s="4" t="s">
        <v>40</v>
      </c>
      <c r="L45" s="3">
        <v>330.11</v>
      </c>
      <c r="M45" s="4" t="s">
        <v>1255</v>
      </c>
      <c r="N45" s="3">
        <v>14131.68</v>
      </c>
    </row>
    <row r="46" spans="1:14" hidden="1" x14ac:dyDescent="0.35">
      <c r="A46">
        <v>1013</v>
      </c>
      <c r="B46" s="4" t="s">
        <v>125</v>
      </c>
      <c r="C46" s="4" t="s">
        <v>126</v>
      </c>
      <c r="D46" s="4" t="s">
        <v>38</v>
      </c>
      <c r="E46">
        <v>6</v>
      </c>
      <c r="F46" s="3">
        <v>2625.2123000000001</v>
      </c>
      <c r="G46" s="2">
        <v>0.56000000000000005</v>
      </c>
      <c r="H46" s="3">
        <v>0</v>
      </c>
      <c r="I46" s="1">
        <v>45589</v>
      </c>
      <c r="J46" s="4" t="s">
        <v>23</v>
      </c>
      <c r="K46" s="4" t="s">
        <v>40</v>
      </c>
      <c r="L46" s="3">
        <v>-270.22000000000003</v>
      </c>
      <c r="M46" s="4" t="s">
        <v>1255</v>
      </c>
      <c r="N46" s="3">
        <v>15751.273800000001</v>
      </c>
    </row>
    <row r="47" spans="1:14" x14ac:dyDescent="0.35">
      <c r="A47">
        <v>1013</v>
      </c>
      <c r="B47" s="4" t="s">
        <v>122</v>
      </c>
      <c r="C47" s="4" t="s">
        <v>127</v>
      </c>
      <c r="D47" s="4" t="s">
        <v>15</v>
      </c>
      <c r="E47">
        <v>0</v>
      </c>
      <c r="F47" s="3">
        <v>2693.1039999999998</v>
      </c>
      <c r="G47" s="2">
        <v>0.62</v>
      </c>
      <c r="H47" s="3">
        <v>0</v>
      </c>
      <c r="I47" s="1">
        <v>45526</v>
      </c>
      <c r="J47" s="4" t="s">
        <v>20</v>
      </c>
      <c r="K47" s="4" t="s">
        <v>8</v>
      </c>
      <c r="L47" s="3">
        <v>1279.58</v>
      </c>
      <c r="M47" s="4" t="s">
        <v>1255</v>
      </c>
      <c r="N47" s="3">
        <v>0</v>
      </c>
    </row>
    <row r="48" spans="1:14" x14ac:dyDescent="0.35">
      <c r="A48">
        <v>1014</v>
      </c>
      <c r="B48" s="4" t="s">
        <v>128</v>
      </c>
      <c r="C48" s="4" t="s">
        <v>129</v>
      </c>
      <c r="D48" s="4" t="s">
        <v>25</v>
      </c>
      <c r="E48">
        <v>0</v>
      </c>
      <c r="F48" s="3">
        <v>3172.11</v>
      </c>
      <c r="G48" s="2">
        <v>0.64324561403508795</v>
      </c>
      <c r="H48" s="3">
        <v>0</v>
      </c>
      <c r="I48" s="1">
        <v>45176</v>
      </c>
      <c r="J48" s="4" t="s">
        <v>11</v>
      </c>
      <c r="K48" s="4" t="s">
        <v>8</v>
      </c>
      <c r="L48" s="3">
        <v>673.33</v>
      </c>
      <c r="M48" s="4" t="s">
        <v>1255</v>
      </c>
      <c r="N48" s="3">
        <v>0</v>
      </c>
    </row>
    <row r="49" spans="1:14" hidden="1" x14ac:dyDescent="0.35">
      <c r="A49">
        <v>1014</v>
      </c>
      <c r="B49" s="4" t="s">
        <v>130</v>
      </c>
      <c r="C49" s="4" t="s">
        <v>131</v>
      </c>
      <c r="D49" s="4" t="s">
        <v>32</v>
      </c>
      <c r="E49">
        <v>0</v>
      </c>
      <c r="F49" s="3">
        <v>784.1</v>
      </c>
      <c r="G49" s="2">
        <v>0.64464788732394396</v>
      </c>
      <c r="H49" s="3">
        <v>0</v>
      </c>
      <c r="I49" s="1">
        <v>45693</v>
      </c>
      <c r="J49" s="4" t="s">
        <v>7</v>
      </c>
      <c r="K49" s="4" t="s">
        <v>40</v>
      </c>
      <c r="L49" s="3">
        <v>401.24</v>
      </c>
      <c r="M49" s="4" t="s">
        <v>1255</v>
      </c>
      <c r="N49" s="3">
        <v>0</v>
      </c>
    </row>
    <row r="50" spans="1:14" hidden="1" x14ac:dyDescent="0.35">
      <c r="A50">
        <v>1014</v>
      </c>
      <c r="B50" s="4" t="s">
        <v>132</v>
      </c>
      <c r="C50" s="4" t="s">
        <v>133</v>
      </c>
      <c r="D50" s="4" t="s">
        <v>6</v>
      </c>
      <c r="E50">
        <v>5</v>
      </c>
      <c r="F50" s="3">
        <v>2951.4</v>
      </c>
      <c r="G50" s="2">
        <v>0.65707664884135397</v>
      </c>
      <c r="H50" s="3">
        <v>0</v>
      </c>
      <c r="I50" s="1">
        <v>45609</v>
      </c>
      <c r="J50" s="4" t="s">
        <v>7</v>
      </c>
      <c r="K50" s="4" t="s">
        <v>40</v>
      </c>
      <c r="L50" s="3">
        <v>2811.87</v>
      </c>
      <c r="M50" s="4" t="s">
        <v>1255</v>
      </c>
      <c r="N50" s="3">
        <v>14757</v>
      </c>
    </row>
    <row r="51" spans="1:14" x14ac:dyDescent="0.35">
      <c r="A51">
        <v>1014</v>
      </c>
      <c r="B51" s="4" t="s">
        <v>134</v>
      </c>
      <c r="C51" s="4" t="s">
        <v>135</v>
      </c>
      <c r="D51" s="4" t="s">
        <v>16</v>
      </c>
      <c r="E51">
        <v>0</v>
      </c>
      <c r="F51" s="3">
        <v>2744.3209000000002</v>
      </c>
      <c r="G51" s="2">
        <v>0.63912878787878802</v>
      </c>
      <c r="H51" s="3">
        <v>0</v>
      </c>
      <c r="I51" s="1">
        <v>45704</v>
      </c>
      <c r="J51" s="4" t="s">
        <v>7</v>
      </c>
      <c r="K51" s="4" t="s">
        <v>12</v>
      </c>
      <c r="L51" s="3">
        <v>2219.4899999999998</v>
      </c>
      <c r="M51" s="4" t="s">
        <v>1255</v>
      </c>
      <c r="N51" s="3">
        <v>0</v>
      </c>
    </row>
    <row r="52" spans="1:14" x14ac:dyDescent="0.35">
      <c r="A52">
        <v>1014</v>
      </c>
      <c r="B52" s="4" t="s">
        <v>136</v>
      </c>
      <c r="C52" s="4" t="s">
        <v>126</v>
      </c>
      <c r="D52" s="4" t="s">
        <v>28</v>
      </c>
      <c r="E52">
        <v>6</v>
      </c>
      <c r="F52" s="3">
        <v>2732.7266</v>
      </c>
      <c r="G52" s="2">
        <v>0.28999999999999998</v>
      </c>
      <c r="H52" s="3">
        <v>0</v>
      </c>
      <c r="I52" s="1">
        <v>45840</v>
      </c>
      <c r="J52" s="4" t="s">
        <v>20</v>
      </c>
      <c r="K52" s="4" t="s">
        <v>8</v>
      </c>
      <c r="L52" s="3">
        <v>-958.22</v>
      </c>
      <c r="M52" s="4" t="s">
        <v>1255</v>
      </c>
      <c r="N52" s="3">
        <v>16396.3596</v>
      </c>
    </row>
    <row r="53" spans="1:14" x14ac:dyDescent="0.35">
      <c r="A53">
        <v>1014</v>
      </c>
      <c r="B53" s="4" t="s">
        <v>137</v>
      </c>
      <c r="C53" s="4" t="s">
        <v>138</v>
      </c>
      <c r="D53" s="4" t="s">
        <v>16</v>
      </c>
      <c r="E53">
        <v>-2</v>
      </c>
      <c r="F53" s="3">
        <v>2758.9749000000002</v>
      </c>
      <c r="G53" s="2">
        <v>0.64416107382550403</v>
      </c>
      <c r="H53" s="3">
        <v>0</v>
      </c>
      <c r="I53" s="1">
        <v>45392</v>
      </c>
      <c r="J53" s="4" t="s">
        <v>7</v>
      </c>
      <c r="K53" s="4" t="s">
        <v>8</v>
      </c>
      <c r="L53" s="3">
        <v>1946.1</v>
      </c>
      <c r="M53" s="4" t="s">
        <v>1255</v>
      </c>
      <c r="N53" s="3">
        <v>-5517.9498000000003</v>
      </c>
    </row>
    <row r="54" spans="1:14" hidden="1" x14ac:dyDescent="0.35">
      <c r="A54">
        <v>1014</v>
      </c>
      <c r="B54" s="4" t="s">
        <v>139</v>
      </c>
      <c r="C54" s="4" t="s">
        <v>140</v>
      </c>
      <c r="D54" s="4" t="s">
        <v>13</v>
      </c>
      <c r="E54">
        <v>4</v>
      </c>
      <c r="F54" s="3">
        <v>2693.1039999999998</v>
      </c>
      <c r="G54" s="2">
        <v>0.64751479289940805</v>
      </c>
      <c r="H54" s="3">
        <v>0</v>
      </c>
      <c r="I54" s="1">
        <v>45556</v>
      </c>
      <c r="J54" s="4" t="s">
        <v>23</v>
      </c>
      <c r="K54" s="4" t="s">
        <v>40</v>
      </c>
      <c r="L54" s="3">
        <v>-889.25</v>
      </c>
      <c r="M54" s="4" t="s">
        <v>1255</v>
      </c>
      <c r="N54" s="3">
        <v>10772.415999999999</v>
      </c>
    </row>
    <row r="55" spans="1:14" hidden="1" x14ac:dyDescent="0.35">
      <c r="A55">
        <v>1015</v>
      </c>
      <c r="B55" s="4" t="s">
        <v>141</v>
      </c>
      <c r="C55" s="4" t="s">
        <v>142</v>
      </c>
      <c r="D55" s="4" t="s">
        <v>16</v>
      </c>
      <c r="E55">
        <v>0</v>
      </c>
      <c r="F55" s="3">
        <v>2677.3447999999999</v>
      </c>
      <c r="G55" s="2">
        <v>0.64479315263908699</v>
      </c>
      <c r="H55" s="3">
        <v>0</v>
      </c>
      <c r="I55" s="1">
        <v>45682</v>
      </c>
      <c r="J55" s="4" t="s">
        <v>7</v>
      </c>
      <c r="K55" s="4" t="s">
        <v>40</v>
      </c>
      <c r="L55" s="3">
        <v>1869.46</v>
      </c>
      <c r="M55" s="4" t="s">
        <v>1255</v>
      </c>
      <c r="N55" s="3">
        <v>0</v>
      </c>
    </row>
    <row r="56" spans="1:14" hidden="1" x14ac:dyDescent="0.35">
      <c r="A56">
        <v>1015</v>
      </c>
      <c r="B56" s="4" t="s">
        <v>143</v>
      </c>
      <c r="C56" s="4" t="s">
        <v>144</v>
      </c>
      <c r="D56" s="4" t="s">
        <v>22</v>
      </c>
      <c r="E56">
        <v>6</v>
      </c>
      <c r="F56" s="3">
        <v>2693.1039999999998</v>
      </c>
      <c r="G56" s="2">
        <v>0.64751479289940805</v>
      </c>
      <c r="H56" s="3">
        <v>0</v>
      </c>
      <c r="I56" s="1">
        <v>45556</v>
      </c>
      <c r="J56" s="4" t="s">
        <v>9</v>
      </c>
      <c r="K56" s="4" t="s">
        <v>40</v>
      </c>
      <c r="L56" s="3">
        <v>793.8</v>
      </c>
      <c r="M56" s="4" t="s">
        <v>1255</v>
      </c>
      <c r="N56" s="3">
        <v>16158.624</v>
      </c>
    </row>
    <row r="57" spans="1:14" x14ac:dyDescent="0.35">
      <c r="A57">
        <v>1015</v>
      </c>
      <c r="B57" s="4" t="s">
        <v>145</v>
      </c>
      <c r="C57" s="4" t="s">
        <v>146</v>
      </c>
      <c r="D57" s="4" t="s">
        <v>26</v>
      </c>
      <c r="E57">
        <v>0</v>
      </c>
      <c r="F57" s="3">
        <v>2724.5410000000002</v>
      </c>
      <c r="G57" s="2">
        <v>0.65900212314225004</v>
      </c>
      <c r="H57" s="3">
        <v>0</v>
      </c>
      <c r="I57" s="1">
        <v>45554</v>
      </c>
      <c r="J57" s="4" t="s">
        <v>20</v>
      </c>
      <c r="K57" s="4" t="s">
        <v>8</v>
      </c>
      <c r="L57" s="3">
        <v>2811.88</v>
      </c>
      <c r="M57" s="4" t="s">
        <v>1255</v>
      </c>
      <c r="N57" s="3">
        <v>0</v>
      </c>
    </row>
    <row r="58" spans="1:14" x14ac:dyDescent="0.35">
      <c r="A58">
        <v>1016</v>
      </c>
      <c r="B58" s="4" t="s">
        <v>117</v>
      </c>
      <c r="C58" s="4" t="s">
        <v>147</v>
      </c>
      <c r="D58" s="4" t="s">
        <v>15</v>
      </c>
      <c r="E58">
        <v>0</v>
      </c>
      <c r="F58" s="3">
        <v>2693.1039999999998</v>
      </c>
      <c r="G58" s="2">
        <v>0.64751479289940805</v>
      </c>
      <c r="H58" s="3">
        <v>0</v>
      </c>
      <c r="I58" s="1">
        <v>45591</v>
      </c>
      <c r="J58" s="4" t="s">
        <v>23</v>
      </c>
      <c r="K58" s="4" t="s">
        <v>12</v>
      </c>
      <c r="L58" s="3">
        <v>1881.89</v>
      </c>
      <c r="M58" s="4" t="s">
        <v>1255</v>
      </c>
      <c r="N58" s="3">
        <v>0</v>
      </c>
    </row>
    <row r="59" spans="1:14" x14ac:dyDescent="0.35">
      <c r="A59">
        <v>1017</v>
      </c>
      <c r="B59" s="4" t="s">
        <v>148</v>
      </c>
      <c r="C59" s="4" t="s">
        <v>149</v>
      </c>
      <c r="D59" s="4" t="s">
        <v>37</v>
      </c>
      <c r="E59">
        <v>3</v>
      </c>
      <c r="F59" s="3">
        <v>468.53</v>
      </c>
      <c r="G59" s="2">
        <v>0.64751479289940805</v>
      </c>
      <c r="H59" s="3">
        <v>0</v>
      </c>
      <c r="I59" s="1">
        <v>45591</v>
      </c>
      <c r="J59" s="4" t="s">
        <v>11</v>
      </c>
      <c r="K59" s="4" t="s">
        <v>12</v>
      </c>
      <c r="L59" s="3">
        <v>-195.65</v>
      </c>
      <c r="M59" s="4" t="s">
        <v>1255</v>
      </c>
      <c r="N59" s="3">
        <v>1405.59</v>
      </c>
    </row>
    <row r="60" spans="1:14" x14ac:dyDescent="0.35">
      <c r="A60">
        <v>1018</v>
      </c>
      <c r="B60" s="4" t="s">
        <v>50</v>
      </c>
      <c r="C60" s="4" t="s">
        <v>150</v>
      </c>
      <c r="D60" s="4" t="s">
        <v>24</v>
      </c>
      <c r="E60">
        <v>1</v>
      </c>
      <c r="F60" s="3">
        <v>2847.86</v>
      </c>
      <c r="G60" s="2">
        <v>0.7</v>
      </c>
      <c r="H60" s="3">
        <v>854.36</v>
      </c>
      <c r="I60" s="1">
        <v>45360</v>
      </c>
      <c r="J60" s="4" t="s">
        <v>7</v>
      </c>
      <c r="K60" s="4" t="s">
        <v>8</v>
      </c>
      <c r="L60" s="3">
        <v>2190.67</v>
      </c>
      <c r="M60" s="4" t="s">
        <v>1256</v>
      </c>
      <c r="N60" s="3">
        <v>2847.86</v>
      </c>
    </row>
    <row r="61" spans="1:14" x14ac:dyDescent="0.35">
      <c r="A61">
        <v>1018</v>
      </c>
      <c r="B61" s="4" t="s">
        <v>79</v>
      </c>
      <c r="C61" s="4" t="s">
        <v>151</v>
      </c>
      <c r="D61" s="4" t="s">
        <v>24</v>
      </c>
      <c r="E61">
        <v>4</v>
      </c>
      <c r="F61" s="3">
        <v>2693.1039999999998</v>
      </c>
      <c r="G61" s="2">
        <v>0.64751479289940805</v>
      </c>
      <c r="H61" s="3">
        <v>0</v>
      </c>
      <c r="I61" s="1">
        <v>45395</v>
      </c>
      <c r="J61" s="4" t="s">
        <v>18</v>
      </c>
      <c r="K61" s="4" t="s">
        <v>8</v>
      </c>
      <c r="L61" s="3">
        <v>2102.56</v>
      </c>
      <c r="M61" s="4" t="s">
        <v>1255</v>
      </c>
      <c r="N61" s="3">
        <v>10772.415999999999</v>
      </c>
    </row>
    <row r="62" spans="1:14" x14ac:dyDescent="0.35">
      <c r="A62">
        <v>1019</v>
      </c>
      <c r="B62" s="4" t="s">
        <v>60</v>
      </c>
      <c r="C62" s="4" t="s">
        <v>152</v>
      </c>
      <c r="D62" s="4" t="s">
        <v>17</v>
      </c>
      <c r="E62">
        <v>0</v>
      </c>
      <c r="F62" s="3">
        <v>4064.4</v>
      </c>
      <c r="G62" s="2">
        <v>0.7</v>
      </c>
      <c r="H62" s="3">
        <v>0</v>
      </c>
      <c r="I62" s="1">
        <v>45587</v>
      </c>
      <c r="J62" s="4" t="s">
        <v>9</v>
      </c>
      <c r="K62" s="4" t="s">
        <v>8</v>
      </c>
      <c r="L62" s="3">
        <v>877.21</v>
      </c>
      <c r="M62" s="4" t="s">
        <v>1255</v>
      </c>
      <c r="N62" s="3">
        <v>0</v>
      </c>
    </row>
    <row r="63" spans="1:14" hidden="1" x14ac:dyDescent="0.35">
      <c r="A63">
        <v>1020</v>
      </c>
      <c r="B63" s="4" t="s">
        <v>153</v>
      </c>
      <c r="C63" s="4" t="s">
        <v>154</v>
      </c>
      <c r="D63" s="4" t="s">
        <v>31</v>
      </c>
      <c r="E63">
        <v>0</v>
      </c>
      <c r="F63" s="3">
        <v>2750.7640000000001</v>
      </c>
      <c r="G63" s="2">
        <v>0.64227758007117397</v>
      </c>
      <c r="H63" s="3">
        <v>0</v>
      </c>
      <c r="I63" s="1">
        <v>45148</v>
      </c>
      <c r="J63" s="4" t="s">
        <v>20</v>
      </c>
      <c r="K63" s="4" t="s">
        <v>40</v>
      </c>
      <c r="L63" s="3">
        <v>1224.3499999999999</v>
      </c>
      <c r="M63" s="4" t="s">
        <v>1255</v>
      </c>
      <c r="N63" s="3">
        <v>0</v>
      </c>
    </row>
    <row r="64" spans="1:14" x14ac:dyDescent="0.35">
      <c r="A64">
        <v>1020</v>
      </c>
      <c r="B64" s="4" t="s">
        <v>155</v>
      </c>
      <c r="C64" s="4" t="s">
        <v>156</v>
      </c>
      <c r="D64" s="4" t="s">
        <v>16</v>
      </c>
      <c r="E64">
        <v>1</v>
      </c>
      <c r="F64" s="3">
        <v>2694.8391999999999</v>
      </c>
      <c r="G64" s="2">
        <v>0.64745260663507098</v>
      </c>
      <c r="H64" s="3">
        <v>0</v>
      </c>
      <c r="I64" s="1">
        <v>45735</v>
      </c>
      <c r="J64" s="4" t="s">
        <v>20</v>
      </c>
      <c r="K64" s="4" t="s">
        <v>12</v>
      </c>
      <c r="L64" s="3">
        <v>669.75</v>
      </c>
      <c r="M64" s="4" t="s">
        <v>1255</v>
      </c>
      <c r="N64" s="3">
        <v>2694.8391999999999</v>
      </c>
    </row>
    <row r="65" spans="1:16" x14ac:dyDescent="0.35">
      <c r="A65">
        <v>1021</v>
      </c>
      <c r="B65" s="4" t="s">
        <v>157</v>
      </c>
      <c r="C65" s="4" t="s">
        <v>158</v>
      </c>
      <c r="D65" s="4" t="s">
        <v>26</v>
      </c>
      <c r="E65">
        <v>2</v>
      </c>
      <c r="F65" s="3">
        <v>2760.3525</v>
      </c>
      <c r="G65" s="2">
        <v>0.04</v>
      </c>
      <c r="H65" s="3">
        <v>0</v>
      </c>
      <c r="I65" s="1">
        <v>45719</v>
      </c>
      <c r="J65" s="4" t="s">
        <v>20</v>
      </c>
      <c r="K65" s="4" t="s">
        <v>8</v>
      </c>
      <c r="L65" s="3">
        <v>796.33</v>
      </c>
      <c r="M65" s="4" t="s">
        <v>1255</v>
      </c>
      <c r="N65" s="3">
        <v>5520.7049999999999</v>
      </c>
    </row>
    <row r="66" spans="1:16" x14ac:dyDescent="0.35">
      <c r="A66">
        <v>1021</v>
      </c>
      <c r="B66" s="4" t="s">
        <v>159</v>
      </c>
      <c r="C66" s="4" t="s">
        <v>53</v>
      </c>
      <c r="D66" s="4" t="s">
        <v>25</v>
      </c>
      <c r="E66">
        <v>0</v>
      </c>
      <c r="F66" s="3">
        <v>2693.7701000000002</v>
      </c>
      <c r="G66" s="2">
        <v>0.64745260663507098</v>
      </c>
      <c r="H66" s="3">
        <v>0</v>
      </c>
      <c r="I66" s="1">
        <v>45417</v>
      </c>
      <c r="J66" s="4" t="s">
        <v>18</v>
      </c>
      <c r="K66" s="4" t="s">
        <v>12</v>
      </c>
      <c r="L66" s="3">
        <v>-705.72</v>
      </c>
      <c r="M66" s="4" t="s">
        <v>1255</v>
      </c>
      <c r="N66" s="3">
        <v>0</v>
      </c>
    </row>
    <row r="67" spans="1:16" hidden="1" x14ac:dyDescent="0.35">
      <c r="A67">
        <v>1022</v>
      </c>
      <c r="B67" s="4" t="s">
        <v>160</v>
      </c>
      <c r="C67" s="4" t="s">
        <v>161</v>
      </c>
      <c r="D67" s="4" t="s">
        <v>22</v>
      </c>
      <c r="E67">
        <v>0</v>
      </c>
      <c r="F67" s="3">
        <v>3611.35</v>
      </c>
      <c r="G67" s="2">
        <v>0.60884615384615404</v>
      </c>
      <c r="H67" s="3">
        <v>0</v>
      </c>
      <c r="I67" s="1">
        <v>45848</v>
      </c>
      <c r="J67" s="4" t="s">
        <v>9</v>
      </c>
      <c r="K67" s="4" t="s">
        <v>40</v>
      </c>
      <c r="L67" s="3">
        <v>-200.64</v>
      </c>
      <c r="M67" s="4" t="s">
        <v>1255</v>
      </c>
      <c r="N67" s="3">
        <v>0</v>
      </c>
      <c r="P67" s="1"/>
    </row>
    <row r="68" spans="1:16" x14ac:dyDescent="0.35">
      <c r="A68">
        <v>1022</v>
      </c>
      <c r="B68" s="4" t="s">
        <v>162</v>
      </c>
      <c r="C68" s="4" t="s">
        <v>163</v>
      </c>
      <c r="D68" s="4" t="s">
        <v>15</v>
      </c>
      <c r="E68">
        <v>5</v>
      </c>
      <c r="F68" s="3">
        <v>2759.8636000000001</v>
      </c>
      <c r="G68" s="2">
        <v>0.39</v>
      </c>
      <c r="H68" s="3">
        <v>0</v>
      </c>
      <c r="I68" s="1">
        <v>45550</v>
      </c>
      <c r="J68" s="4" t="s">
        <v>9</v>
      </c>
      <c r="K68" s="4" t="s">
        <v>12</v>
      </c>
      <c r="L68" s="3">
        <v>-63</v>
      </c>
      <c r="M68" s="4" t="s">
        <v>1255</v>
      </c>
      <c r="N68" s="3">
        <v>13799.317999999999</v>
      </c>
    </row>
    <row r="69" spans="1:16" hidden="1" x14ac:dyDescent="0.35">
      <c r="A69">
        <v>1023</v>
      </c>
      <c r="B69" s="4" t="s">
        <v>164</v>
      </c>
      <c r="C69" s="4" t="s">
        <v>165</v>
      </c>
      <c r="D69" s="4" t="s">
        <v>38</v>
      </c>
      <c r="E69">
        <v>0</v>
      </c>
      <c r="F69" s="3">
        <v>2693.7701000000002</v>
      </c>
      <c r="G69" s="2">
        <v>0.64804270462633395</v>
      </c>
      <c r="H69" s="3">
        <v>0</v>
      </c>
      <c r="I69" s="1">
        <v>45804</v>
      </c>
      <c r="J69" s="4" t="s">
        <v>11</v>
      </c>
      <c r="K69" s="4" t="s">
        <v>40</v>
      </c>
      <c r="L69" s="3">
        <v>-875.51</v>
      </c>
      <c r="M69" s="4" t="s">
        <v>1255</v>
      </c>
      <c r="N69" s="3">
        <v>0</v>
      </c>
    </row>
    <row r="70" spans="1:16" x14ac:dyDescent="0.35">
      <c r="A70">
        <v>1024</v>
      </c>
      <c r="B70" s="4" t="s">
        <v>166</v>
      </c>
      <c r="C70" s="4" t="s">
        <v>95</v>
      </c>
      <c r="D70" s="4" t="s">
        <v>21</v>
      </c>
      <c r="E70">
        <v>0</v>
      </c>
      <c r="F70" s="3">
        <v>1580.59</v>
      </c>
      <c r="G70" s="2">
        <v>0.08</v>
      </c>
      <c r="H70" s="3">
        <v>0</v>
      </c>
      <c r="I70" s="1">
        <v>45782</v>
      </c>
      <c r="J70" s="4" t="s">
        <v>7</v>
      </c>
      <c r="K70" s="4" t="s">
        <v>12</v>
      </c>
      <c r="L70" s="3">
        <v>1786.82</v>
      </c>
      <c r="M70" s="4" t="s">
        <v>1255</v>
      </c>
      <c r="N70" s="3">
        <v>0</v>
      </c>
    </row>
    <row r="71" spans="1:16" x14ac:dyDescent="0.35">
      <c r="A71">
        <v>1024</v>
      </c>
      <c r="B71" s="4" t="s">
        <v>167</v>
      </c>
      <c r="C71" s="4" t="s">
        <v>149</v>
      </c>
      <c r="D71" s="4" t="s">
        <v>33</v>
      </c>
      <c r="E71">
        <v>-2</v>
      </c>
      <c r="F71" s="3">
        <v>940.64</v>
      </c>
      <c r="G71" s="2">
        <v>0.67</v>
      </c>
      <c r="H71" s="3">
        <v>-620.82000000000005</v>
      </c>
      <c r="I71" s="1">
        <v>45667</v>
      </c>
      <c r="J71" s="4" t="s">
        <v>11</v>
      </c>
      <c r="K71" s="4" t="s">
        <v>8</v>
      </c>
      <c r="L71" s="3">
        <v>1552.9</v>
      </c>
      <c r="M71" s="4" t="s">
        <v>1255</v>
      </c>
      <c r="N71" s="3">
        <v>-1881.28</v>
      </c>
    </row>
    <row r="72" spans="1:16" x14ac:dyDescent="0.35">
      <c r="A72">
        <v>1024</v>
      </c>
      <c r="B72" s="4" t="s">
        <v>50</v>
      </c>
      <c r="C72" s="4" t="s">
        <v>168</v>
      </c>
      <c r="D72" s="4" t="s">
        <v>10</v>
      </c>
      <c r="E72">
        <v>-2</v>
      </c>
      <c r="F72" s="3">
        <v>2694.4121</v>
      </c>
      <c r="G72" s="2">
        <v>1.19</v>
      </c>
      <c r="H72" s="3">
        <v>0</v>
      </c>
      <c r="I72" s="1">
        <v>45707</v>
      </c>
      <c r="J72" s="4" t="s">
        <v>7</v>
      </c>
      <c r="K72" s="4" t="s">
        <v>12</v>
      </c>
      <c r="L72" s="3">
        <v>491.1</v>
      </c>
      <c r="M72" s="4" t="s">
        <v>1255</v>
      </c>
      <c r="N72" s="3">
        <v>-5388.8242</v>
      </c>
    </row>
    <row r="73" spans="1:16" x14ac:dyDescent="0.35">
      <c r="A73">
        <v>1025</v>
      </c>
      <c r="B73" s="4" t="s">
        <v>121</v>
      </c>
      <c r="C73" s="4" t="s">
        <v>169</v>
      </c>
      <c r="D73" s="4" t="s">
        <v>24</v>
      </c>
      <c r="E73">
        <v>0</v>
      </c>
      <c r="F73" s="3">
        <v>2820.3885</v>
      </c>
      <c r="G73" s="2">
        <v>0.58606060606060595</v>
      </c>
      <c r="H73" s="3">
        <v>0</v>
      </c>
      <c r="I73" s="1">
        <v>45607</v>
      </c>
      <c r="J73" s="4" t="s">
        <v>9</v>
      </c>
      <c r="K73" s="4" t="s">
        <v>12</v>
      </c>
      <c r="L73" s="3">
        <v>-861.84</v>
      </c>
      <c r="M73" s="4" t="s">
        <v>1255</v>
      </c>
      <c r="N73" s="3">
        <v>0</v>
      </c>
    </row>
    <row r="74" spans="1:16" x14ac:dyDescent="0.35">
      <c r="A74">
        <v>1025</v>
      </c>
      <c r="B74" s="4" t="s">
        <v>170</v>
      </c>
      <c r="C74" s="4" t="s">
        <v>171</v>
      </c>
      <c r="D74" s="4" t="s">
        <v>37</v>
      </c>
      <c r="E74">
        <v>0</v>
      </c>
      <c r="F74" s="3">
        <v>2733.6871999999998</v>
      </c>
      <c r="G74" s="2">
        <v>0.64149870801033604</v>
      </c>
      <c r="H74" s="3">
        <v>0</v>
      </c>
      <c r="I74" s="1">
        <v>45694</v>
      </c>
      <c r="J74" s="4" t="s">
        <v>7</v>
      </c>
      <c r="K74" s="4" t="s">
        <v>12</v>
      </c>
      <c r="L74" s="3">
        <v>-973.7</v>
      </c>
      <c r="M74" s="4" t="s">
        <v>1255</v>
      </c>
      <c r="N74" s="3">
        <v>0</v>
      </c>
    </row>
    <row r="75" spans="1:16" hidden="1" x14ac:dyDescent="0.35">
      <c r="A75">
        <v>1025</v>
      </c>
      <c r="B75" s="4" t="s">
        <v>172</v>
      </c>
      <c r="C75" s="4" t="s">
        <v>173</v>
      </c>
      <c r="D75" s="4" t="s">
        <v>21</v>
      </c>
      <c r="E75">
        <v>4</v>
      </c>
      <c r="F75" s="3">
        <v>4595.08</v>
      </c>
      <c r="G75" s="2">
        <v>0.64739904988123498</v>
      </c>
      <c r="H75" s="3">
        <v>0</v>
      </c>
      <c r="I75" s="1">
        <v>45856</v>
      </c>
      <c r="J75" s="4" t="s">
        <v>18</v>
      </c>
      <c r="K75" s="4" t="s">
        <v>40</v>
      </c>
      <c r="L75" s="3">
        <v>330.82</v>
      </c>
      <c r="M75" s="4" t="s">
        <v>1255</v>
      </c>
      <c r="N75" s="3">
        <v>18380.32</v>
      </c>
    </row>
    <row r="76" spans="1:16" x14ac:dyDescent="0.35">
      <c r="A76">
        <v>1026</v>
      </c>
      <c r="B76" s="4" t="s">
        <v>174</v>
      </c>
      <c r="C76" s="4" t="s">
        <v>175</v>
      </c>
      <c r="D76" s="4" t="s">
        <v>15</v>
      </c>
      <c r="E76">
        <v>0</v>
      </c>
      <c r="F76" s="3">
        <v>3186.11</v>
      </c>
      <c r="G76" s="2">
        <v>0.74</v>
      </c>
      <c r="H76" s="3">
        <v>0</v>
      </c>
      <c r="I76" s="1">
        <v>45583</v>
      </c>
      <c r="J76" s="4" t="s">
        <v>9</v>
      </c>
      <c r="K76" s="4" t="s">
        <v>8</v>
      </c>
      <c r="L76" s="3">
        <v>2939.87</v>
      </c>
      <c r="M76" s="4" t="s">
        <v>1255</v>
      </c>
      <c r="N76" s="3">
        <v>0</v>
      </c>
    </row>
    <row r="77" spans="1:16" hidden="1" x14ac:dyDescent="0.35">
      <c r="A77">
        <v>1026</v>
      </c>
      <c r="B77" s="4" t="s">
        <v>113</v>
      </c>
      <c r="C77" s="4" t="s">
        <v>176</v>
      </c>
      <c r="D77" s="4" t="s">
        <v>15</v>
      </c>
      <c r="E77">
        <v>0</v>
      </c>
      <c r="F77" s="3">
        <v>2672.0463</v>
      </c>
      <c r="G77" s="2">
        <v>0.64718608169440195</v>
      </c>
      <c r="H77" s="3">
        <v>0</v>
      </c>
      <c r="I77" s="1">
        <v>45230</v>
      </c>
      <c r="J77" s="4" t="s">
        <v>7</v>
      </c>
      <c r="K77" s="4" t="s">
        <v>40</v>
      </c>
      <c r="L77" s="3">
        <v>2916.18</v>
      </c>
      <c r="M77" s="4" t="s">
        <v>1255</v>
      </c>
      <c r="N77" s="3">
        <v>0</v>
      </c>
    </row>
    <row r="78" spans="1:16" x14ac:dyDescent="0.35">
      <c r="A78">
        <v>1026</v>
      </c>
      <c r="B78" s="4" t="s">
        <v>177</v>
      </c>
      <c r="C78" s="4" t="s">
        <v>178</v>
      </c>
      <c r="D78" s="4" t="s">
        <v>19</v>
      </c>
      <c r="E78">
        <v>0</v>
      </c>
      <c r="F78" s="3">
        <v>2694.4121</v>
      </c>
      <c r="G78" s="2">
        <v>0.64739904988123498</v>
      </c>
      <c r="H78" s="3">
        <v>0</v>
      </c>
      <c r="I78" s="1">
        <v>45647</v>
      </c>
      <c r="J78" s="4" t="s">
        <v>9</v>
      </c>
      <c r="K78" s="4" t="s">
        <v>12</v>
      </c>
      <c r="L78" s="3">
        <v>-194.77</v>
      </c>
      <c r="M78" s="4" t="s">
        <v>1255</v>
      </c>
      <c r="N78" s="3">
        <v>0</v>
      </c>
    </row>
    <row r="79" spans="1:16" x14ac:dyDescent="0.35">
      <c r="A79">
        <v>1026</v>
      </c>
      <c r="B79" s="4" t="s">
        <v>179</v>
      </c>
      <c r="C79" s="4" t="s">
        <v>180</v>
      </c>
      <c r="D79" s="4" t="s">
        <v>29</v>
      </c>
      <c r="E79">
        <v>0</v>
      </c>
      <c r="F79" s="3">
        <v>2746.2105000000001</v>
      </c>
      <c r="G79" s="2">
        <v>0.63482456140350896</v>
      </c>
      <c r="H79" s="3">
        <v>0</v>
      </c>
      <c r="I79" s="1">
        <v>45516</v>
      </c>
      <c r="J79" s="4" t="s">
        <v>11</v>
      </c>
      <c r="K79" s="4" t="s">
        <v>8</v>
      </c>
      <c r="L79" s="3">
        <v>1975.98</v>
      </c>
      <c r="M79" s="4" t="s">
        <v>1255</v>
      </c>
      <c r="N79" s="3">
        <v>0</v>
      </c>
    </row>
    <row r="80" spans="1:16" hidden="1" x14ac:dyDescent="0.35">
      <c r="A80">
        <v>1026</v>
      </c>
      <c r="B80" s="4" t="s">
        <v>181</v>
      </c>
      <c r="C80" s="4" t="s">
        <v>182</v>
      </c>
      <c r="D80" s="4" t="s">
        <v>30</v>
      </c>
      <c r="E80">
        <v>0</v>
      </c>
      <c r="F80" s="3">
        <v>2763.8575999999998</v>
      </c>
      <c r="G80" s="2">
        <v>0.03</v>
      </c>
      <c r="H80" s="3">
        <v>0</v>
      </c>
      <c r="I80" s="1">
        <v>45561</v>
      </c>
      <c r="J80" s="4" t="s">
        <v>7</v>
      </c>
      <c r="K80" s="4" t="s">
        <v>40</v>
      </c>
      <c r="L80" s="3">
        <v>688.48</v>
      </c>
      <c r="M80" s="4" t="s">
        <v>1255</v>
      </c>
      <c r="N80" s="3">
        <v>0</v>
      </c>
    </row>
    <row r="81" spans="1:14" hidden="1" x14ac:dyDescent="0.35">
      <c r="A81">
        <v>1026</v>
      </c>
      <c r="B81" s="4" t="s">
        <v>183</v>
      </c>
      <c r="C81" s="4" t="s">
        <v>184</v>
      </c>
      <c r="D81" s="4" t="s">
        <v>24</v>
      </c>
      <c r="E81">
        <v>0</v>
      </c>
      <c r="F81" s="3">
        <v>2739.8433</v>
      </c>
      <c r="G81" s="2">
        <v>0.639849056603774</v>
      </c>
      <c r="H81" s="3">
        <v>0</v>
      </c>
      <c r="I81" s="1">
        <v>45457</v>
      </c>
      <c r="J81" s="4" t="s">
        <v>9</v>
      </c>
      <c r="K81" s="4" t="s">
        <v>40</v>
      </c>
      <c r="L81" s="3">
        <v>2344.12</v>
      </c>
      <c r="M81" s="4" t="s">
        <v>1255</v>
      </c>
      <c r="N81" s="3">
        <v>0</v>
      </c>
    </row>
    <row r="82" spans="1:14" x14ac:dyDescent="0.35">
      <c r="A82">
        <v>1026</v>
      </c>
      <c r="B82" s="4" t="s">
        <v>185</v>
      </c>
      <c r="C82" s="4" t="s">
        <v>186</v>
      </c>
      <c r="D82" s="4" t="s">
        <v>16</v>
      </c>
      <c r="E82">
        <v>0</v>
      </c>
      <c r="F82" s="3">
        <v>2293.29</v>
      </c>
      <c r="G82" s="2">
        <v>0.4</v>
      </c>
      <c r="H82" s="3">
        <v>0</v>
      </c>
      <c r="I82" s="1">
        <v>45597</v>
      </c>
      <c r="J82" s="4" t="s">
        <v>11</v>
      </c>
      <c r="K82" s="4" t="s">
        <v>8</v>
      </c>
      <c r="L82" s="3">
        <v>1000.06</v>
      </c>
      <c r="M82" s="4" t="s">
        <v>1255</v>
      </c>
      <c r="N82" s="3">
        <v>0</v>
      </c>
    </row>
    <row r="83" spans="1:14" hidden="1" x14ac:dyDescent="0.35">
      <c r="A83">
        <v>1027</v>
      </c>
      <c r="B83" s="4" t="s">
        <v>187</v>
      </c>
      <c r="C83" s="4" t="s">
        <v>188</v>
      </c>
      <c r="D83" s="4" t="s">
        <v>33</v>
      </c>
      <c r="E83">
        <v>0</v>
      </c>
      <c r="F83" s="3">
        <v>2092.33</v>
      </c>
      <c r="G83" s="2">
        <v>0.63637305699481805</v>
      </c>
      <c r="H83" s="3">
        <v>0</v>
      </c>
      <c r="I83" s="1">
        <v>45761</v>
      </c>
      <c r="J83" s="4" t="s">
        <v>9</v>
      </c>
      <c r="K83" s="4" t="s">
        <v>40</v>
      </c>
      <c r="L83" s="3">
        <v>-586.88</v>
      </c>
      <c r="M83" s="4" t="s">
        <v>1255</v>
      </c>
      <c r="N83" s="3">
        <v>0</v>
      </c>
    </row>
    <row r="84" spans="1:14" x14ac:dyDescent="0.35">
      <c r="A84">
        <v>1027</v>
      </c>
      <c r="B84" s="4" t="s">
        <v>189</v>
      </c>
      <c r="C84" s="4" t="s">
        <v>190</v>
      </c>
      <c r="D84" s="4" t="s">
        <v>14</v>
      </c>
      <c r="E84">
        <v>1</v>
      </c>
      <c r="F84" s="3">
        <v>2692.9259999999999</v>
      </c>
      <c r="G84" s="2">
        <v>0.64739904988123498</v>
      </c>
      <c r="H84" s="3">
        <v>0</v>
      </c>
      <c r="I84" s="1">
        <v>45647</v>
      </c>
      <c r="J84" s="4" t="s">
        <v>23</v>
      </c>
      <c r="K84" s="4" t="s">
        <v>12</v>
      </c>
      <c r="L84" s="3">
        <v>1085.3599999999999</v>
      </c>
      <c r="M84" s="4" t="s">
        <v>1255</v>
      </c>
      <c r="N84" s="3">
        <v>2692.9259999999999</v>
      </c>
    </row>
    <row r="85" spans="1:14" hidden="1" x14ac:dyDescent="0.35">
      <c r="A85">
        <v>1027</v>
      </c>
      <c r="B85" s="4" t="s">
        <v>172</v>
      </c>
      <c r="C85" s="4" t="s">
        <v>191</v>
      </c>
      <c r="D85" s="4" t="s">
        <v>27</v>
      </c>
      <c r="E85">
        <v>0</v>
      </c>
      <c r="F85" s="3">
        <v>2778.0646999999999</v>
      </c>
      <c r="G85" s="2">
        <v>0.63254658385093199</v>
      </c>
      <c r="H85" s="3">
        <v>0</v>
      </c>
      <c r="I85" s="1">
        <v>45724</v>
      </c>
      <c r="J85" s="4" t="s">
        <v>23</v>
      </c>
      <c r="K85" s="4" t="s">
        <v>40</v>
      </c>
      <c r="L85" s="3">
        <v>1921.25</v>
      </c>
      <c r="M85" s="4" t="s">
        <v>1255</v>
      </c>
      <c r="N85" s="3">
        <v>0</v>
      </c>
    </row>
    <row r="86" spans="1:14" hidden="1" x14ac:dyDescent="0.35">
      <c r="A86">
        <v>1028</v>
      </c>
      <c r="B86" s="4" t="s">
        <v>192</v>
      </c>
      <c r="C86" s="4" t="s">
        <v>78</v>
      </c>
      <c r="D86" s="4" t="s">
        <v>37</v>
      </c>
      <c r="E86">
        <v>0</v>
      </c>
      <c r="F86" s="3">
        <v>2756.5671000000002</v>
      </c>
      <c r="G86" s="2">
        <v>0.64085443037974699</v>
      </c>
      <c r="H86" s="3">
        <v>0</v>
      </c>
      <c r="I86" s="1">
        <v>45653</v>
      </c>
      <c r="J86" s="4" t="s">
        <v>9</v>
      </c>
      <c r="K86" s="4" t="s">
        <v>40</v>
      </c>
      <c r="L86" s="3">
        <v>-701.08</v>
      </c>
      <c r="M86" s="4" t="s">
        <v>1255</v>
      </c>
      <c r="N86" s="3">
        <v>0</v>
      </c>
    </row>
    <row r="87" spans="1:14" x14ac:dyDescent="0.35">
      <c r="A87">
        <v>1028</v>
      </c>
      <c r="B87" s="4" t="s">
        <v>193</v>
      </c>
      <c r="C87" s="4" t="s">
        <v>194</v>
      </c>
      <c r="D87" s="4" t="s">
        <v>14</v>
      </c>
      <c r="E87">
        <v>0</v>
      </c>
      <c r="F87" s="3">
        <v>4142.54</v>
      </c>
      <c r="G87" s="2">
        <v>0.65886160714285702</v>
      </c>
      <c r="H87" s="3">
        <v>0</v>
      </c>
      <c r="I87" s="1">
        <v>45722</v>
      </c>
      <c r="J87" s="4" t="s">
        <v>9</v>
      </c>
      <c r="K87" s="4" t="s">
        <v>12</v>
      </c>
      <c r="L87" s="3">
        <v>2453.9899999999998</v>
      </c>
      <c r="M87" s="4" t="s">
        <v>1255</v>
      </c>
      <c r="N87" s="3">
        <v>0</v>
      </c>
    </row>
    <row r="88" spans="1:14" x14ac:dyDescent="0.35">
      <c r="A88">
        <v>1028</v>
      </c>
      <c r="B88" s="4" t="s">
        <v>195</v>
      </c>
      <c r="C88" s="4" t="s">
        <v>196</v>
      </c>
      <c r="D88" s="4" t="s">
        <v>26</v>
      </c>
      <c r="E88">
        <v>-2</v>
      </c>
      <c r="F88" s="3">
        <v>2692.9259999999999</v>
      </c>
      <c r="G88" s="2">
        <v>0.64739904988123498</v>
      </c>
      <c r="H88" s="3">
        <v>0</v>
      </c>
      <c r="I88" s="1">
        <v>45647</v>
      </c>
      <c r="J88" s="4" t="s">
        <v>23</v>
      </c>
      <c r="K88" s="4" t="s">
        <v>12</v>
      </c>
      <c r="L88" s="3">
        <v>2060.0300000000002</v>
      </c>
      <c r="M88" s="4" t="s">
        <v>1255</v>
      </c>
      <c r="N88" s="3">
        <v>-5385.8519999999999</v>
      </c>
    </row>
    <row r="89" spans="1:14" x14ac:dyDescent="0.35">
      <c r="A89">
        <v>1028</v>
      </c>
      <c r="B89" s="4" t="s">
        <v>93</v>
      </c>
      <c r="C89" s="4" t="s">
        <v>197</v>
      </c>
      <c r="D89" s="4" t="s">
        <v>33</v>
      </c>
      <c r="E89">
        <v>0</v>
      </c>
      <c r="F89" s="3">
        <v>2679.3968</v>
      </c>
      <c r="G89" s="2">
        <v>0.64769754768392396</v>
      </c>
      <c r="H89" s="3">
        <v>0</v>
      </c>
      <c r="I89" s="1">
        <v>45240</v>
      </c>
      <c r="J89" s="4" t="s">
        <v>9</v>
      </c>
      <c r="K89" s="4" t="s">
        <v>12</v>
      </c>
      <c r="L89" s="3">
        <v>2502.73</v>
      </c>
      <c r="M89" s="4" t="s">
        <v>1255</v>
      </c>
      <c r="N89" s="3">
        <v>0</v>
      </c>
    </row>
    <row r="90" spans="1:14" x14ac:dyDescent="0.35">
      <c r="A90">
        <v>1028</v>
      </c>
      <c r="B90" s="4" t="s">
        <v>198</v>
      </c>
      <c r="C90" s="4" t="s">
        <v>199</v>
      </c>
      <c r="D90" s="4" t="s">
        <v>24</v>
      </c>
      <c r="E90">
        <v>0</v>
      </c>
      <c r="F90" s="3">
        <v>2996.43</v>
      </c>
      <c r="G90" s="2">
        <v>0.58606060606060595</v>
      </c>
      <c r="H90" s="3">
        <v>0</v>
      </c>
      <c r="I90" s="1">
        <v>45538</v>
      </c>
      <c r="J90" s="4" t="s">
        <v>20</v>
      </c>
      <c r="K90" s="4" t="s">
        <v>8</v>
      </c>
      <c r="L90" s="3">
        <v>2205.5700000000002</v>
      </c>
      <c r="M90" s="4" t="s">
        <v>1255</v>
      </c>
      <c r="N90" s="3">
        <v>0</v>
      </c>
    </row>
    <row r="91" spans="1:14" x14ac:dyDescent="0.35">
      <c r="A91">
        <v>1028</v>
      </c>
      <c r="B91" s="4" t="s">
        <v>200</v>
      </c>
      <c r="C91" s="4" t="s">
        <v>201</v>
      </c>
      <c r="D91" s="4" t="s">
        <v>6</v>
      </c>
      <c r="E91">
        <v>-2</v>
      </c>
      <c r="F91" s="3">
        <v>3344.74</v>
      </c>
      <c r="G91" s="2">
        <v>1.1000000000000001</v>
      </c>
      <c r="H91" s="3">
        <v>668.95</v>
      </c>
      <c r="I91" s="1">
        <v>45692</v>
      </c>
      <c r="J91" s="4" t="s">
        <v>9</v>
      </c>
      <c r="K91" s="4" t="s">
        <v>12</v>
      </c>
      <c r="L91" s="3">
        <v>2728.08</v>
      </c>
      <c r="M91" s="4" t="s">
        <v>1256</v>
      </c>
      <c r="N91" s="3">
        <v>-6689.48</v>
      </c>
    </row>
    <row r="92" spans="1:14" hidden="1" x14ac:dyDescent="0.35">
      <c r="A92">
        <v>1029</v>
      </c>
      <c r="B92" s="4" t="s">
        <v>202</v>
      </c>
      <c r="C92" s="4" t="s">
        <v>203</v>
      </c>
      <c r="D92" s="4" t="s">
        <v>26</v>
      </c>
      <c r="E92">
        <v>4</v>
      </c>
      <c r="F92" s="3">
        <v>2692.9259999999999</v>
      </c>
      <c r="G92" s="2">
        <v>0.64739904988123498</v>
      </c>
      <c r="H92" s="3">
        <v>0</v>
      </c>
      <c r="I92" s="1">
        <v>45647</v>
      </c>
      <c r="J92" s="4" t="s">
        <v>11</v>
      </c>
      <c r="K92" s="4" t="s">
        <v>40</v>
      </c>
      <c r="L92" s="3">
        <v>1737.92</v>
      </c>
      <c r="M92" s="4" t="s">
        <v>1255</v>
      </c>
      <c r="N92" s="3">
        <v>10771.704</v>
      </c>
    </row>
    <row r="93" spans="1:14" x14ac:dyDescent="0.35">
      <c r="A93">
        <v>1029</v>
      </c>
      <c r="B93" s="4" t="s">
        <v>85</v>
      </c>
      <c r="C93" s="4" t="s">
        <v>204</v>
      </c>
      <c r="D93" s="4" t="s">
        <v>27</v>
      </c>
      <c r="E93">
        <v>3</v>
      </c>
      <c r="F93" s="3">
        <v>4343.12</v>
      </c>
      <c r="G93" s="2">
        <v>0.658835978835979</v>
      </c>
      <c r="H93" s="3">
        <v>0</v>
      </c>
      <c r="I93" s="1">
        <v>45825</v>
      </c>
      <c r="J93" s="4" t="s">
        <v>23</v>
      </c>
      <c r="K93" s="4" t="s">
        <v>8</v>
      </c>
      <c r="L93" s="3">
        <v>2997.11</v>
      </c>
      <c r="M93" s="4" t="s">
        <v>1255</v>
      </c>
      <c r="N93" s="3">
        <v>13029.36</v>
      </c>
    </row>
    <row r="94" spans="1:14" x14ac:dyDescent="0.35">
      <c r="A94">
        <v>1029</v>
      </c>
      <c r="B94" s="4" t="s">
        <v>110</v>
      </c>
      <c r="C94" s="4" t="s">
        <v>187</v>
      </c>
      <c r="D94" s="4" t="s">
        <v>37</v>
      </c>
      <c r="E94">
        <v>0</v>
      </c>
      <c r="F94" s="3">
        <v>2965.32</v>
      </c>
      <c r="G94" s="2">
        <v>0.63398340248962604</v>
      </c>
      <c r="H94" s="3">
        <v>0</v>
      </c>
      <c r="I94" s="1">
        <v>45794</v>
      </c>
      <c r="J94" s="4" t="s">
        <v>11</v>
      </c>
      <c r="K94" s="4" t="s">
        <v>8</v>
      </c>
      <c r="L94" s="3">
        <v>-786.53</v>
      </c>
      <c r="M94" s="4" t="s">
        <v>1255</v>
      </c>
      <c r="N94" s="3">
        <v>0</v>
      </c>
    </row>
    <row r="95" spans="1:14" x14ac:dyDescent="0.35">
      <c r="A95">
        <v>1030</v>
      </c>
      <c r="B95" s="4" t="s">
        <v>174</v>
      </c>
      <c r="C95" s="4" t="s">
        <v>205</v>
      </c>
      <c r="D95" s="4" t="s">
        <v>24</v>
      </c>
      <c r="E95">
        <v>3</v>
      </c>
      <c r="F95" s="3">
        <v>1069.77</v>
      </c>
      <c r="G95" s="2">
        <v>0.64739904988123498</v>
      </c>
      <c r="H95" s="3">
        <v>0</v>
      </c>
      <c r="I95" s="1">
        <v>45172</v>
      </c>
      <c r="J95" s="4" t="s">
        <v>23</v>
      </c>
      <c r="K95" s="4" t="s">
        <v>8</v>
      </c>
      <c r="L95" s="3">
        <v>1155.3800000000001</v>
      </c>
      <c r="M95" s="4" t="s">
        <v>1255</v>
      </c>
      <c r="N95" s="3">
        <v>3209.31</v>
      </c>
    </row>
    <row r="96" spans="1:14" x14ac:dyDescent="0.35">
      <c r="A96">
        <v>1030</v>
      </c>
      <c r="B96" s="4" t="s">
        <v>166</v>
      </c>
      <c r="C96" s="4" t="s">
        <v>206</v>
      </c>
      <c r="D96" s="4" t="s">
        <v>28</v>
      </c>
      <c r="E96">
        <v>3</v>
      </c>
      <c r="F96" s="3">
        <v>2437.4753999999998</v>
      </c>
      <c r="G96" s="2">
        <v>0.70199999999999996</v>
      </c>
      <c r="H96" s="3">
        <v>0</v>
      </c>
      <c r="I96" s="1">
        <v>45847</v>
      </c>
      <c r="J96" s="4" t="s">
        <v>23</v>
      </c>
      <c r="K96" s="4" t="s">
        <v>12</v>
      </c>
      <c r="L96" s="3">
        <v>1528.52</v>
      </c>
      <c r="M96" s="4" t="s">
        <v>1255</v>
      </c>
      <c r="N96" s="3">
        <v>7312.4261999999999</v>
      </c>
    </row>
    <row r="97" spans="1:14" x14ac:dyDescent="0.35">
      <c r="A97">
        <v>1030</v>
      </c>
      <c r="B97" s="4" t="s">
        <v>167</v>
      </c>
      <c r="C97" s="4" t="s">
        <v>207</v>
      </c>
      <c r="D97" s="4" t="s">
        <v>22</v>
      </c>
      <c r="E97">
        <v>0</v>
      </c>
      <c r="F97" s="3">
        <v>3389.44</v>
      </c>
      <c r="G97" s="2">
        <v>0.09</v>
      </c>
      <c r="H97" s="3">
        <v>0</v>
      </c>
      <c r="I97" s="1">
        <v>45628</v>
      </c>
      <c r="J97" s="4" t="s">
        <v>7</v>
      </c>
      <c r="K97" s="4" t="s">
        <v>12</v>
      </c>
      <c r="L97" s="3">
        <v>1663.45</v>
      </c>
      <c r="M97" s="4" t="s">
        <v>1255</v>
      </c>
      <c r="N97" s="3">
        <v>0</v>
      </c>
    </row>
    <row r="98" spans="1:14" x14ac:dyDescent="0.35">
      <c r="A98">
        <v>1031</v>
      </c>
      <c r="B98" s="4" t="s">
        <v>208</v>
      </c>
      <c r="C98" s="4" t="s">
        <v>209</v>
      </c>
      <c r="D98" s="4" t="s">
        <v>37</v>
      </c>
      <c r="E98">
        <v>0</v>
      </c>
      <c r="F98" s="3">
        <v>2753.6064000000001</v>
      </c>
      <c r="G98" s="2">
        <v>0.57999999999999996</v>
      </c>
      <c r="H98" s="3">
        <v>0</v>
      </c>
      <c r="I98" s="1">
        <v>45416</v>
      </c>
      <c r="J98" s="4" t="s">
        <v>7</v>
      </c>
      <c r="K98" s="4" t="s">
        <v>8</v>
      </c>
      <c r="L98" s="3">
        <v>652.37</v>
      </c>
      <c r="M98" s="4" t="s">
        <v>1255</v>
      </c>
      <c r="N98" s="3">
        <v>0</v>
      </c>
    </row>
    <row r="99" spans="1:14" x14ac:dyDescent="0.35">
      <c r="A99">
        <v>1031</v>
      </c>
      <c r="B99" s="4" t="s">
        <v>210</v>
      </c>
      <c r="C99" s="4" t="s">
        <v>211</v>
      </c>
      <c r="D99" s="4" t="s">
        <v>25</v>
      </c>
      <c r="E99">
        <v>0</v>
      </c>
      <c r="F99" s="3">
        <v>1872.05</v>
      </c>
      <c r="G99" s="2">
        <v>0.15</v>
      </c>
      <c r="H99" s="3">
        <v>0</v>
      </c>
      <c r="I99" s="1">
        <v>45804</v>
      </c>
      <c r="J99" s="4" t="s">
        <v>20</v>
      </c>
      <c r="K99" s="4" t="s">
        <v>8</v>
      </c>
      <c r="L99" s="3">
        <v>-863.9</v>
      </c>
      <c r="M99" s="4" t="s">
        <v>1255</v>
      </c>
      <c r="N99" s="3">
        <v>0</v>
      </c>
    </row>
    <row r="100" spans="1:14" x14ac:dyDescent="0.35">
      <c r="A100">
        <v>1031</v>
      </c>
      <c r="B100" s="4" t="s">
        <v>167</v>
      </c>
      <c r="C100" s="4" t="s">
        <v>61</v>
      </c>
      <c r="D100" s="4" t="s">
        <v>25</v>
      </c>
      <c r="E100">
        <v>4</v>
      </c>
      <c r="F100" s="3">
        <v>2692.9259999999999</v>
      </c>
      <c r="G100" s="2">
        <v>0.64739904988123498</v>
      </c>
      <c r="H100" s="3">
        <v>0</v>
      </c>
      <c r="I100" s="1">
        <v>45688</v>
      </c>
      <c r="J100" s="4" t="s">
        <v>18</v>
      </c>
      <c r="K100" s="4" t="s">
        <v>12</v>
      </c>
      <c r="L100" s="3">
        <v>-960.24</v>
      </c>
      <c r="M100" s="4" t="s">
        <v>1255</v>
      </c>
      <c r="N100" s="3">
        <v>10771.704</v>
      </c>
    </row>
    <row r="101" spans="1:14" x14ac:dyDescent="0.35">
      <c r="A101">
        <v>1031</v>
      </c>
      <c r="B101" s="4" t="s">
        <v>212</v>
      </c>
      <c r="C101" s="4" t="s">
        <v>61</v>
      </c>
      <c r="D101" s="4" t="s">
        <v>26</v>
      </c>
      <c r="E101">
        <v>6</v>
      </c>
      <c r="F101" s="3">
        <v>3792.09</v>
      </c>
      <c r="G101" s="2">
        <v>0.64369942196531804</v>
      </c>
      <c r="H101" s="3">
        <v>0</v>
      </c>
      <c r="I101" s="1">
        <v>45263</v>
      </c>
      <c r="J101" s="4" t="s">
        <v>18</v>
      </c>
      <c r="K101" s="4" t="s">
        <v>8</v>
      </c>
      <c r="L101" s="3">
        <v>194.31</v>
      </c>
      <c r="M101" s="4" t="s">
        <v>1255</v>
      </c>
      <c r="N101" s="3">
        <v>22752.54</v>
      </c>
    </row>
    <row r="102" spans="1:14" x14ac:dyDescent="0.35">
      <c r="A102">
        <v>1031</v>
      </c>
      <c r="B102" s="4" t="s">
        <v>213</v>
      </c>
      <c r="C102" s="4" t="s">
        <v>205</v>
      </c>
      <c r="D102" s="4" t="s">
        <v>6</v>
      </c>
      <c r="E102">
        <v>0</v>
      </c>
      <c r="F102" s="3">
        <v>2267.3000000000002</v>
      </c>
      <c r="G102" s="2">
        <v>0.91</v>
      </c>
      <c r="H102" s="3">
        <v>0</v>
      </c>
      <c r="I102" s="1">
        <v>45732</v>
      </c>
      <c r="J102" s="4" t="s">
        <v>18</v>
      </c>
      <c r="K102" s="4" t="s">
        <v>8</v>
      </c>
      <c r="L102" s="3">
        <v>1673.55</v>
      </c>
      <c r="M102" s="4" t="s">
        <v>1255</v>
      </c>
      <c r="N102" s="3">
        <v>0</v>
      </c>
    </row>
    <row r="103" spans="1:14" x14ac:dyDescent="0.35">
      <c r="A103">
        <v>1032</v>
      </c>
      <c r="B103" s="4" t="s">
        <v>214</v>
      </c>
      <c r="C103" s="4" t="s">
        <v>215</v>
      </c>
      <c r="D103" s="4" t="s">
        <v>27</v>
      </c>
      <c r="E103">
        <v>-1</v>
      </c>
      <c r="F103" s="3">
        <v>4146.91</v>
      </c>
      <c r="G103" s="2">
        <v>1.03</v>
      </c>
      <c r="H103" s="3">
        <v>124.41</v>
      </c>
      <c r="I103" s="1">
        <v>45791</v>
      </c>
      <c r="J103" s="4" t="s">
        <v>7</v>
      </c>
      <c r="K103" s="4" t="s">
        <v>12</v>
      </c>
      <c r="L103" s="3">
        <v>930.16</v>
      </c>
      <c r="M103" s="4" t="s">
        <v>1256</v>
      </c>
      <c r="N103" s="3">
        <v>-4146.91</v>
      </c>
    </row>
    <row r="104" spans="1:14" x14ac:dyDescent="0.35">
      <c r="A104">
        <v>1032</v>
      </c>
      <c r="B104" s="4" t="s">
        <v>141</v>
      </c>
      <c r="C104" s="4" t="s">
        <v>216</v>
      </c>
      <c r="D104" s="4" t="s">
        <v>19</v>
      </c>
      <c r="E104">
        <v>0</v>
      </c>
      <c r="F104" s="3">
        <v>2680.2069000000001</v>
      </c>
      <c r="G104" s="2">
        <v>0.64903350515463898</v>
      </c>
      <c r="H104" s="3">
        <v>0</v>
      </c>
      <c r="I104" s="1">
        <v>45847</v>
      </c>
      <c r="J104" s="4" t="s">
        <v>9</v>
      </c>
      <c r="K104" s="4" t="s">
        <v>8</v>
      </c>
      <c r="L104" s="3">
        <v>1941.65</v>
      </c>
      <c r="M104" s="4" t="s">
        <v>1255</v>
      </c>
      <c r="N104" s="3">
        <v>0</v>
      </c>
    </row>
    <row r="105" spans="1:14" x14ac:dyDescent="0.35">
      <c r="A105">
        <v>1032</v>
      </c>
      <c r="B105" s="4" t="s">
        <v>164</v>
      </c>
      <c r="C105" s="4" t="s">
        <v>147</v>
      </c>
      <c r="D105" s="4" t="s">
        <v>13</v>
      </c>
      <c r="E105">
        <v>0</v>
      </c>
      <c r="F105" s="3">
        <v>3956.83</v>
      </c>
      <c r="G105" s="2">
        <v>0.63535864978903001</v>
      </c>
      <c r="H105" s="3">
        <v>0</v>
      </c>
      <c r="I105" s="1">
        <v>45620</v>
      </c>
      <c r="J105" s="4" t="s">
        <v>23</v>
      </c>
      <c r="K105" s="4" t="s">
        <v>12</v>
      </c>
      <c r="L105" s="3">
        <v>1061.44</v>
      </c>
      <c r="M105" s="4" t="s">
        <v>1255</v>
      </c>
      <c r="N105" s="3">
        <v>0</v>
      </c>
    </row>
    <row r="106" spans="1:14" hidden="1" x14ac:dyDescent="0.35">
      <c r="A106">
        <v>1032</v>
      </c>
      <c r="B106" s="4" t="s">
        <v>217</v>
      </c>
      <c r="C106" s="4" t="s">
        <v>92</v>
      </c>
      <c r="D106" s="4" t="s">
        <v>16</v>
      </c>
      <c r="E106">
        <v>0</v>
      </c>
      <c r="F106" s="3">
        <v>2182.0100000000002</v>
      </c>
      <c r="G106" s="2">
        <v>0.64739904988123498</v>
      </c>
      <c r="H106" s="3">
        <v>0</v>
      </c>
      <c r="I106" s="1">
        <v>45682</v>
      </c>
      <c r="J106" s="4" t="s">
        <v>7</v>
      </c>
      <c r="K106" s="4" t="s">
        <v>40</v>
      </c>
      <c r="L106" s="3">
        <v>1377.61</v>
      </c>
      <c r="M106" s="4" t="s">
        <v>1255</v>
      </c>
      <c r="N106" s="3">
        <v>0</v>
      </c>
    </row>
    <row r="107" spans="1:14" x14ac:dyDescent="0.35">
      <c r="A107">
        <v>1033</v>
      </c>
      <c r="B107" s="4" t="s">
        <v>93</v>
      </c>
      <c r="C107" s="4" t="s">
        <v>218</v>
      </c>
      <c r="D107" s="4" t="s">
        <v>15</v>
      </c>
      <c r="E107">
        <v>0</v>
      </c>
      <c r="F107" s="3">
        <v>2741.9834000000001</v>
      </c>
      <c r="G107" s="2">
        <v>0.65817155756207602</v>
      </c>
      <c r="H107" s="3">
        <v>0</v>
      </c>
      <c r="I107" s="1">
        <v>45565</v>
      </c>
      <c r="J107" s="4" t="s">
        <v>7</v>
      </c>
      <c r="K107" s="4" t="s">
        <v>8</v>
      </c>
      <c r="L107" s="3">
        <v>-299.77999999999997</v>
      </c>
      <c r="M107" s="4" t="s">
        <v>1255</v>
      </c>
      <c r="N107" s="3">
        <v>0</v>
      </c>
    </row>
    <row r="108" spans="1:14" x14ac:dyDescent="0.35">
      <c r="A108">
        <v>1033</v>
      </c>
      <c r="B108" s="4" t="s">
        <v>219</v>
      </c>
      <c r="C108" s="4" t="s">
        <v>158</v>
      </c>
      <c r="D108" s="4" t="s">
        <v>26</v>
      </c>
      <c r="E108">
        <v>0</v>
      </c>
      <c r="F108" s="3">
        <v>3369.55</v>
      </c>
      <c r="G108" s="2">
        <v>0.65062300319488797</v>
      </c>
      <c r="H108" s="3">
        <v>0</v>
      </c>
      <c r="I108" s="1">
        <v>45664</v>
      </c>
      <c r="J108" s="4" t="s">
        <v>20</v>
      </c>
      <c r="K108" s="4" t="s">
        <v>8</v>
      </c>
      <c r="L108" s="3">
        <v>1927.24</v>
      </c>
      <c r="M108" s="4" t="s">
        <v>1255</v>
      </c>
      <c r="N108" s="3">
        <v>0</v>
      </c>
    </row>
    <row r="109" spans="1:14" hidden="1" x14ac:dyDescent="0.35">
      <c r="A109">
        <v>1033</v>
      </c>
      <c r="B109" s="4" t="s">
        <v>220</v>
      </c>
      <c r="C109" s="4" t="s">
        <v>221</v>
      </c>
      <c r="D109" s="4" t="s">
        <v>14</v>
      </c>
      <c r="E109">
        <v>0</v>
      </c>
      <c r="F109" s="3">
        <v>421.92</v>
      </c>
      <c r="G109" s="2">
        <v>0.64462009803921605</v>
      </c>
      <c r="H109" s="3">
        <v>0</v>
      </c>
      <c r="I109" s="1">
        <v>45661</v>
      </c>
      <c r="J109" s="4" t="s">
        <v>23</v>
      </c>
      <c r="K109" s="4" t="s">
        <v>40</v>
      </c>
      <c r="L109" s="3">
        <v>2969.19</v>
      </c>
      <c r="M109" s="4" t="s">
        <v>1255</v>
      </c>
      <c r="N109" s="3">
        <v>0</v>
      </c>
    </row>
    <row r="110" spans="1:14" x14ac:dyDescent="0.35">
      <c r="A110">
        <v>1033</v>
      </c>
      <c r="B110" s="4" t="s">
        <v>130</v>
      </c>
      <c r="C110" s="4" t="s">
        <v>222</v>
      </c>
      <c r="D110" s="4" t="s">
        <v>21</v>
      </c>
      <c r="E110">
        <v>0</v>
      </c>
      <c r="F110" s="3">
        <v>2694.1961000000001</v>
      </c>
      <c r="G110" s="2">
        <v>0.64739904988123498</v>
      </c>
      <c r="H110" s="3">
        <v>0</v>
      </c>
      <c r="I110" s="1">
        <v>45609</v>
      </c>
      <c r="J110" s="4" t="s">
        <v>23</v>
      </c>
      <c r="K110" s="4" t="s">
        <v>12</v>
      </c>
      <c r="L110" s="3">
        <v>903.69</v>
      </c>
      <c r="M110" s="4" t="s">
        <v>1255</v>
      </c>
      <c r="N110" s="3">
        <v>0</v>
      </c>
    </row>
    <row r="111" spans="1:14" hidden="1" x14ac:dyDescent="0.35">
      <c r="A111">
        <v>1033</v>
      </c>
      <c r="B111" s="4" t="s">
        <v>223</v>
      </c>
      <c r="C111" s="4" t="s">
        <v>152</v>
      </c>
      <c r="D111" s="4" t="s">
        <v>17</v>
      </c>
      <c r="E111">
        <v>0</v>
      </c>
      <c r="F111" s="3">
        <v>3863.95</v>
      </c>
      <c r="G111" s="2">
        <v>0.9</v>
      </c>
      <c r="H111" s="3">
        <v>0</v>
      </c>
      <c r="I111" s="1">
        <v>45757</v>
      </c>
      <c r="J111" s="4" t="s">
        <v>20</v>
      </c>
      <c r="K111" s="4" t="s">
        <v>40</v>
      </c>
      <c r="L111" s="3">
        <v>1784.65</v>
      </c>
      <c r="M111" s="4" t="s">
        <v>1255</v>
      </c>
      <c r="N111" s="3">
        <v>0</v>
      </c>
    </row>
    <row r="112" spans="1:14" hidden="1" x14ac:dyDescent="0.35">
      <c r="A112">
        <v>1034</v>
      </c>
      <c r="B112" s="4" t="s">
        <v>224</v>
      </c>
      <c r="C112" s="4" t="s">
        <v>225</v>
      </c>
      <c r="D112" s="4" t="s">
        <v>17</v>
      </c>
      <c r="E112">
        <v>0</v>
      </c>
      <c r="F112" s="3">
        <v>2771.3930999999998</v>
      </c>
      <c r="G112" s="2">
        <v>0.63254658385093199</v>
      </c>
      <c r="H112" s="3">
        <v>0</v>
      </c>
      <c r="I112" s="1">
        <v>45557</v>
      </c>
      <c r="J112" s="4" t="s">
        <v>23</v>
      </c>
      <c r="K112" s="4" t="s">
        <v>40</v>
      </c>
      <c r="L112" s="3">
        <v>-41.81</v>
      </c>
      <c r="M112" s="4" t="s">
        <v>1255</v>
      </c>
      <c r="N112" s="3">
        <v>0</v>
      </c>
    </row>
    <row r="113" spans="1:14" x14ac:dyDescent="0.35">
      <c r="A113">
        <v>1034</v>
      </c>
      <c r="B113" s="4" t="s">
        <v>226</v>
      </c>
      <c r="C113" s="4" t="s">
        <v>227</v>
      </c>
      <c r="D113" s="4" t="s">
        <v>10</v>
      </c>
      <c r="E113">
        <v>0</v>
      </c>
      <c r="F113" s="3">
        <v>4449.3599999999997</v>
      </c>
      <c r="G113" s="2">
        <v>0.94</v>
      </c>
      <c r="H113" s="3">
        <v>0</v>
      </c>
      <c r="I113" s="1">
        <v>45851</v>
      </c>
      <c r="J113" s="4" t="s">
        <v>7</v>
      </c>
      <c r="K113" s="4" t="s">
        <v>12</v>
      </c>
      <c r="L113" s="3">
        <v>-282.68</v>
      </c>
      <c r="M113" s="4" t="s">
        <v>1255</v>
      </c>
      <c r="N113" s="3">
        <v>0</v>
      </c>
    </row>
    <row r="114" spans="1:14" hidden="1" x14ac:dyDescent="0.35">
      <c r="A114">
        <v>1034</v>
      </c>
      <c r="B114" s="4" t="s">
        <v>228</v>
      </c>
      <c r="C114" s="4" t="s">
        <v>229</v>
      </c>
      <c r="D114" s="4" t="s">
        <v>28</v>
      </c>
      <c r="E114">
        <v>0</v>
      </c>
      <c r="F114" s="3">
        <v>3991.4</v>
      </c>
      <c r="G114" s="2">
        <v>0.64576341127922998</v>
      </c>
      <c r="H114" s="3">
        <v>0</v>
      </c>
      <c r="I114" s="1">
        <v>45693</v>
      </c>
      <c r="J114" s="4" t="s">
        <v>20</v>
      </c>
      <c r="K114" s="4" t="s">
        <v>40</v>
      </c>
      <c r="L114" s="3">
        <v>-555.4</v>
      </c>
      <c r="M114" s="4" t="s">
        <v>1255</v>
      </c>
      <c r="N114" s="3">
        <v>0</v>
      </c>
    </row>
    <row r="115" spans="1:14" hidden="1" x14ac:dyDescent="0.35">
      <c r="A115">
        <v>1034</v>
      </c>
      <c r="B115" s="4" t="s">
        <v>230</v>
      </c>
      <c r="C115" s="4" t="s">
        <v>216</v>
      </c>
      <c r="D115" s="4" t="s">
        <v>34</v>
      </c>
      <c r="E115">
        <v>0</v>
      </c>
      <c r="F115" s="3">
        <v>3062.79</v>
      </c>
      <c r="G115" s="2">
        <v>0.64546153846153898</v>
      </c>
      <c r="H115" s="3">
        <v>0</v>
      </c>
      <c r="I115" s="1">
        <v>45503</v>
      </c>
      <c r="J115" s="4" t="s">
        <v>23</v>
      </c>
      <c r="K115" s="4" t="s">
        <v>40</v>
      </c>
      <c r="L115" s="3">
        <v>1135.53</v>
      </c>
      <c r="M115" s="4" t="s">
        <v>1255</v>
      </c>
      <c r="N115" s="3">
        <v>0</v>
      </c>
    </row>
    <row r="116" spans="1:14" x14ac:dyDescent="0.35">
      <c r="A116">
        <v>1035</v>
      </c>
      <c r="B116" s="4" t="s">
        <v>81</v>
      </c>
      <c r="C116" s="4" t="s">
        <v>231</v>
      </c>
      <c r="D116" s="4" t="s">
        <v>14</v>
      </c>
      <c r="E116">
        <v>0</v>
      </c>
      <c r="F116" s="3">
        <v>2694.7002000000002</v>
      </c>
      <c r="G116" s="2">
        <v>0.64462009803921605</v>
      </c>
      <c r="H116" s="3">
        <v>0</v>
      </c>
      <c r="I116" s="1">
        <v>45661</v>
      </c>
      <c r="J116" s="4" t="s">
        <v>11</v>
      </c>
      <c r="K116" s="4" t="s">
        <v>8</v>
      </c>
      <c r="L116" s="3">
        <v>1539.59</v>
      </c>
      <c r="M116" s="4" t="s">
        <v>1255</v>
      </c>
      <c r="N116" s="3">
        <v>0</v>
      </c>
    </row>
    <row r="117" spans="1:14" x14ac:dyDescent="0.35">
      <c r="A117">
        <v>1035</v>
      </c>
      <c r="B117" s="4" t="s">
        <v>134</v>
      </c>
      <c r="C117" s="4" t="s">
        <v>50</v>
      </c>
      <c r="D117" s="4" t="s">
        <v>27</v>
      </c>
      <c r="E117">
        <v>-1</v>
      </c>
      <c r="F117" s="3">
        <v>2694.5972000000002</v>
      </c>
      <c r="G117" s="2">
        <v>0.94</v>
      </c>
      <c r="H117" s="3">
        <v>0</v>
      </c>
      <c r="I117" s="1">
        <v>45851</v>
      </c>
      <c r="J117" s="4" t="s">
        <v>9</v>
      </c>
      <c r="K117" s="4" t="s">
        <v>8</v>
      </c>
      <c r="L117" s="3">
        <v>-199.18</v>
      </c>
      <c r="M117" s="4" t="s">
        <v>1255</v>
      </c>
      <c r="N117" s="3">
        <v>-2694.5972000000002</v>
      </c>
    </row>
    <row r="118" spans="1:14" x14ac:dyDescent="0.35">
      <c r="A118">
        <v>1036</v>
      </c>
      <c r="B118" s="4" t="s">
        <v>232</v>
      </c>
      <c r="C118" s="4" t="s">
        <v>233</v>
      </c>
      <c r="D118" s="4" t="s">
        <v>29</v>
      </c>
      <c r="E118">
        <v>6</v>
      </c>
      <c r="F118" s="3">
        <v>4437.4399999999996</v>
      </c>
      <c r="G118" s="2">
        <v>0.64760493827160504</v>
      </c>
      <c r="H118" s="3">
        <v>0</v>
      </c>
      <c r="I118" s="1">
        <v>45539</v>
      </c>
      <c r="J118" s="4" t="s">
        <v>20</v>
      </c>
      <c r="K118" s="4" t="s">
        <v>8</v>
      </c>
      <c r="L118" s="3">
        <v>493.76</v>
      </c>
      <c r="M118" s="4" t="s">
        <v>1255</v>
      </c>
      <c r="N118" s="3">
        <v>26624.639999999999</v>
      </c>
    </row>
    <row r="119" spans="1:14" x14ac:dyDescent="0.35">
      <c r="A119">
        <v>1036</v>
      </c>
      <c r="B119" s="4" t="s">
        <v>60</v>
      </c>
      <c r="C119" s="4" t="s">
        <v>234</v>
      </c>
      <c r="D119" s="4" t="s">
        <v>19</v>
      </c>
      <c r="E119">
        <v>1</v>
      </c>
      <c r="F119" s="3">
        <v>1534.98</v>
      </c>
      <c r="G119" s="2">
        <v>0.65641441441441395</v>
      </c>
      <c r="H119" s="3">
        <v>0</v>
      </c>
      <c r="I119" s="1">
        <v>45505</v>
      </c>
      <c r="J119" s="4" t="s">
        <v>18</v>
      </c>
      <c r="K119" s="4" t="s">
        <v>12</v>
      </c>
      <c r="L119" s="3">
        <v>2042.17</v>
      </c>
      <c r="M119" s="4" t="s">
        <v>1255</v>
      </c>
      <c r="N119" s="3">
        <v>1534.98</v>
      </c>
    </row>
    <row r="120" spans="1:14" hidden="1" x14ac:dyDescent="0.35">
      <c r="A120">
        <v>1036</v>
      </c>
      <c r="B120" s="4" t="s">
        <v>235</v>
      </c>
      <c r="C120" s="4" t="s">
        <v>236</v>
      </c>
      <c r="D120" s="4" t="s">
        <v>37</v>
      </c>
      <c r="E120">
        <v>2</v>
      </c>
      <c r="F120" s="3">
        <v>4802.42</v>
      </c>
      <c r="G120" s="2">
        <v>1.18</v>
      </c>
      <c r="H120" s="3">
        <v>-1728.87</v>
      </c>
      <c r="I120" s="1">
        <v>45765</v>
      </c>
      <c r="J120" s="4" t="s">
        <v>23</v>
      </c>
      <c r="K120" s="4" t="s">
        <v>40</v>
      </c>
      <c r="L120" s="3">
        <v>605.03</v>
      </c>
      <c r="M120" s="4" t="s">
        <v>1255</v>
      </c>
      <c r="N120" s="3">
        <v>9604.84</v>
      </c>
    </row>
    <row r="121" spans="1:14" x14ac:dyDescent="0.35">
      <c r="A121">
        <v>1036</v>
      </c>
      <c r="B121" s="4" t="s">
        <v>237</v>
      </c>
      <c r="C121" s="4" t="s">
        <v>238</v>
      </c>
      <c r="D121" s="4" t="s">
        <v>28</v>
      </c>
      <c r="E121">
        <v>-2</v>
      </c>
      <c r="F121" s="3">
        <v>2721.83</v>
      </c>
      <c r="G121" s="2">
        <v>0.64670238095238097</v>
      </c>
      <c r="H121" s="3">
        <v>0</v>
      </c>
      <c r="I121" s="1">
        <v>45388</v>
      </c>
      <c r="J121" s="4" t="s">
        <v>9</v>
      </c>
      <c r="K121" s="4" t="s">
        <v>12</v>
      </c>
      <c r="L121" s="3">
        <v>1213.95</v>
      </c>
      <c r="M121" s="4" t="s">
        <v>1255</v>
      </c>
      <c r="N121" s="3">
        <v>-5443.66</v>
      </c>
    </row>
    <row r="122" spans="1:14" x14ac:dyDescent="0.35">
      <c r="A122">
        <v>1036</v>
      </c>
      <c r="B122" s="4" t="s">
        <v>239</v>
      </c>
      <c r="C122" s="4" t="s">
        <v>50</v>
      </c>
      <c r="D122" s="4" t="s">
        <v>21</v>
      </c>
      <c r="E122">
        <v>1</v>
      </c>
      <c r="F122" s="3">
        <v>4601.4399999999996</v>
      </c>
      <c r="G122" s="2">
        <v>0.64514110429447802</v>
      </c>
      <c r="H122" s="3">
        <v>0</v>
      </c>
      <c r="I122" s="1">
        <v>45642</v>
      </c>
      <c r="J122" s="4" t="s">
        <v>11</v>
      </c>
      <c r="K122" s="4" t="s">
        <v>8</v>
      </c>
      <c r="L122" s="3">
        <v>2145.66</v>
      </c>
      <c r="M122" s="4" t="s">
        <v>1255</v>
      </c>
      <c r="N122" s="3">
        <v>4601.4399999999996</v>
      </c>
    </row>
    <row r="123" spans="1:14" x14ac:dyDescent="0.35">
      <c r="A123">
        <v>1037</v>
      </c>
      <c r="B123" s="4" t="s">
        <v>240</v>
      </c>
      <c r="C123" s="4" t="s">
        <v>241</v>
      </c>
      <c r="D123" s="4" t="s">
        <v>37</v>
      </c>
      <c r="E123">
        <v>0</v>
      </c>
      <c r="F123" s="3">
        <v>2795.0511000000001</v>
      </c>
      <c r="G123" s="2">
        <v>0.61813333333333398</v>
      </c>
      <c r="H123" s="3">
        <v>0</v>
      </c>
      <c r="I123" s="1">
        <v>45151</v>
      </c>
      <c r="J123" s="4" t="s">
        <v>11</v>
      </c>
      <c r="K123" s="4" t="s">
        <v>8</v>
      </c>
      <c r="L123" s="3">
        <v>1396.38</v>
      </c>
      <c r="M123" s="4" t="s">
        <v>1255</v>
      </c>
      <c r="N123" s="3">
        <v>0</v>
      </c>
    </row>
    <row r="124" spans="1:14" hidden="1" x14ac:dyDescent="0.35">
      <c r="A124">
        <v>1037</v>
      </c>
      <c r="B124" s="4" t="s">
        <v>65</v>
      </c>
      <c r="C124" s="4" t="s">
        <v>61</v>
      </c>
      <c r="D124" s="4" t="s">
        <v>35</v>
      </c>
      <c r="E124">
        <v>0</v>
      </c>
      <c r="F124" s="3">
        <v>3127.73</v>
      </c>
      <c r="G124" s="2">
        <v>0.06</v>
      </c>
      <c r="H124" s="3">
        <v>0</v>
      </c>
      <c r="I124" s="1">
        <v>45581</v>
      </c>
      <c r="J124" s="4" t="s">
        <v>9</v>
      </c>
      <c r="K124" s="4" t="s">
        <v>40</v>
      </c>
      <c r="L124" s="3">
        <v>-793.02</v>
      </c>
      <c r="M124" s="4" t="s">
        <v>1255</v>
      </c>
      <c r="N124" s="3">
        <v>0</v>
      </c>
    </row>
    <row r="125" spans="1:14" x14ac:dyDescent="0.35">
      <c r="A125">
        <v>1037</v>
      </c>
      <c r="B125" s="4" t="s">
        <v>145</v>
      </c>
      <c r="C125" s="4" t="s">
        <v>242</v>
      </c>
      <c r="D125" s="4" t="s">
        <v>19</v>
      </c>
      <c r="E125">
        <v>2</v>
      </c>
      <c r="F125" s="3">
        <v>2693.2220000000002</v>
      </c>
      <c r="G125" s="2">
        <v>1.1000000000000001</v>
      </c>
      <c r="H125" s="3">
        <v>0</v>
      </c>
      <c r="I125" s="1">
        <v>45388</v>
      </c>
      <c r="J125" s="4" t="s">
        <v>9</v>
      </c>
      <c r="K125" s="4" t="s">
        <v>12</v>
      </c>
      <c r="L125" s="3">
        <v>907.77</v>
      </c>
      <c r="M125" s="4" t="s">
        <v>1255</v>
      </c>
      <c r="N125" s="3">
        <v>5386.4440000000004</v>
      </c>
    </row>
    <row r="126" spans="1:14" x14ac:dyDescent="0.35">
      <c r="A126">
        <v>1038</v>
      </c>
      <c r="B126" s="4" t="s">
        <v>243</v>
      </c>
      <c r="C126" s="4" t="s">
        <v>102</v>
      </c>
      <c r="D126" s="4" t="s">
        <v>29</v>
      </c>
      <c r="E126">
        <v>0</v>
      </c>
      <c r="F126" s="3">
        <v>2773.2354</v>
      </c>
      <c r="G126" s="2">
        <v>0.63426900584795298</v>
      </c>
      <c r="H126" s="3">
        <v>0</v>
      </c>
      <c r="I126" s="1">
        <v>45260</v>
      </c>
      <c r="J126" s="4" t="s">
        <v>20</v>
      </c>
      <c r="K126" s="4" t="s">
        <v>8</v>
      </c>
      <c r="L126" s="3">
        <v>2689.89</v>
      </c>
      <c r="M126" s="4" t="s">
        <v>1255</v>
      </c>
      <c r="N126" s="3">
        <v>0</v>
      </c>
    </row>
    <row r="127" spans="1:14" x14ac:dyDescent="0.35">
      <c r="A127">
        <v>1038</v>
      </c>
      <c r="B127" s="4" t="s">
        <v>244</v>
      </c>
      <c r="C127" s="4" t="s">
        <v>245</v>
      </c>
      <c r="D127" s="4" t="s">
        <v>15</v>
      </c>
      <c r="E127">
        <v>3</v>
      </c>
      <c r="F127" s="3">
        <v>1692.38</v>
      </c>
      <c r="G127" s="2">
        <v>0.64616209773539901</v>
      </c>
      <c r="H127" s="3">
        <v>0</v>
      </c>
      <c r="I127" s="1">
        <v>45311</v>
      </c>
      <c r="J127" s="4" t="s">
        <v>18</v>
      </c>
      <c r="K127" s="4" t="s">
        <v>8</v>
      </c>
      <c r="L127" s="3">
        <v>1704.49</v>
      </c>
      <c r="M127" s="4" t="s">
        <v>1255</v>
      </c>
      <c r="N127" s="3">
        <v>5077.1400000000003</v>
      </c>
    </row>
    <row r="128" spans="1:14" x14ac:dyDescent="0.35">
      <c r="A128">
        <v>1039</v>
      </c>
      <c r="B128" s="4" t="s">
        <v>246</v>
      </c>
      <c r="C128" s="4" t="s">
        <v>176</v>
      </c>
      <c r="D128" s="4" t="s">
        <v>15</v>
      </c>
      <c r="E128">
        <v>0</v>
      </c>
      <c r="F128" s="3">
        <v>633.23</v>
      </c>
      <c r="G128" s="2">
        <v>0.64884520884520902</v>
      </c>
      <c r="H128" s="3">
        <v>0</v>
      </c>
      <c r="I128" s="1">
        <v>45539</v>
      </c>
      <c r="J128" s="4" t="s">
        <v>11</v>
      </c>
      <c r="K128" s="4" t="s">
        <v>8</v>
      </c>
      <c r="L128" s="3">
        <v>232.2</v>
      </c>
      <c r="M128" s="4" t="s">
        <v>1255</v>
      </c>
      <c r="N128" s="3">
        <v>0</v>
      </c>
    </row>
    <row r="129" spans="1:14" x14ac:dyDescent="0.35">
      <c r="A129">
        <v>1039</v>
      </c>
      <c r="B129" s="4" t="s">
        <v>192</v>
      </c>
      <c r="C129" s="4" t="s">
        <v>247</v>
      </c>
      <c r="D129" s="4" t="s">
        <v>29</v>
      </c>
      <c r="E129">
        <v>0</v>
      </c>
      <c r="F129" s="3">
        <v>1372.16</v>
      </c>
      <c r="G129" s="2">
        <v>0.56000000000000005</v>
      </c>
      <c r="H129" s="3">
        <v>0</v>
      </c>
      <c r="I129" s="1">
        <v>45797</v>
      </c>
      <c r="J129" s="4" t="s">
        <v>23</v>
      </c>
      <c r="K129" s="4" t="s">
        <v>8</v>
      </c>
      <c r="L129" s="3">
        <v>1626.51</v>
      </c>
      <c r="M129" s="4" t="s">
        <v>1255</v>
      </c>
      <c r="N129" s="3">
        <v>0</v>
      </c>
    </row>
    <row r="130" spans="1:14" x14ac:dyDescent="0.35">
      <c r="A130">
        <v>1040</v>
      </c>
      <c r="B130" s="4" t="s">
        <v>248</v>
      </c>
      <c r="C130" s="4" t="s">
        <v>249</v>
      </c>
      <c r="D130" s="4" t="s">
        <v>10</v>
      </c>
      <c r="E130">
        <v>0</v>
      </c>
      <c r="F130" s="3">
        <v>1640.04</v>
      </c>
      <c r="G130" s="2">
        <v>0.63823529411764701</v>
      </c>
      <c r="H130" s="3">
        <v>0</v>
      </c>
      <c r="I130" s="1">
        <v>45747</v>
      </c>
      <c r="J130" s="4" t="s">
        <v>18</v>
      </c>
      <c r="K130" s="4" t="s">
        <v>8</v>
      </c>
      <c r="L130" s="3">
        <v>288.44</v>
      </c>
      <c r="M130" s="4" t="s">
        <v>1255</v>
      </c>
      <c r="N130" s="3">
        <v>0</v>
      </c>
    </row>
    <row r="131" spans="1:14" x14ac:dyDescent="0.35">
      <c r="A131">
        <v>1040</v>
      </c>
      <c r="B131" s="4" t="s">
        <v>250</v>
      </c>
      <c r="C131" s="4" t="s">
        <v>63</v>
      </c>
      <c r="D131" s="4" t="s">
        <v>26</v>
      </c>
      <c r="E131">
        <v>2</v>
      </c>
      <c r="F131" s="3">
        <v>2675.8807000000002</v>
      </c>
      <c r="G131" s="2">
        <v>0.18</v>
      </c>
      <c r="H131" s="3">
        <v>0</v>
      </c>
      <c r="I131" s="1">
        <v>45859</v>
      </c>
      <c r="J131" s="4" t="s">
        <v>18</v>
      </c>
      <c r="K131" s="4" t="s">
        <v>12</v>
      </c>
      <c r="L131" s="3">
        <v>2721.4</v>
      </c>
      <c r="M131" s="4" t="s">
        <v>1255</v>
      </c>
      <c r="N131" s="3">
        <v>5351.7614000000003</v>
      </c>
    </row>
    <row r="132" spans="1:14" x14ac:dyDescent="0.35">
      <c r="A132">
        <v>1040</v>
      </c>
      <c r="B132" s="4" t="s">
        <v>143</v>
      </c>
      <c r="C132" s="4" t="s">
        <v>251</v>
      </c>
      <c r="D132" s="4" t="s">
        <v>15</v>
      </c>
      <c r="E132">
        <v>0</v>
      </c>
      <c r="F132" s="3">
        <v>2777.1759999999999</v>
      </c>
      <c r="G132" s="2">
        <v>0.64042168674698796</v>
      </c>
      <c r="H132" s="3">
        <v>0</v>
      </c>
      <c r="I132" s="1">
        <v>45782</v>
      </c>
      <c r="J132" s="4" t="s">
        <v>7</v>
      </c>
      <c r="K132" s="4" t="s">
        <v>12</v>
      </c>
      <c r="L132" s="3">
        <v>2959.73</v>
      </c>
      <c r="M132" s="4" t="s">
        <v>1255</v>
      </c>
      <c r="N132" s="3">
        <v>0</v>
      </c>
    </row>
    <row r="133" spans="1:14" x14ac:dyDescent="0.35">
      <c r="A133">
        <v>1040</v>
      </c>
      <c r="B133" s="4" t="s">
        <v>252</v>
      </c>
      <c r="C133" s="4" t="s">
        <v>253</v>
      </c>
      <c r="D133" s="4" t="s">
        <v>30</v>
      </c>
      <c r="E133">
        <v>0</v>
      </c>
      <c r="F133" s="3">
        <v>2693.9850999999999</v>
      </c>
      <c r="G133" s="2">
        <v>0.64626491646777995</v>
      </c>
      <c r="H133" s="3">
        <v>0</v>
      </c>
      <c r="I133" s="1">
        <v>45611</v>
      </c>
      <c r="J133" s="4" t="s">
        <v>9</v>
      </c>
      <c r="K133" s="4" t="s">
        <v>8</v>
      </c>
      <c r="L133" s="3">
        <v>693.6</v>
      </c>
      <c r="M133" s="4" t="s">
        <v>1255</v>
      </c>
      <c r="N133" s="3">
        <v>0</v>
      </c>
    </row>
    <row r="134" spans="1:14" x14ac:dyDescent="0.35">
      <c r="A134">
        <v>1041</v>
      </c>
      <c r="B134" s="4" t="s">
        <v>254</v>
      </c>
      <c r="C134" s="4" t="s">
        <v>255</v>
      </c>
      <c r="D134" s="4" t="s">
        <v>10</v>
      </c>
      <c r="E134">
        <v>0</v>
      </c>
      <c r="F134" s="3">
        <v>2695.0234999999998</v>
      </c>
      <c r="G134" s="2">
        <v>0.64626491646777995</v>
      </c>
      <c r="H134" s="3">
        <v>0</v>
      </c>
      <c r="I134" s="1">
        <v>45723</v>
      </c>
      <c r="J134" s="4" t="s">
        <v>9</v>
      </c>
      <c r="K134" s="4" t="s">
        <v>8</v>
      </c>
      <c r="L134" s="3">
        <v>-983.06</v>
      </c>
      <c r="M134" s="4" t="s">
        <v>1255</v>
      </c>
      <c r="N134" s="3">
        <v>0</v>
      </c>
    </row>
    <row r="135" spans="1:14" hidden="1" x14ac:dyDescent="0.35">
      <c r="A135">
        <v>1042</v>
      </c>
      <c r="B135" s="4" t="s">
        <v>139</v>
      </c>
      <c r="C135" s="4" t="s">
        <v>61</v>
      </c>
      <c r="D135" s="4" t="s">
        <v>31</v>
      </c>
      <c r="E135">
        <v>0</v>
      </c>
      <c r="F135" s="3">
        <v>2695.0234999999998</v>
      </c>
      <c r="G135" s="2">
        <v>0.64626491646777995</v>
      </c>
      <c r="H135" s="3">
        <v>0</v>
      </c>
      <c r="I135" s="1">
        <v>45759</v>
      </c>
      <c r="J135" s="4" t="s">
        <v>20</v>
      </c>
      <c r="K135" s="4" t="s">
        <v>40</v>
      </c>
      <c r="L135" s="3">
        <v>283.39</v>
      </c>
      <c r="M135" s="4" t="s">
        <v>1255</v>
      </c>
      <c r="N135" s="3">
        <v>0</v>
      </c>
    </row>
    <row r="136" spans="1:14" hidden="1" x14ac:dyDescent="0.35">
      <c r="A136">
        <v>1042</v>
      </c>
      <c r="B136" s="4" t="s">
        <v>256</v>
      </c>
      <c r="C136" s="4" t="s">
        <v>257</v>
      </c>
      <c r="D136" s="4" t="s">
        <v>21</v>
      </c>
      <c r="E136">
        <v>0</v>
      </c>
      <c r="F136" s="3">
        <v>2678.1979999999999</v>
      </c>
      <c r="G136" s="2">
        <v>0.84</v>
      </c>
      <c r="H136" s="3">
        <v>0</v>
      </c>
      <c r="I136" s="1">
        <v>45816</v>
      </c>
      <c r="J136" s="4" t="s">
        <v>18</v>
      </c>
      <c r="K136" s="4" t="s">
        <v>40</v>
      </c>
      <c r="L136" s="3">
        <v>1558.99</v>
      </c>
      <c r="M136" s="4" t="s">
        <v>1255</v>
      </c>
      <c r="N136" s="3">
        <v>0</v>
      </c>
    </row>
    <row r="137" spans="1:14" x14ac:dyDescent="0.35">
      <c r="A137">
        <v>1042</v>
      </c>
      <c r="B137" s="4" t="s">
        <v>192</v>
      </c>
      <c r="C137" s="4" t="s">
        <v>258</v>
      </c>
      <c r="D137" s="4" t="s">
        <v>16</v>
      </c>
      <c r="E137">
        <v>6</v>
      </c>
      <c r="F137" s="3">
        <v>2422.0100000000002</v>
      </c>
      <c r="G137" s="2">
        <v>0.63389380530973505</v>
      </c>
      <c r="H137" s="3">
        <v>0</v>
      </c>
      <c r="I137" s="1">
        <v>45682</v>
      </c>
      <c r="J137" s="4" t="s">
        <v>20</v>
      </c>
      <c r="K137" s="4" t="s">
        <v>12</v>
      </c>
      <c r="L137" s="3">
        <v>339.16</v>
      </c>
      <c r="M137" s="4" t="s">
        <v>1255</v>
      </c>
      <c r="N137" s="3">
        <v>14532.06</v>
      </c>
    </row>
    <row r="138" spans="1:14" x14ac:dyDescent="0.35">
      <c r="A138">
        <v>1043</v>
      </c>
      <c r="B138" s="4" t="s">
        <v>117</v>
      </c>
      <c r="C138" s="4" t="s">
        <v>247</v>
      </c>
      <c r="D138" s="4" t="s">
        <v>28</v>
      </c>
      <c r="E138">
        <v>4</v>
      </c>
      <c r="F138" s="3">
        <v>2679.5650999999998</v>
      </c>
      <c r="G138" s="2">
        <v>0.64383502170767004</v>
      </c>
      <c r="H138" s="3">
        <v>0</v>
      </c>
      <c r="I138" s="1">
        <v>45456</v>
      </c>
      <c r="J138" s="4" t="s">
        <v>7</v>
      </c>
      <c r="K138" s="4" t="s">
        <v>8</v>
      </c>
      <c r="L138" s="3">
        <v>-401.44</v>
      </c>
      <c r="M138" s="4" t="s">
        <v>1255</v>
      </c>
      <c r="N138" s="3">
        <v>10718.260399999999</v>
      </c>
    </row>
    <row r="139" spans="1:14" hidden="1" x14ac:dyDescent="0.35">
      <c r="A139">
        <v>1043</v>
      </c>
      <c r="B139" s="4" t="s">
        <v>259</v>
      </c>
      <c r="C139" s="4" t="s">
        <v>175</v>
      </c>
      <c r="D139" s="4" t="s">
        <v>28</v>
      </c>
      <c r="E139">
        <v>0</v>
      </c>
      <c r="F139" s="3">
        <v>4575.93</v>
      </c>
      <c r="G139" s="2">
        <v>0.56000000000000005</v>
      </c>
      <c r="H139" s="3">
        <v>0</v>
      </c>
      <c r="I139" s="1">
        <v>45752</v>
      </c>
      <c r="J139" s="4" t="s">
        <v>9</v>
      </c>
      <c r="K139" s="4" t="s">
        <v>40</v>
      </c>
      <c r="L139" s="3">
        <v>442.14</v>
      </c>
      <c r="M139" s="4" t="s">
        <v>1255</v>
      </c>
      <c r="N139" s="3">
        <v>0</v>
      </c>
    </row>
    <row r="140" spans="1:14" hidden="1" x14ac:dyDescent="0.35">
      <c r="A140">
        <v>1044</v>
      </c>
      <c r="B140" s="4" t="s">
        <v>260</v>
      </c>
      <c r="C140" s="4" t="s">
        <v>261</v>
      </c>
      <c r="D140" s="4" t="s">
        <v>27</v>
      </c>
      <c r="E140">
        <v>0</v>
      </c>
      <c r="F140" s="3">
        <v>756.73</v>
      </c>
      <c r="G140" s="2">
        <v>0.64127035830618895</v>
      </c>
      <c r="H140" s="3">
        <v>0</v>
      </c>
      <c r="I140" s="1">
        <v>45631</v>
      </c>
      <c r="J140" s="4" t="s">
        <v>7</v>
      </c>
      <c r="K140" s="4" t="s">
        <v>40</v>
      </c>
      <c r="L140" s="3">
        <v>1504.13</v>
      </c>
      <c r="M140" s="4" t="s">
        <v>1255</v>
      </c>
      <c r="N140" s="3">
        <v>0</v>
      </c>
    </row>
    <row r="141" spans="1:14" x14ac:dyDescent="0.35">
      <c r="A141">
        <v>1044</v>
      </c>
      <c r="B141" s="4" t="s">
        <v>185</v>
      </c>
      <c r="C141" s="4" t="s">
        <v>61</v>
      </c>
      <c r="D141" s="4" t="s">
        <v>26</v>
      </c>
      <c r="E141">
        <v>0</v>
      </c>
      <c r="F141" s="3">
        <v>2695.0234999999998</v>
      </c>
      <c r="G141" s="2">
        <v>0.64636798088410996</v>
      </c>
      <c r="H141" s="3">
        <v>0</v>
      </c>
      <c r="I141" s="1">
        <v>45547</v>
      </c>
      <c r="J141" s="4" t="s">
        <v>18</v>
      </c>
      <c r="K141" s="4" t="s">
        <v>12</v>
      </c>
      <c r="L141" s="3">
        <v>-80.23</v>
      </c>
      <c r="M141" s="4" t="s">
        <v>1255</v>
      </c>
      <c r="N141" s="3">
        <v>0</v>
      </c>
    </row>
    <row r="142" spans="1:14" x14ac:dyDescent="0.35">
      <c r="A142">
        <v>1045</v>
      </c>
      <c r="B142" s="4" t="s">
        <v>262</v>
      </c>
      <c r="C142" s="4" t="s">
        <v>263</v>
      </c>
      <c r="D142" s="4" t="s">
        <v>19</v>
      </c>
      <c r="E142">
        <v>-2</v>
      </c>
      <c r="F142" s="3">
        <v>2860.2838000000002</v>
      </c>
      <c r="G142" s="2">
        <v>0.639625</v>
      </c>
      <c r="H142" s="3">
        <v>0</v>
      </c>
      <c r="I142" s="1">
        <v>45347</v>
      </c>
      <c r="J142" s="4" t="s">
        <v>20</v>
      </c>
      <c r="K142" s="4" t="s">
        <v>8</v>
      </c>
      <c r="L142" s="3">
        <v>454.74</v>
      </c>
      <c r="M142" s="4" t="s">
        <v>1255</v>
      </c>
      <c r="N142" s="3">
        <v>-5720.5676000000003</v>
      </c>
    </row>
    <row r="143" spans="1:14" hidden="1" x14ac:dyDescent="0.35">
      <c r="A143">
        <v>1045</v>
      </c>
      <c r="B143" s="4" t="s">
        <v>264</v>
      </c>
      <c r="C143" s="4" t="s">
        <v>265</v>
      </c>
      <c r="D143" s="4" t="s">
        <v>28</v>
      </c>
      <c r="E143">
        <v>4</v>
      </c>
      <c r="F143" s="3">
        <v>2746.1210000000001</v>
      </c>
      <c r="G143" s="2">
        <v>0.98</v>
      </c>
      <c r="H143" s="3">
        <v>0</v>
      </c>
      <c r="I143" s="1">
        <v>45762</v>
      </c>
      <c r="J143" s="4" t="s">
        <v>20</v>
      </c>
      <c r="K143" s="4" t="s">
        <v>40</v>
      </c>
      <c r="L143" s="3">
        <v>1009.78</v>
      </c>
      <c r="M143" s="4" t="s">
        <v>1255</v>
      </c>
      <c r="N143" s="3">
        <v>10984.484</v>
      </c>
    </row>
    <row r="144" spans="1:14" x14ac:dyDescent="0.35">
      <c r="A144">
        <v>1045</v>
      </c>
      <c r="B144" s="4" t="s">
        <v>237</v>
      </c>
      <c r="C144" s="4" t="s">
        <v>266</v>
      </c>
      <c r="D144" s="4" t="s">
        <v>19</v>
      </c>
      <c r="E144">
        <v>0</v>
      </c>
      <c r="F144" s="3">
        <v>3477.16</v>
      </c>
      <c r="G144" s="2">
        <v>0.64636798088410996</v>
      </c>
      <c r="H144" s="3">
        <v>0</v>
      </c>
      <c r="I144" s="1">
        <v>45698</v>
      </c>
      <c r="J144" s="4" t="s">
        <v>23</v>
      </c>
      <c r="K144" s="4" t="s">
        <v>12</v>
      </c>
      <c r="L144" s="3">
        <v>1323.75</v>
      </c>
      <c r="M144" s="4" t="s">
        <v>1255</v>
      </c>
      <c r="N144" s="3">
        <v>0</v>
      </c>
    </row>
    <row r="145" spans="1:14" hidden="1" x14ac:dyDescent="0.35">
      <c r="A145">
        <v>1046</v>
      </c>
      <c r="B145" s="4" t="s">
        <v>267</v>
      </c>
      <c r="C145" s="4" t="s">
        <v>268</v>
      </c>
      <c r="D145" s="4" t="s">
        <v>6</v>
      </c>
      <c r="E145">
        <v>-1</v>
      </c>
      <c r="F145" s="3">
        <v>2441.92</v>
      </c>
      <c r="G145" s="2">
        <v>0.92</v>
      </c>
      <c r="H145" s="3">
        <v>-195.35</v>
      </c>
      <c r="I145" s="1">
        <v>45698</v>
      </c>
      <c r="J145" s="4" t="s">
        <v>7</v>
      </c>
      <c r="K145" s="4" t="s">
        <v>40</v>
      </c>
      <c r="L145" s="3">
        <v>1004.91</v>
      </c>
      <c r="M145" s="4" t="s">
        <v>1255</v>
      </c>
      <c r="N145" s="3">
        <v>-2441.92</v>
      </c>
    </row>
    <row r="146" spans="1:14" x14ac:dyDescent="0.35">
      <c r="A146">
        <v>1046</v>
      </c>
      <c r="B146" s="4" t="s">
        <v>269</v>
      </c>
      <c r="C146" s="4" t="s">
        <v>270</v>
      </c>
      <c r="D146" s="4" t="s">
        <v>37</v>
      </c>
      <c r="E146">
        <v>0</v>
      </c>
      <c r="F146" s="3">
        <v>2771.3930999999998</v>
      </c>
      <c r="G146" s="2">
        <v>0.63254658385093199</v>
      </c>
      <c r="H146" s="3">
        <v>0</v>
      </c>
      <c r="I146" s="1">
        <v>45528</v>
      </c>
      <c r="J146" s="4" t="s">
        <v>7</v>
      </c>
      <c r="K146" s="4" t="s">
        <v>12</v>
      </c>
      <c r="L146" s="3">
        <v>900.65</v>
      </c>
      <c r="M146" s="4" t="s">
        <v>1255</v>
      </c>
      <c r="N146" s="3">
        <v>0</v>
      </c>
    </row>
    <row r="147" spans="1:14" x14ac:dyDescent="0.35">
      <c r="A147">
        <v>1047</v>
      </c>
      <c r="B147" s="4" t="s">
        <v>228</v>
      </c>
      <c r="C147" s="4" t="s">
        <v>44</v>
      </c>
      <c r="D147" s="4" t="s">
        <v>21</v>
      </c>
      <c r="E147">
        <v>3</v>
      </c>
      <c r="F147" s="3">
        <v>2692.9281999999998</v>
      </c>
      <c r="G147" s="2">
        <v>0.64604066985645903</v>
      </c>
      <c r="H147" s="3">
        <v>0</v>
      </c>
      <c r="I147" s="1">
        <v>45820</v>
      </c>
      <c r="J147" s="4" t="s">
        <v>23</v>
      </c>
      <c r="K147" s="4" t="s">
        <v>8</v>
      </c>
      <c r="L147" s="3">
        <v>-395.76</v>
      </c>
      <c r="M147" s="4" t="s">
        <v>1255</v>
      </c>
      <c r="N147" s="3">
        <v>8078.7846</v>
      </c>
    </row>
    <row r="148" spans="1:14" x14ac:dyDescent="0.35">
      <c r="A148">
        <v>1047</v>
      </c>
      <c r="B148" s="4" t="s">
        <v>271</v>
      </c>
      <c r="C148" s="4" t="s">
        <v>272</v>
      </c>
      <c r="D148" s="4" t="s">
        <v>37</v>
      </c>
      <c r="E148">
        <v>1</v>
      </c>
      <c r="F148" s="3">
        <v>3154.48</v>
      </c>
      <c r="G148" s="2">
        <v>0.59824561403508802</v>
      </c>
      <c r="H148" s="3">
        <v>0</v>
      </c>
      <c r="I148" s="1">
        <v>45501</v>
      </c>
      <c r="J148" s="4" t="s">
        <v>9</v>
      </c>
      <c r="K148" s="4" t="s">
        <v>8</v>
      </c>
      <c r="L148" s="3">
        <v>-243.92</v>
      </c>
      <c r="M148" s="4" t="s">
        <v>1255</v>
      </c>
      <c r="N148" s="3">
        <v>3154.48</v>
      </c>
    </row>
    <row r="149" spans="1:14" hidden="1" x14ac:dyDescent="0.35">
      <c r="A149">
        <v>1047</v>
      </c>
      <c r="B149" s="4" t="s">
        <v>181</v>
      </c>
      <c r="C149" s="4" t="s">
        <v>106</v>
      </c>
      <c r="D149" s="4" t="s">
        <v>21</v>
      </c>
      <c r="E149">
        <v>5</v>
      </c>
      <c r="F149" s="3">
        <v>2680.7885999999999</v>
      </c>
      <c r="G149" s="2">
        <v>1.1499999999999999</v>
      </c>
      <c r="H149" s="3">
        <v>0</v>
      </c>
      <c r="I149" s="1">
        <v>45843</v>
      </c>
      <c r="J149" s="4" t="s">
        <v>23</v>
      </c>
      <c r="K149" s="4" t="s">
        <v>40</v>
      </c>
      <c r="L149" s="3">
        <v>1368.68</v>
      </c>
      <c r="M149" s="4" t="s">
        <v>1255</v>
      </c>
      <c r="N149" s="3">
        <v>13403.942999999999</v>
      </c>
    </row>
    <row r="150" spans="1:14" x14ac:dyDescent="0.35">
      <c r="A150">
        <v>1047</v>
      </c>
      <c r="B150" s="4" t="s">
        <v>183</v>
      </c>
      <c r="C150" s="4" t="s">
        <v>249</v>
      </c>
      <c r="D150" s="4" t="s">
        <v>24</v>
      </c>
      <c r="E150">
        <v>0</v>
      </c>
      <c r="F150" s="3">
        <v>3218.39</v>
      </c>
      <c r="G150" s="2">
        <v>0.64819163292847504</v>
      </c>
      <c r="H150" s="3">
        <v>0</v>
      </c>
      <c r="I150" s="1">
        <v>45810</v>
      </c>
      <c r="J150" s="4" t="s">
        <v>11</v>
      </c>
      <c r="K150" s="4" t="s">
        <v>12</v>
      </c>
      <c r="L150" s="3">
        <v>-442.98</v>
      </c>
      <c r="M150" s="4" t="s">
        <v>1255</v>
      </c>
      <c r="N150" s="3">
        <v>0</v>
      </c>
    </row>
    <row r="151" spans="1:14" x14ac:dyDescent="0.35">
      <c r="A151">
        <v>1048</v>
      </c>
      <c r="B151" s="4" t="s">
        <v>121</v>
      </c>
      <c r="C151" s="4" t="s">
        <v>273</v>
      </c>
      <c r="D151" s="4" t="s">
        <v>33</v>
      </c>
      <c r="E151">
        <v>4</v>
      </c>
      <c r="F151" s="3">
        <v>1429.93</v>
      </c>
      <c r="G151" s="2">
        <v>0.65436152570480899</v>
      </c>
      <c r="H151" s="3">
        <v>0</v>
      </c>
      <c r="I151" s="1">
        <v>45610</v>
      </c>
      <c r="J151" s="4" t="s">
        <v>9</v>
      </c>
      <c r="K151" s="4" t="s">
        <v>12</v>
      </c>
      <c r="L151" s="3">
        <v>1844.84</v>
      </c>
      <c r="M151" s="4" t="s">
        <v>1255</v>
      </c>
      <c r="N151" s="3">
        <v>5719.72</v>
      </c>
    </row>
    <row r="152" spans="1:14" hidden="1" x14ac:dyDescent="0.35">
      <c r="A152">
        <v>1048</v>
      </c>
      <c r="B152" s="4" t="s">
        <v>264</v>
      </c>
      <c r="C152" s="4" t="s">
        <v>88</v>
      </c>
      <c r="D152" s="4" t="s">
        <v>38</v>
      </c>
      <c r="E152">
        <v>2</v>
      </c>
      <c r="F152" s="3">
        <v>2680.3393000000001</v>
      </c>
      <c r="G152" s="2">
        <v>0.64439606741572997</v>
      </c>
      <c r="H152" s="3">
        <v>0</v>
      </c>
      <c r="I152" s="1">
        <v>45657</v>
      </c>
      <c r="J152" s="4" t="s">
        <v>9</v>
      </c>
      <c r="K152" s="4" t="s">
        <v>40</v>
      </c>
      <c r="L152" s="3">
        <v>2393.9899999999998</v>
      </c>
      <c r="M152" s="4" t="s">
        <v>1255</v>
      </c>
      <c r="N152" s="3">
        <v>5360.6786000000002</v>
      </c>
    </row>
    <row r="153" spans="1:14" x14ac:dyDescent="0.35">
      <c r="A153">
        <v>1048</v>
      </c>
      <c r="B153" s="4" t="s">
        <v>274</v>
      </c>
      <c r="C153" s="4" t="s">
        <v>275</v>
      </c>
      <c r="D153" s="4" t="s">
        <v>33</v>
      </c>
      <c r="E153">
        <v>0</v>
      </c>
      <c r="F153" s="3">
        <v>1316.64</v>
      </c>
      <c r="G153" s="2">
        <v>0.64717488789237598</v>
      </c>
      <c r="H153" s="3">
        <v>0</v>
      </c>
      <c r="I153" s="1">
        <v>45151</v>
      </c>
      <c r="J153" s="4" t="s">
        <v>18</v>
      </c>
      <c r="K153" s="4" t="s">
        <v>8</v>
      </c>
      <c r="L153" s="3">
        <v>1390.52</v>
      </c>
      <c r="M153" s="4" t="s">
        <v>1255</v>
      </c>
      <c r="N153" s="3">
        <v>0</v>
      </c>
    </row>
    <row r="154" spans="1:14" x14ac:dyDescent="0.35">
      <c r="A154">
        <v>1048</v>
      </c>
      <c r="B154" s="4" t="s">
        <v>96</v>
      </c>
      <c r="C154" s="4" t="s">
        <v>276</v>
      </c>
      <c r="D154" s="4" t="s">
        <v>35</v>
      </c>
      <c r="E154">
        <v>0</v>
      </c>
      <c r="F154" s="3">
        <v>2298.27</v>
      </c>
      <c r="G154" s="2">
        <v>0.59</v>
      </c>
      <c r="H154" s="3">
        <v>0</v>
      </c>
      <c r="I154" s="1">
        <v>45743</v>
      </c>
      <c r="J154" s="4" t="s">
        <v>20</v>
      </c>
      <c r="K154" s="4" t="s">
        <v>12</v>
      </c>
      <c r="L154" s="3">
        <v>2994.93</v>
      </c>
      <c r="M154" s="4" t="s">
        <v>1255</v>
      </c>
      <c r="N154" s="3">
        <v>0</v>
      </c>
    </row>
    <row r="155" spans="1:14" hidden="1" x14ac:dyDescent="0.35">
      <c r="A155">
        <v>1048</v>
      </c>
      <c r="B155" s="4" t="s">
        <v>122</v>
      </c>
      <c r="C155" s="4" t="s">
        <v>277</v>
      </c>
      <c r="D155" s="4" t="s">
        <v>21</v>
      </c>
      <c r="E155">
        <v>5</v>
      </c>
      <c r="F155" s="3">
        <v>2693.1259</v>
      </c>
      <c r="G155" s="2">
        <v>0.41</v>
      </c>
      <c r="H155" s="3">
        <v>0</v>
      </c>
      <c r="I155" s="1">
        <v>45581</v>
      </c>
      <c r="J155" s="4" t="s">
        <v>7</v>
      </c>
      <c r="K155" s="4" t="s">
        <v>40</v>
      </c>
      <c r="L155" s="3">
        <v>2409.2600000000002</v>
      </c>
      <c r="M155" s="4" t="s">
        <v>1255</v>
      </c>
      <c r="N155" s="3">
        <v>13465.629499999999</v>
      </c>
    </row>
    <row r="156" spans="1:14" hidden="1" x14ac:dyDescent="0.35">
      <c r="A156">
        <v>1049</v>
      </c>
      <c r="B156" s="4" t="s">
        <v>278</v>
      </c>
      <c r="C156" s="4" t="s">
        <v>44</v>
      </c>
      <c r="D156" s="4" t="s">
        <v>34</v>
      </c>
      <c r="E156">
        <v>0</v>
      </c>
      <c r="F156" s="3">
        <v>1360.22</v>
      </c>
      <c r="G156" s="2">
        <v>0.63565573770491801</v>
      </c>
      <c r="H156" s="3">
        <v>0</v>
      </c>
      <c r="I156" s="1">
        <v>45761</v>
      </c>
      <c r="J156" s="4" t="s">
        <v>11</v>
      </c>
      <c r="K156" s="4" t="s">
        <v>40</v>
      </c>
      <c r="L156" s="3">
        <v>276.89999999999998</v>
      </c>
      <c r="M156" s="4" t="s">
        <v>1255</v>
      </c>
      <c r="N156" s="3">
        <v>0</v>
      </c>
    </row>
    <row r="157" spans="1:14" x14ac:dyDescent="0.35">
      <c r="A157">
        <v>1049</v>
      </c>
      <c r="B157" s="4" t="s">
        <v>219</v>
      </c>
      <c r="C157" s="4" t="s">
        <v>203</v>
      </c>
      <c r="D157" s="4" t="s">
        <v>28</v>
      </c>
      <c r="E157">
        <v>0</v>
      </c>
      <c r="F157" s="3">
        <v>2693.1259</v>
      </c>
      <c r="G157" s="2">
        <v>0.64632335329341295</v>
      </c>
      <c r="H157" s="3">
        <v>0</v>
      </c>
      <c r="I157" s="1">
        <v>45581</v>
      </c>
      <c r="J157" s="4" t="s">
        <v>11</v>
      </c>
      <c r="K157" s="4" t="s">
        <v>8</v>
      </c>
      <c r="L157" s="3">
        <v>19.87</v>
      </c>
      <c r="M157" s="4" t="s">
        <v>1255</v>
      </c>
      <c r="N157" s="3">
        <v>0</v>
      </c>
    </row>
    <row r="158" spans="1:14" x14ac:dyDescent="0.35">
      <c r="A158">
        <v>1050</v>
      </c>
      <c r="B158" s="4" t="s">
        <v>279</v>
      </c>
      <c r="C158" s="4" t="s">
        <v>280</v>
      </c>
      <c r="D158" s="4" t="s">
        <v>35</v>
      </c>
      <c r="E158">
        <v>4</v>
      </c>
      <c r="F158" s="3">
        <v>4439.3900000000003</v>
      </c>
      <c r="G158" s="2">
        <v>0.64919642857142901</v>
      </c>
      <c r="H158" s="3">
        <v>0</v>
      </c>
      <c r="I158" s="1">
        <v>45543</v>
      </c>
      <c r="J158" s="4" t="s">
        <v>9</v>
      </c>
      <c r="K158" s="4" t="s">
        <v>8</v>
      </c>
      <c r="L158" s="3">
        <v>2062.85</v>
      </c>
      <c r="M158" s="4" t="s">
        <v>1255</v>
      </c>
      <c r="N158" s="3">
        <v>17757.560000000001</v>
      </c>
    </row>
    <row r="159" spans="1:14" x14ac:dyDescent="0.35">
      <c r="A159">
        <v>1050</v>
      </c>
      <c r="B159" s="4" t="s">
        <v>136</v>
      </c>
      <c r="C159" s="4" t="s">
        <v>207</v>
      </c>
      <c r="D159" s="4" t="s">
        <v>22</v>
      </c>
      <c r="E159">
        <v>4</v>
      </c>
      <c r="F159" s="3">
        <v>1205.98</v>
      </c>
      <c r="G159" s="2">
        <v>0.60648648648648695</v>
      </c>
      <c r="H159" s="3">
        <v>0</v>
      </c>
      <c r="I159" s="1">
        <v>45624</v>
      </c>
      <c r="J159" s="4" t="s">
        <v>7</v>
      </c>
      <c r="K159" s="4" t="s">
        <v>8</v>
      </c>
      <c r="L159" s="3">
        <v>-794.73</v>
      </c>
      <c r="M159" s="4" t="s">
        <v>1255</v>
      </c>
      <c r="N159" s="3">
        <v>4823.92</v>
      </c>
    </row>
    <row r="160" spans="1:14" x14ac:dyDescent="0.35">
      <c r="A160">
        <v>1050</v>
      </c>
      <c r="B160" s="4" t="s">
        <v>228</v>
      </c>
      <c r="C160" s="4" t="s">
        <v>281</v>
      </c>
      <c r="D160" s="4" t="s">
        <v>6</v>
      </c>
      <c r="E160">
        <v>-1</v>
      </c>
      <c r="F160" s="3">
        <v>1083.1600000000001</v>
      </c>
      <c r="G160" s="2">
        <v>0.64632335329341295</v>
      </c>
      <c r="H160" s="3">
        <v>0</v>
      </c>
      <c r="I160" s="1">
        <v>45846</v>
      </c>
      <c r="J160" s="4" t="s">
        <v>20</v>
      </c>
      <c r="K160" s="4" t="s">
        <v>8</v>
      </c>
      <c r="L160" s="3">
        <v>2904.29</v>
      </c>
      <c r="M160" s="4" t="s">
        <v>1255</v>
      </c>
      <c r="N160" s="3">
        <v>-1083.1600000000001</v>
      </c>
    </row>
    <row r="161" spans="1:14" x14ac:dyDescent="0.35">
      <c r="A161">
        <v>1050</v>
      </c>
      <c r="B161" s="4" t="s">
        <v>282</v>
      </c>
      <c r="C161" s="4" t="s">
        <v>283</v>
      </c>
      <c r="D161" s="4" t="s">
        <v>16</v>
      </c>
      <c r="E161">
        <v>1</v>
      </c>
      <c r="F161" s="3">
        <v>2103.54</v>
      </c>
      <c r="G161" s="2">
        <v>0.64826865671641798</v>
      </c>
      <c r="H161" s="3">
        <v>0</v>
      </c>
      <c r="I161" s="1">
        <v>45662</v>
      </c>
      <c r="J161" s="4" t="s">
        <v>23</v>
      </c>
      <c r="K161" s="4" t="s">
        <v>8</v>
      </c>
      <c r="L161" s="3">
        <v>2871.06</v>
      </c>
      <c r="M161" s="4" t="s">
        <v>1255</v>
      </c>
      <c r="N161" s="3">
        <v>2103.54</v>
      </c>
    </row>
    <row r="162" spans="1:14" x14ac:dyDescent="0.35">
      <c r="A162">
        <v>1051</v>
      </c>
      <c r="B162" s="4" t="s">
        <v>212</v>
      </c>
      <c r="C162" s="4" t="s">
        <v>95</v>
      </c>
      <c r="D162" s="4" t="s">
        <v>16</v>
      </c>
      <c r="E162">
        <v>0</v>
      </c>
      <c r="F162" s="3">
        <v>2693.1259</v>
      </c>
      <c r="G162" s="2">
        <v>0.56999999999999995</v>
      </c>
      <c r="H162" s="3">
        <v>0</v>
      </c>
      <c r="I162" s="1">
        <v>45773</v>
      </c>
      <c r="J162" s="4" t="s">
        <v>7</v>
      </c>
      <c r="K162" s="4" t="s">
        <v>8</v>
      </c>
      <c r="L162" s="3">
        <v>2857.9</v>
      </c>
      <c r="M162" s="4" t="s">
        <v>1255</v>
      </c>
      <c r="N162" s="3">
        <v>0</v>
      </c>
    </row>
    <row r="163" spans="1:14" hidden="1" x14ac:dyDescent="0.35">
      <c r="A163">
        <v>1052</v>
      </c>
      <c r="B163" s="4" t="s">
        <v>284</v>
      </c>
      <c r="C163" s="4" t="s">
        <v>285</v>
      </c>
      <c r="D163" s="4" t="s">
        <v>32</v>
      </c>
      <c r="E163">
        <v>0</v>
      </c>
      <c r="F163" s="3">
        <v>3252.49</v>
      </c>
      <c r="G163" s="2">
        <v>0.56000000000000005</v>
      </c>
      <c r="H163" s="3">
        <v>0</v>
      </c>
      <c r="I163" s="1">
        <v>45268</v>
      </c>
      <c r="J163" s="4" t="s">
        <v>18</v>
      </c>
      <c r="K163" s="4" t="s">
        <v>40</v>
      </c>
      <c r="L163" s="3">
        <v>-11.15</v>
      </c>
      <c r="M163" s="4" t="s">
        <v>1255</v>
      </c>
      <c r="N163" s="3">
        <v>0</v>
      </c>
    </row>
    <row r="164" spans="1:14" hidden="1" x14ac:dyDescent="0.35">
      <c r="A164">
        <v>1053</v>
      </c>
      <c r="B164" s="4" t="s">
        <v>286</v>
      </c>
      <c r="C164" s="4" t="s">
        <v>287</v>
      </c>
      <c r="D164" s="4" t="s">
        <v>24</v>
      </c>
      <c r="E164">
        <v>0</v>
      </c>
      <c r="F164" s="3">
        <v>714.23</v>
      </c>
      <c r="G164" s="2">
        <v>1.29</v>
      </c>
      <c r="H164" s="3">
        <v>0</v>
      </c>
      <c r="I164" s="1">
        <v>45859</v>
      </c>
      <c r="J164" s="4" t="s">
        <v>7</v>
      </c>
      <c r="K164" s="4" t="s">
        <v>40</v>
      </c>
      <c r="L164" s="3">
        <v>1057.24</v>
      </c>
      <c r="M164" s="4" t="s">
        <v>1255</v>
      </c>
      <c r="N164" s="3">
        <v>0</v>
      </c>
    </row>
    <row r="165" spans="1:14" hidden="1" x14ac:dyDescent="0.35">
      <c r="A165">
        <v>1054</v>
      </c>
      <c r="B165" s="4" t="s">
        <v>274</v>
      </c>
      <c r="C165" s="4" t="s">
        <v>102</v>
      </c>
      <c r="D165" s="4" t="s">
        <v>26</v>
      </c>
      <c r="E165">
        <v>0</v>
      </c>
      <c r="F165" s="3">
        <v>2693.9544000000001</v>
      </c>
      <c r="G165" s="2">
        <v>0.64574519230769201</v>
      </c>
      <c r="H165" s="3">
        <v>0</v>
      </c>
      <c r="I165" s="1">
        <v>45700</v>
      </c>
      <c r="J165" s="4" t="s">
        <v>20</v>
      </c>
      <c r="K165" s="4" t="s">
        <v>40</v>
      </c>
      <c r="L165" s="3">
        <v>1002.96</v>
      </c>
      <c r="M165" s="4" t="s">
        <v>1255</v>
      </c>
      <c r="N165" s="3">
        <v>0</v>
      </c>
    </row>
    <row r="166" spans="1:14" x14ac:dyDescent="0.35">
      <c r="A166">
        <v>1055</v>
      </c>
      <c r="B166" s="4" t="s">
        <v>288</v>
      </c>
      <c r="C166" s="4" t="s">
        <v>289</v>
      </c>
      <c r="D166" s="4" t="s">
        <v>16</v>
      </c>
      <c r="E166">
        <v>0</v>
      </c>
      <c r="F166" s="3">
        <v>2695.5169999999998</v>
      </c>
      <c r="G166" s="2">
        <v>0.64574519230769201</v>
      </c>
      <c r="H166" s="3">
        <v>0</v>
      </c>
      <c r="I166" s="1">
        <v>45353</v>
      </c>
      <c r="J166" s="4" t="s">
        <v>20</v>
      </c>
      <c r="K166" s="4" t="s">
        <v>12</v>
      </c>
      <c r="L166" s="3">
        <v>1374.9</v>
      </c>
      <c r="M166" s="4" t="s">
        <v>1255</v>
      </c>
      <c r="N166" s="3">
        <v>0</v>
      </c>
    </row>
    <row r="167" spans="1:14" x14ac:dyDescent="0.35">
      <c r="A167">
        <v>1056</v>
      </c>
      <c r="B167" s="4" t="s">
        <v>262</v>
      </c>
      <c r="C167" s="4" t="s">
        <v>290</v>
      </c>
      <c r="D167" s="4" t="s">
        <v>19</v>
      </c>
      <c r="E167">
        <v>6</v>
      </c>
      <c r="F167" s="3">
        <v>2695.5169999999998</v>
      </c>
      <c r="G167" s="2">
        <v>0.64574519230769201</v>
      </c>
      <c r="H167" s="3">
        <v>0</v>
      </c>
      <c r="I167" s="1">
        <v>45849</v>
      </c>
      <c r="J167" s="4" t="s">
        <v>11</v>
      </c>
      <c r="K167" s="4" t="s">
        <v>8</v>
      </c>
      <c r="L167" s="3">
        <v>-343.36</v>
      </c>
      <c r="M167" s="4" t="s">
        <v>1255</v>
      </c>
      <c r="N167" s="3">
        <v>16173.102000000001</v>
      </c>
    </row>
    <row r="168" spans="1:14" hidden="1" x14ac:dyDescent="0.35">
      <c r="A168">
        <v>1057</v>
      </c>
      <c r="B168" s="4" t="s">
        <v>291</v>
      </c>
      <c r="C168" s="4" t="s">
        <v>163</v>
      </c>
      <c r="D168" s="4" t="s">
        <v>10</v>
      </c>
      <c r="E168">
        <v>4</v>
      </c>
      <c r="F168" s="3">
        <v>2695.5169999999998</v>
      </c>
      <c r="G168" s="2">
        <v>0.04</v>
      </c>
      <c r="H168" s="3">
        <v>0</v>
      </c>
      <c r="I168" s="1">
        <v>45649</v>
      </c>
      <c r="J168" s="4" t="s">
        <v>20</v>
      </c>
      <c r="K168" s="4" t="s">
        <v>40</v>
      </c>
      <c r="L168" s="3">
        <v>1725.76</v>
      </c>
      <c r="M168" s="4" t="s">
        <v>1255</v>
      </c>
      <c r="N168" s="3">
        <v>10782.067999999999</v>
      </c>
    </row>
    <row r="169" spans="1:14" x14ac:dyDescent="0.35">
      <c r="A169">
        <v>1058</v>
      </c>
      <c r="B169" s="4" t="s">
        <v>292</v>
      </c>
      <c r="C169" s="4" t="s">
        <v>293</v>
      </c>
      <c r="D169" s="4" t="s">
        <v>37</v>
      </c>
      <c r="E169">
        <v>0</v>
      </c>
      <c r="F169" s="3">
        <v>3982.53</v>
      </c>
      <c r="G169" s="2">
        <v>1.08</v>
      </c>
      <c r="H169" s="3">
        <v>0</v>
      </c>
      <c r="I169" s="1">
        <v>45518</v>
      </c>
      <c r="J169" s="4" t="s">
        <v>20</v>
      </c>
      <c r="K169" s="4" t="s">
        <v>8</v>
      </c>
      <c r="L169" s="3">
        <v>1912.49</v>
      </c>
      <c r="M169" s="4" t="s">
        <v>1255</v>
      </c>
      <c r="N169" s="3">
        <v>0</v>
      </c>
    </row>
    <row r="170" spans="1:14" hidden="1" x14ac:dyDescent="0.35">
      <c r="A170">
        <v>1059</v>
      </c>
      <c r="B170" s="4" t="s">
        <v>93</v>
      </c>
      <c r="C170" s="4" t="s">
        <v>285</v>
      </c>
      <c r="D170" s="4" t="s">
        <v>16</v>
      </c>
      <c r="E170">
        <v>0</v>
      </c>
      <c r="F170" s="3">
        <v>2927.57</v>
      </c>
      <c r="G170" s="2">
        <v>0.19</v>
      </c>
      <c r="H170" s="3">
        <v>0</v>
      </c>
      <c r="I170" s="1">
        <v>45518</v>
      </c>
      <c r="J170" s="4" t="s">
        <v>7</v>
      </c>
      <c r="K170" s="4" t="s">
        <v>40</v>
      </c>
      <c r="L170" s="3">
        <v>2218.42</v>
      </c>
      <c r="M170" s="4" t="s">
        <v>1255</v>
      </c>
      <c r="N170" s="3">
        <v>0</v>
      </c>
    </row>
    <row r="171" spans="1:14" hidden="1" x14ac:dyDescent="0.35">
      <c r="A171">
        <v>1060</v>
      </c>
      <c r="B171" s="4" t="s">
        <v>294</v>
      </c>
      <c r="C171" s="4" t="s">
        <v>295</v>
      </c>
      <c r="D171" s="4" t="s">
        <v>32</v>
      </c>
      <c r="E171">
        <v>0</v>
      </c>
      <c r="F171" s="3">
        <v>2813.51</v>
      </c>
      <c r="G171" s="2">
        <v>0.64650180940892599</v>
      </c>
      <c r="H171" s="3">
        <v>0</v>
      </c>
      <c r="I171" s="1">
        <v>45852</v>
      </c>
      <c r="J171" s="4" t="s">
        <v>20</v>
      </c>
      <c r="K171" s="4" t="s">
        <v>40</v>
      </c>
      <c r="L171" s="3">
        <v>94.96</v>
      </c>
      <c r="M171" s="4" t="s">
        <v>1255</v>
      </c>
      <c r="N171" s="3">
        <v>0</v>
      </c>
    </row>
    <row r="172" spans="1:14" x14ac:dyDescent="0.35">
      <c r="A172">
        <v>1061</v>
      </c>
      <c r="B172" s="4" t="s">
        <v>296</v>
      </c>
      <c r="C172" s="4" t="s">
        <v>297</v>
      </c>
      <c r="D172" s="4" t="s">
        <v>14</v>
      </c>
      <c r="E172">
        <v>0</v>
      </c>
      <c r="F172" s="3">
        <v>2291.15</v>
      </c>
      <c r="G172" s="2">
        <v>0.33</v>
      </c>
      <c r="H172" s="3">
        <v>0</v>
      </c>
      <c r="I172" s="1">
        <v>45601</v>
      </c>
      <c r="J172" s="4" t="s">
        <v>11</v>
      </c>
      <c r="K172" s="4" t="s">
        <v>12</v>
      </c>
      <c r="L172" s="3">
        <v>2536.3000000000002</v>
      </c>
      <c r="M172" s="4" t="s">
        <v>1255</v>
      </c>
      <c r="N172" s="3">
        <v>0</v>
      </c>
    </row>
    <row r="173" spans="1:14" x14ac:dyDescent="0.35">
      <c r="A173">
        <v>1062</v>
      </c>
      <c r="B173" s="4" t="s">
        <v>298</v>
      </c>
      <c r="C173" s="4" t="s">
        <v>55</v>
      </c>
      <c r="D173" s="4" t="s">
        <v>32</v>
      </c>
      <c r="E173">
        <v>-1</v>
      </c>
      <c r="F173" s="3">
        <v>2694.2217999999998</v>
      </c>
      <c r="G173" s="2">
        <v>0.646884057971014</v>
      </c>
      <c r="H173" s="3">
        <v>0</v>
      </c>
      <c r="I173" s="1">
        <v>45601</v>
      </c>
      <c r="J173" s="4" t="s">
        <v>20</v>
      </c>
      <c r="K173" s="4" t="s">
        <v>8</v>
      </c>
      <c r="L173" s="3">
        <v>328.72</v>
      </c>
      <c r="M173" s="4" t="s">
        <v>1255</v>
      </c>
      <c r="N173" s="3">
        <v>-2694.2217999999998</v>
      </c>
    </row>
    <row r="174" spans="1:14" x14ac:dyDescent="0.35">
      <c r="A174">
        <v>1063</v>
      </c>
      <c r="B174" s="4" t="s">
        <v>299</v>
      </c>
      <c r="C174" s="4" t="s">
        <v>68</v>
      </c>
      <c r="D174" s="4" t="s">
        <v>28</v>
      </c>
      <c r="E174">
        <v>1</v>
      </c>
      <c r="F174" s="3">
        <v>2694.5410000000002</v>
      </c>
      <c r="G174" s="2">
        <v>0.646884057971014</v>
      </c>
      <c r="H174" s="3">
        <v>0</v>
      </c>
      <c r="I174" s="1">
        <v>45836</v>
      </c>
      <c r="J174" s="4" t="s">
        <v>18</v>
      </c>
      <c r="K174" s="4" t="s">
        <v>8</v>
      </c>
      <c r="L174" s="3">
        <v>2147.75</v>
      </c>
      <c r="M174" s="4" t="s">
        <v>1255</v>
      </c>
      <c r="N174" s="3">
        <v>2694.5410000000002</v>
      </c>
    </row>
    <row r="175" spans="1:14" hidden="1" x14ac:dyDescent="0.35">
      <c r="A175">
        <v>1064</v>
      </c>
      <c r="B175" s="4" t="s">
        <v>54</v>
      </c>
      <c r="C175" s="4" t="s">
        <v>300</v>
      </c>
      <c r="D175" s="4" t="s">
        <v>30</v>
      </c>
      <c r="E175">
        <v>0</v>
      </c>
      <c r="F175" s="3">
        <v>2694.5410000000002</v>
      </c>
      <c r="G175" s="2">
        <v>1.3</v>
      </c>
      <c r="H175" s="3">
        <v>0</v>
      </c>
      <c r="I175" s="1">
        <v>45836</v>
      </c>
      <c r="J175" s="4" t="s">
        <v>18</v>
      </c>
      <c r="K175" s="4" t="s">
        <v>40</v>
      </c>
      <c r="L175" s="3">
        <v>-901.74</v>
      </c>
      <c r="M175" s="4" t="s">
        <v>1255</v>
      </c>
      <c r="N175" s="3">
        <v>0</v>
      </c>
    </row>
    <row r="176" spans="1:14" hidden="1" x14ac:dyDescent="0.35">
      <c r="A176">
        <v>1065</v>
      </c>
      <c r="B176" s="4" t="s">
        <v>125</v>
      </c>
      <c r="C176" s="4" t="s">
        <v>301</v>
      </c>
      <c r="D176" s="4" t="s">
        <v>16</v>
      </c>
      <c r="E176">
        <v>5</v>
      </c>
      <c r="F176" s="3">
        <v>2694.5410000000002</v>
      </c>
      <c r="G176" s="2">
        <v>0.64609431680773899</v>
      </c>
      <c r="H176" s="3">
        <v>0</v>
      </c>
      <c r="I176" s="1">
        <v>45440</v>
      </c>
      <c r="J176" s="4" t="s">
        <v>18</v>
      </c>
      <c r="K176" s="4" t="s">
        <v>40</v>
      </c>
      <c r="L176" s="3">
        <v>2316.9699999999998</v>
      </c>
      <c r="M176" s="4" t="s">
        <v>1255</v>
      </c>
      <c r="N176" s="3">
        <v>13472.705</v>
      </c>
    </row>
    <row r="177" spans="1:14" hidden="1" x14ac:dyDescent="0.35">
      <c r="A177">
        <v>1066</v>
      </c>
      <c r="B177" s="4" t="s">
        <v>134</v>
      </c>
      <c r="C177" s="4" t="s">
        <v>302</v>
      </c>
      <c r="D177" s="4" t="s">
        <v>38</v>
      </c>
      <c r="E177">
        <v>-2</v>
      </c>
      <c r="F177" s="3">
        <v>3479.44</v>
      </c>
      <c r="G177" s="2">
        <v>0.64609431680773899</v>
      </c>
      <c r="H177" s="3">
        <v>0</v>
      </c>
      <c r="I177" s="1">
        <v>45672</v>
      </c>
      <c r="J177" s="4" t="s">
        <v>7</v>
      </c>
      <c r="K177" s="4" t="s">
        <v>40</v>
      </c>
      <c r="L177" s="3">
        <v>-252.78</v>
      </c>
      <c r="M177" s="4" t="s">
        <v>1255</v>
      </c>
      <c r="N177" s="3">
        <v>-6958.88</v>
      </c>
    </row>
    <row r="178" spans="1:14" x14ac:dyDescent="0.35">
      <c r="A178">
        <v>1067</v>
      </c>
      <c r="B178" s="4" t="s">
        <v>143</v>
      </c>
      <c r="C178" s="4" t="s">
        <v>303</v>
      </c>
      <c r="D178" s="4" t="s">
        <v>17</v>
      </c>
      <c r="E178">
        <v>0</v>
      </c>
      <c r="F178" s="3">
        <v>3945.25</v>
      </c>
      <c r="G178" s="2">
        <v>0.64609431680773899</v>
      </c>
      <c r="H178" s="3">
        <v>0</v>
      </c>
      <c r="I178" s="1">
        <v>45838</v>
      </c>
      <c r="J178" s="4" t="s">
        <v>18</v>
      </c>
      <c r="K178" s="4" t="s">
        <v>12</v>
      </c>
      <c r="L178" s="3">
        <v>305.55</v>
      </c>
      <c r="M178" s="4" t="s">
        <v>1255</v>
      </c>
      <c r="N178" s="3">
        <v>0</v>
      </c>
    </row>
    <row r="179" spans="1:14" x14ac:dyDescent="0.35">
      <c r="A179">
        <v>1068</v>
      </c>
      <c r="B179" s="4" t="s">
        <v>304</v>
      </c>
      <c r="C179" s="4" t="s">
        <v>305</v>
      </c>
      <c r="D179" s="4" t="s">
        <v>25</v>
      </c>
      <c r="E179">
        <v>4</v>
      </c>
      <c r="F179" s="3">
        <v>2765.26</v>
      </c>
      <c r="G179" s="2">
        <v>0.64609431680773899</v>
      </c>
      <c r="H179" s="3">
        <v>0</v>
      </c>
      <c r="I179" s="1">
        <v>45838</v>
      </c>
      <c r="J179" s="4" t="s">
        <v>9</v>
      </c>
      <c r="K179" s="4" t="s">
        <v>8</v>
      </c>
      <c r="L179" s="3">
        <v>1719.9</v>
      </c>
      <c r="M179" s="4" t="s">
        <v>1255</v>
      </c>
      <c r="N179" s="3">
        <v>11061.04</v>
      </c>
    </row>
    <row r="180" spans="1:14" x14ac:dyDescent="0.35">
      <c r="A180">
        <v>1069</v>
      </c>
      <c r="B180" s="4" t="s">
        <v>306</v>
      </c>
      <c r="C180" s="4" t="s">
        <v>307</v>
      </c>
      <c r="D180" s="4" t="s">
        <v>33</v>
      </c>
      <c r="E180">
        <v>2</v>
      </c>
      <c r="F180" s="3">
        <v>2102.02</v>
      </c>
      <c r="G180" s="2">
        <v>1.1299999999999999</v>
      </c>
      <c r="H180" s="3">
        <v>-546.53</v>
      </c>
      <c r="I180" s="1">
        <v>45362</v>
      </c>
      <c r="J180" s="4" t="s">
        <v>7</v>
      </c>
      <c r="K180" s="4" t="s">
        <v>12</v>
      </c>
      <c r="L180" s="3">
        <v>-992.61</v>
      </c>
      <c r="M180" s="4" t="s">
        <v>1255</v>
      </c>
      <c r="N180" s="3">
        <v>4204.04</v>
      </c>
    </row>
    <row r="181" spans="1:14" x14ac:dyDescent="0.35">
      <c r="A181">
        <v>1070</v>
      </c>
      <c r="B181" s="4" t="s">
        <v>219</v>
      </c>
      <c r="C181" s="4" t="s">
        <v>68</v>
      </c>
      <c r="D181" s="4" t="s">
        <v>34</v>
      </c>
      <c r="E181">
        <v>5</v>
      </c>
      <c r="F181" s="3">
        <v>2692.8692999999998</v>
      </c>
      <c r="G181" s="2">
        <v>0.64550847457627103</v>
      </c>
      <c r="H181" s="3">
        <v>0</v>
      </c>
      <c r="I181" s="1">
        <v>45753</v>
      </c>
      <c r="J181" s="4" t="s">
        <v>23</v>
      </c>
      <c r="K181" s="4" t="s">
        <v>12</v>
      </c>
      <c r="L181" s="3">
        <v>1383.48</v>
      </c>
      <c r="M181" s="4" t="s">
        <v>1255</v>
      </c>
      <c r="N181" s="3">
        <v>13464.3465</v>
      </c>
    </row>
    <row r="182" spans="1:14" x14ac:dyDescent="0.35">
      <c r="A182">
        <v>1071</v>
      </c>
      <c r="B182" s="4" t="s">
        <v>193</v>
      </c>
      <c r="C182" s="4" t="s">
        <v>236</v>
      </c>
      <c r="D182" s="4" t="s">
        <v>19</v>
      </c>
      <c r="E182">
        <v>0</v>
      </c>
      <c r="F182" s="3">
        <v>1000.76</v>
      </c>
      <c r="G182" s="2">
        <v>0.64550847457627103</v>
      </c>
      <c r="H182" s="3">
        <v>0</v>
      </c>
      <c r="I182" s="1">
        <v>45753</v>
      </c>
      <c r="J182" s="4" t="s">
        <v>7</v>
      </c>
      <c r="K182" s="4" t="s">
        <v>12</v>
      </c>
      <c r="L182" s="3">
        <v>2131.4299999999998</v>
      </c>
      <c r="M182" s="4" t="s">
        <v>1255</v>
      </c>
      <c r="N182" s="3">
        <v>0</v>
      </c>
    </row>
    <row r="183" spans="1:14" x14ac:dyDescent="0.35">
      <c r="A183">
        <v>1072</v>
      </c>
      <c r="B183" s="4" t="s">
        <v>212</v>
      </c>
      <c r="C183" s="4" t="s">
        <v>308</v>
      </c>
      <c r="D183" s="4" t="s">
        <v>24</v>
      </c>
      <c r="E183">
        <v>0</v>
      </c>
      <c r="F183" s="3">
        <v>2693.3386</v>
      </c>
      <c r="G183" s="2">
        <v>0.64550847457627103</v>
      </c>
      <c r="H183" s="3">
        <v>0</v>
      </c>
      <c r="I183" s="1">
        <v>45753</v>
      </c>
      <c r="J183" s="4" t="s">
        <v>18</v>
      </c>
      <c r="K183" s="4" t="s">
        <v>8</v>
      </c>
      <c r="L183" s="3">
        <v>2878.09</v>
      </c>
      <c r="M183" s="4" t="s">
        <v>1255</v>
      </c>
      <c r="N183" s="3">
        <v>0</v>
      </c>
    </row>
    <row r="184" spans="1:14" hidden="1" x14ac:dyDescent="0.35">
      <c r="A184">
        <v>1073</v>
      </c>
      <c r="B184" s="4" t="s">
        <v>121</v>
      </c>
      <c r="C184" s="4" t="s">
        <v>309</v>
      </c>
      <c r="D184" s="4" t="s">
        <v>21</v>
      </c>
      <c r="E184">
        <v>-2</v>
      </c>
      <c r="F184" s="3">
        <v>2694.6840000000002</v>
      </c>
      <c r="G184" s="2">
        <v>0.18</v>
      </c>
      <c r="H184" s="3">
        <v>0</v>
      </c>
      <c r="I184" s="1">
        <v>45753</v>
      </c>
      <c r="J184" s="4" t="s">
        <v>20</v>
      </c>
      <c r="K184" s="4" t="s">
        <v>40</v>
      </c>
      <c r="L184" s="3">
        <v>368.69</v>
      </c>
      <c r="M184" s="4" t="s">
        <v>1255</v>
      </c>
      <c r="N184" s="3">
        <v>-5389.3680000000004</v>
      </c>
    </row>
    <row r="185" spans="1:14" hidden="1" x14ac:dyDescent="0.35">
      <c r="A185">
        <v>1074</v>
      </c>
      <c r="B185" s="4" t="s">
        <v>310</v>
      </c>
      <c r="C185" s="4" t="s">
        <v>138</v>
      </c>
      <c r="D185" s="4" t="s">
        <v>17</v>
      </c>
      <c r="E185">
        <v>-2</v>
      </c>
      <c r="F185" s="3">
        <v>2694.6840000000002</v>
      </c>
      <c r="G185" s="2">
        <v>1.06</v>
      </c>
      <c r="H185" s="3">
        <v>0</v>
      </c>
      <c r="I185" s="1">
        <v>45682</v>
      </c>
      <c r="J185" s="4" t="s">
        <v>23</v>
      </c>
      <c r="K185" s="4" t="s">
        <v>40</v>
      </c>
      <c r="L185" s="3">
        <v>192.91</v>
      </c>
      <c r="M185" s="4" t="s">
        <v>1255</v>
      </c>
      <c r="N185" s="3">
        <v>-5389.3680000000004</v>
      </c>
    </row>
    <row r="186" spans="1:14" x14ac:dyDescent="0.35">
      <c r="A186">
        <v>1075</v>
      </c>
      <c r="B186" s="4" t="s">
        <v>262</v>
      </c>
      <c r="C186" s="4" t="s">
        <v>311</v>
      </c>
      <c r="D186" s="4" t="s">
        <v>15</v>
      </c>
      <c r="E186">
        <v>0</v>
      </c>
      <c r="F186" s="3">
        <v>795.85</v>
      </c>
      <c r="G186" s="2">
        <v>0.64557038834951397</v>
      </c>
      <c r="H186" s="3">
        <v>0</v>
      </c>
      <c r="I186" s="1">
        <v>45682</v>
      </c>
      <c r="J186" s="4" t="s">
        <v>20</v>
      </c>
      <c r="K186" s="4" t="s">
        <v>12</v>
      </c>
      <c r="L186" s="3">
        <v>2418.8000000000002</v>
      </c>
      <c r="M186" s="4" t="s">
        <v>1255</v>
      </c>
      <c r="N186" s="3">
        <v>0</v>
      </c>
    </row>
    <row r="187" spans="1:14" hidden="1" x14ac:dyDescent="0.35">
      <c r="A187">
        <v>1076</v>
      </c>
      <c r="B187" s="4" t="s">
        <v>312</v>
      </c>
      <c r="C187" s="4" t="s">
        <v>157</v>
      </c>
      <c r="D187" s="4" t="s">
        <v>37</v>
      </c>
      <c r="E187">
        <v>2</v>
      </c>
      <c r="F187" s="3">
        <v>2694.6840000000002</v>
      </c>
      <c r="G187" s="2">
        <v>0.64557038834951397</v>
      </c>
      <c r="H187" s="3">
        <v>0</v>
      </c>
      <c r="I187" s="1">
        <v>45664</v>
      </c>
      <c r="J187" s="4" t="s">
        <v>18</v>
      </c>
      <c r="K187" s="4" t="s">
        <v>40</v>
      </c>
      <c r="L187" s="3">
        <v>1408.61</v>
      </c>
      <c r="M187" s="4" t="s">
        <v>1255</v>
      </c>
      <c r="N187" s="3">
        <v>5389.3680000000004</v>
      </c>
    </row>
    <row r="188" spans="1:14" x14ac:dyDescent="0.35">
      <c r="A188">
        <v>1077</v>
      </c>
      <c r="B188" s="4" t="s">
        <v>313</v>
      </c>
      <c r="C188" s="4" t="s">
        <v>314</v>
      </c>
      <c r="D188" s="4" t="s">
        <v>37</v>
      </c>
      <c r="E188">
        <v>2</v>
      </c>
      <c r="F188" s="3">
        <v>2696.1945999999998</v>
      </c>
      <c r="G188" s="2">
        <v>0.64557038834951397</v>
      </c>
      <c r="H188" s="3">
        <v>0</v>
      </c>
      <c r="I188" s="1">
        <v>45555</v>
      </c>
      <c r="J188" s="4" t="s">
        <v>23</v>
      </c>
      <c r="K188" s="4" t="s">
        <v>12</v>
      </c>
      <c r="L188" s="3">
        <v>902.52</v>
      </c>
      <c r="M188" s="4" t="s">
        <v>1255</v>
      </c>
      <c r="N188" s="3">
        <v>5392.3891999999996</v>
      </c>
    </row>
    <row r="189" spans="1:14" x14ac:dyDescent="0.35">
      <c r="A189">
        <v>1078</v>
      </c>
      <c r="B189" s="4" t="s">
        <v>315</v>
      </c>
      <c r="C189" s="4" t="s">
        <v>73</v>
      </c>
      <c r="D189" s="4" t="s">
        <v>34</v>
      </c>
      <c r="E189">
        <v>0</v>
      </c>
      <c r="F189" s="3">
        <v>4059.56</v>
      </c>
      <c r="G189" s="2">
        <v>0.64557038834951397</v>
      </c>
      <c r="H189" s="3">
        <v>0</v>
      </c>
      <c r="I189" s="1">
        <v>45701</v>
      </c>
      <c r="J189" s="4" t="s">
        <v>20</v>
      </c>
      <c r="K189" s="4" t="s">
        <v>8</v>
      </c>
      <c r="L189" s="3">
        <v>-819.94</v>
      </c>
      <c r="M189" s="4" t="s">
        <v>1255</v>
      </c>
      <c r="N189" s="3">
        <v>0</v>
      </c>
    </row>
    <row r="190" spans="1:14" x14ac:dyDescent="0.35">
      <c r="A190">
        <v>1079</v>
      </c>
      <c r="B190" s="4" t="s">
        <v>75</v>
      </c>
      <c r="C190" s="4" t="s">
        <v>316</v>
      </c>
      <c r="D190" s="4" t="s">
        <v>26</v>
      </c>
      <c r="E190">
        <v>0</v>
      </c>
      <c r="F190" s="3">
        <v>2696.1945999999998</v>
      </c>
      <c r="G190" s="2">
        <v>0.64557038834951397</v>
      </c>
      <c r="H190" s="3">
        <v>0</v>
      </c>
      <c r="I190" s="1">
        <v>45701</v>
      </c>
      <c r="J190" s="4" t="s">
        <v>23</v>
      </c>
      <c r="K190" s="4" t="s">
        <v>12</v>
      </c>
      <c r="L190" s="3">
        <v>-22.55</v>
      </c>
      <c r="M190" s="4" t="s">
        <v>1255</v>
      </c>
      <c r="N190" s="3">
        <v>0</v>
      </c>
    </row>
    <row r="191" spans="1:14" x14ac:dyDescent="0.35">
      <c r="A191">
        <v>1080</v>
      </c>
      <c r="B191" s="4" t="s">
        <v>81</v>
      </c>
      <c r="C191" s="4" t="s">
        <v>44</v>
      </c>
      <c r="D191" s="4" t="s">
        <v>15</v>
      </c>
      <c r="E191">
        <v>0</v>
      </c>
      <c r="F191" s="3">
        <v>3872.22</v>
      </c>
      <c r="G191" s="2">
        <v>1.1499999999999999</v>
      </c>
      <c r="H191" s="3">
        <v>0</v>
      </c>
      <c r="I191" s="1">
        <v>45701</v>
      </c>
      <c r="J191" s="4" t="s">
        <v>11</v>
      </c>
      <c r="K191" s="4" t="s">
        <v>8</v>
      </c>
      <c r="L191" s="3">
        <v>-302.97000000000003</v>
      </c>
      <c r="M191" s="4" t="s">
        <v>1255</v>
      </c>
      <c r="N191" s="3">
        <v>0</v>
      </c>
    </row>
    <row r="192" spans="1:14" x14ac:dyDescent="0.35">
      <c r="A192">
        <v>1081</v>
      </c>
      <c r="B192" s="4" t="s">
        <v>317</v>
      </c>
      <c r="C192" s="4" t="s">
        <v>305</v>
      </c>
      <c r="D192" s="4" t="s">
        <v>16</v>
      </c>
      <c r="E192">
        <v>6</v>
      </c>
      <c r="F192" s="3">
        <v>4798.0600000000004</v>
      </c>
      <c r="G192" s="2">
        <v>0.81</v>
      </c>
      <c r="H192" s="3">
        <v>5469.79</v>
      </c>
      <c r="I192" s="1">
        <v>45701</v>
      </c>
      <c r="J192" s="4" t="s">
        <v>23</v>
      </c>
      <c r="K192" s="4" t="s">
        <v>12</v>
      </c>
      <c r="L192" s="3">
        <v>-361.78</v>
      </c>
      <c r="M192" s="4" t="s">
        <v>1256</v>
      </c>
      <c r="N192" s="3">
        <v>28788.36</v>
      </c>
    </row>
    <row r="193" spans="1:14" x14ac:dyDescent="0.35">
      <c r="A193">
        <v>1082</v>
      </c>
      <c r="B193" s="4" t="s">
        <v>110</v>
      </c>
      <c r="C193" s="4" t="s">
        <v>236</v>
      </c>
      <c r="D193" s="4" t="s">
        <v>31</v>
      </c>
      <c r="E193">
        <v>0</v>
      </c>
      <c r="F193" s="3">
        <v>2694.1712000000002</v>
      </c>
      <c r="G193" s="2">
        <v>0.64475669099756705</v>
      </c>
      <c r="H193" s="3">
        <v>0</v>
      </c>
      <c r="I193" s="1">
        <v>45701</v>
      </c>
      <c r="J193" s="4" t="s">
        <v>18</v>
      </c>
      <c r="K193" s="4" t="s">
        <v>12</v>
      </c>
      <c r="L193" s="3">
        <v>712.91</v>
      </c>
      <c r="M193" s="4" t="s">
        <v>1255</v>
      </c>
      <c r="N193" s="3">
        <v>0</v>
      </c>
    </row>
    <row r="194" spans="1:14" x14ac:dyDescent="0.35">
      <c r="A194">
        <v>1083</v>
      </c>
      <c r="B194" s="4" t="s">
        <v>183</v>
      </c>
      <c r="C194" s="4" t="s">
        <v>318</v>
      </c>
      <c r="D194" s="4" t="s">
        <v>27</v>
      </c>
      <c r="E194">
        <v>1</v>
      </c>
      <c r="F194" s="3">
        <v>2692.4935</v>
      </c>
      <c r="G194" s="2">
        <v>1.28</v>
      </c>
      <c r="H194" s="3">
        <v>0</v>
      </c>
      <c r="I194" s="1">
        <v>45701</v>
      </c>
      <c r="J194" s="4" t="s">
        <v>20</v>
      </c>
      <c r="K194" s="4" t="s">
        <v>12</v>
      </c>
      <c r="L194" s="3">
        <v>-612.62</v>
      </c>
      <c r="M194" s="4" t="s">
        <v>1255</v>
      </c>
      <c r="N194" s="3">
        <v>2692.4935</v>
      </c>
    </row>
    <row r="195" spans="1:14" x14ac:dyDescent="0.35">
      <c r="A195">
        <v>1084</v>
      </c>
      <c r="B195" s="4" t="s">
        <v>319</v>
      </c>
      <c r="C195" s="4" t="s">
        <v>102</v>
      </c>
      <c r="D195" s="4" t="s">
        <v>13</v>
      </c>
      <c r="E195">
        <v>0</v>
      </c>
      <c r="F195" s="3">
        <v>2692.4935</v>
      </c>
      <c r="G195" s="2">
        <v>0.53</v>
      </c>
      <c r="H195" s="3">
        <v>0</v>
      </c>
      <c r="I195" s="1">
        <v>45650</v>
      </c>
      <c r="J195" s="4" t="s">
        <v>20</v>
      </c>
      <c r="K195" s="4" t="s">
        <v>12</v>
      </c>
      <c r="L195" s="3">
        <v>2458.0700000000002</v>
      </c>
      <c r="M195" s="4" t="s">
        <v>1255</v>
      </c>
      <c r="N195" s="3">
        <v>0</v>
      </c>
    </row>
    <row r="196" spans="1:14" x14ac:dyDescent="0.35">
      <c r="A196">
        <v>1085</v>
      </c>
      <c r="B196" s="4" t="s">
        <v>122</v>
      </c>
      <c r="C196" s="4" t="s">
        <v>102</v>
      </c>
      <c r="D196" s="4" t="s">
        <v>38</v>
      </c>
      <c r="E196">
        <v>0</v>
      </c>
      <c r="F196" s="3">
        <v>2692.4935</v>
      </c>
      <c r="G196" s="2">
        <v>0.02</v>
      </c>
      <c r="H196" s="3">
        <v>0</v>
      </c>
      <c r="I196" s="1">
        <v>45217</v>
      </c>
      <c r="J196" s="4" t="s">
        <v>20</v>
      </c>
      <c r="K196" s="4" t="s">
        <v>12</v>
      </c>
      <c r="L196" s="3">
        <v>264.73</v>
      </c>
      <c r="M196" s="4" t="s">
        <v>1255</v>
      </c>
      <c r="N196" s="3">
        <v>0</v>
      </c>
    </row>
    <row r="197" spans="1:14" x14ac:dyDescent="0.35">
      <c r="A197">
        <v>1086</v>
      </c>
      <c r="B197" s="4" t="s">
        <v>320</v>
      </c>
      <c r="C197" s="4" t="s">
        <v>253</v>
      </c>
      <c r="D197" s="4" t="s">
        <v>19</v>
      </c>
      <c r="E197">
        <v>0</v>
      </c>
      <c r="F197" s="3">
        <v>948.33</v>
      </c>
      <c r="G197" s="2">
        <v>0.46</v>
      </c>
      <c r="H197" s="3">
        <v>0</v>
      </c>
      <c r="I197" s="1">
        <v>45732</v>
      </c>
      <c r="J197" s="4" t="s">
        <v>18</v>
      </c>
      <c r="K197" s="4" t="s">
        <v>8</v>
      </c>
      <c r="L197" s="3">
        <v>-865.22</v>
      </c>
      <c r="M197" s="4" t="s">
        <v>1255</v>
      </c>
      <c r="N197" s="3">
        <v>0</v>
      </c>
    </row>
    <row r="198" spans="1:14" x14ac:dyDescent="0.35">
      <c r="A198">
        <v>1087</v>
      </c>
      <c r="B198" s="4" t="s">
        <v>50</v>
      </c>
      <c r="C198" s="4" t="s">
        <v>247</v>
      </c>
      <c r="D198" s="4" t="s">
        <v>32</v>
      </c>
      <c r="E198">
        <v>0</v>
      </c>
      <c r="F198" s="3">
        <v>1976.75</v>
      </c>
      <c r="G198" s="2">
        <v>0.81</v>
      </c>
      <c r="H198" s="3">
        <v>0</v>
      </c>
      <c r="I198" s="1">
        <v>45846</v>
      </c>
      <c r="J198" s="4" t="s">
        <v>11</v>
      </c>
      <c r="K198" s="4" t="s">
        <v>8</v>
      </c>
      <c r="L198" s="3">
        <v>2790.95</v>
      </c>
      <c r="M198" s="4" t="s">
        <v>1255</v>
      </c>
      <c r="N198" s="3">
        <v>0</v>
      </c>
    </row>
    <row r="199" spans="1:14" x14ac:dyDescent="0.35">
      <c r="A199">
        <v>1088</v>
      </c>
      <c r="B199" s="4" t="s">
        <v>164</v>
      </c>
      <c r="C199" s="4" t="s">
        <v>321</v>
      </c>
      <c r="D199" s="4" t="s">
        <v>35</v>
      </c>
      <c r="E199">
        <v>0</v>
      </c>
      <c r="F199" s="3">
        <v>3891.14</v>
      </c>
      <c r="G199" s="2">
        <v>0.64490820073439403</v>
      </c>
      <c r="H199" s="3">
        <v>0</v>
      </c>
      <c r="I199" s="1">
        <v>45785</v>
      </c>
      <c r="J199" s="4" t="s">
        <v>20</v>
      </c>
      <c r="K199" s="4" t="s">
        <v>8</v>
      </c>
      <c r="L199" s="3">
        <v>1374.27</v>
      </c>
      <c r="M199" s="4" t="s">
        <v>1255</v>
      </c>
      <c r="N199" s="3">
        <v>0</v>
      </c>
    </row>
    <row r="200" spans="1:14" hidden="1" x14ac:dyDescent="0.35">
      <c r="A200">
        <v>1089</v>
      </c>
      <c r="B200" s="4" t="s">
        <v>322</v>
      </c>
      <c r="C200" s="4" t="s">
        <v>46</v>
      </c>
      <c r="D200" s="4" t="s">
        <v>38</v>
      </c>
      <c r="E200">
        <v>0</v>
      </c>
      <c r="F200" s="3">
        <v>1412.17</v>
      </c>
      <c r="G200" s="2">
        <v>0.88</v>
      </c>
      <c r="H200" s="3">
        <v>0</v>
      </c>
      <c r="I200" s="1">
        <v>45710</v>
      </c>
      <c r="J200" s="4" t="s">
        <v>11</v>
      </c>
      <c r="K200" s="4" t="s">
        <v>40</v>
      </c>
      <c r="L200" s="3">
        <v>-355.26</v>
      </c>
      <c r="M200" s="4" t="s">
        <v>1255</v>
      </c>
      <c r="N200" s="3">
        <v>0</v>
      </c>
    </row>
    <row r="201" spans="1:14" x14ac:dyDescent="0.35">
      <c r="A201">
        <v>1090</v>
      </c>
      <c r="B201" s="4" t="s">
        <v>71</v>
      </c>
      <c r="C201" s="4" t="s">
        <v>165</v>
      </c>
      <c r="D201" s="4" t="s">
        <v>38</v>
      </c>
      <c r="E201">
        <v>5</v>
      </c>
      <c r="F201" s="3">
        <v>2477.8200000000002</v>
      </c>
      <c r="G201" s="2">
        <v>0.64462009803921605</v>
      </c>
      <c r="H201" s="3">
        <v>0</v>
      </c>
      <c r="I201" s="1">
        <v>45605</v>
      </c>
      <c r="J201" s="4" t="s">
        <v>9</v>
      </c>
      <c r="K201" s="4" t="s">
        <v>8</v>
      </c>
      <c r="L201" s="3">
        <v>-888.86</v>
      </c>
      <c r="M201" s="4" t="s">
        <v>1255</v>
      </c>
      <c r="N201" s="3">
        <v>12389.1</v>
      </c>
    </row>
    <row r="202" spans="1:14" hidden="1" x14ac:dyDescent="0.35">
      <c r="A202">
        <v>1091</v>
      </c>
      <c r="B202" s="4" t="s">
        <v>164</v>
      </c>
      <c r="C202" s="4" t="s">
        <v>323</v>
      </c>
      <c r="D202" s="4" t="s">
        <v>14</v>
      </c>
      <c r="E202">
        <v>1</v>
      </c>
      <c r="F202" s="3">
        <v>2694.5266999999999</v>
      </c>
      <c r="G202" s="2">
        <v>0.64462009803921605</v>
      </c>
      <c r="H202" s="3">
        <v>0</v>
      </c>
      <c r="I202" s="1">
        <v>45135</v>
      </c>
      <c r="J202" s="4" t="s">
        <v>7</v>
      </c>
      <c r="K202" s="4" t="s">
        <v>40</v>
      </c>
      <c r="L202" s="3">
        <v>156.43</v>
      </c>
      <c r="M202" s="4" t="s">
        <v>1255</v>
      </c>
      <c r="N202" s="3">
        <v>2694.5266999999999</v>
      </c>
    </row>
    <row r="203" spans="1:14" hidden="1" x14ac:dyDescent="0.35">
      <c r="A203">
        <v>1092</v>
      </c>
      <c r="B203" s="4" t="s">
        <v>262</v>
      </c>
      <c r="C203" s="4" t="s">
        <v>273</v>
      </c>
      <c r="D203" s="4" t="s">
        <v>31</v>
      </c>
      <c r="E203">
        <v>0</v>
      </c>
      <c r="F203" s="3">
        <v>2694.7002000000002</v>
      </c>
      <c r="G203" s="2">
        <v>0.64462009803921605</v>
      </c>
      <c r="H203" s="3">
        <v>0</v>
      </c>
      <c r="I203" s="1">
        <v>45135</v>
      </c>
      <c r="J203" s="4" t="s">
        <v>20</v>
      </c>
      <c r="K203" s="4" t="s">
        <v>40</v>
      </c>
      <c r="L203" s="3">
        <v>1122.6600000000001</v>
      </c>
      <c r="M203" s="4" t="s">
        <v>1255</v>
      </c>
      <c r="N203" s="3">
        <v>0</v>
      </c>
    </row>
    <row r="204" spans="1:14" x14ac:dyDescent="0.35">
      <c r="A204">
        <v>1093</v>
      </c>
      <c r="B204" s="4" t="s">
        <v>125</v>
      </c>
      <c r="C204" s="4" t="s">
        <v>324</v>
      </c>
      <c r="D204" s="4" t="s">
        <v>31</v>
      </c>
      <c r="E204">
        <v>-2</v>
      </c>
      <c r="F204" s="3">
        <v>2694.7002000000002</v>
      </c>
      <c r="G204" s="2">
        <v>0.64462009803921605</v>
      </c>
      <c r="H204" s="3">
        <v>0</v>
      </c>
      <c r="I204" s="1">
        <v>45629</v>
      </c>
      <c r="J204" s="4" t="s">
        <v>18</v>
      </c>
      <c r="K204" s="4" t="s">
        <v>12</v>
      </c>
      <c r="L204" s="3">
        <v>2966.76</v>
      </c>
      <c r="M204" s="4" t="s">
        <v>1255</v>
      </c>
      <c r="N204" s="3">
        <v>-5389.4004000000004</v>
      </c>
    </row>
    <row r="205" spans="1:14" x14ac:dyDescent="0.35">
      <c r="A205">
        <v>1094</v>
      </c>
      <c r="B205" s="4" t="s">
        <v>325</v>
      </c>
      <c r="C205" s="4" t="s">
        <v>326</v>
      </c>
      <c r="D205" s="4" t="s">
        <v>30</v>
      </c>
      <c r="E205">
        <v>-1</v>
      </c>
      <c r="F205" s="3">
        <v>4741.41</v>
      </c>
      <c r="G205" s="2">
        <v>0.64462009803921605</v>
      </c>
      <c r="H205" s="3">
        <v>0</v>
      </c>
      <c r="I205" s="1">
        <v>45629</v>
      </c>
      <c r="J205" s="4" t="s">
        <v>11</v>
      </c>
      <c r="K205" s="4" t="s">
        <v>8</v>
      </c>
      <c r="L205" s="3">
        <v>1901.7</v>
      </c>
      <c r="M205" s="4" t="s">
        <v>1255</v>
      </c>
      <c r="N205" s="3">
        <v>-4741.41</v>
      </c>
    </row>
    <row r="206" spans="1:14" hidden="1" x14ac:dyDescent="0.35">
      <c r="A206">
        <v>1097</v>
      </c>
      <c r="B206" s="4" t="s">
        <v>159</v>
      </c>
      <c r="C206" s="4" t="s">
        <v>82</v>
      </c>
      <c r="D206" s="4" t="s">
        <v>19</v>
      </c>
      <c r="E206">
        <v>0</v>
      </c>
      <c r="F206" s="3">
        <v>2693.0601999999999</v>
      </c>
      <c r="G206" s="2">
        <v>0.64462009803921605</v>
      </c>
      <c r="H206" s="3">
        <v>0</v>
      </c>
      <c r="I206" s="1">
        <v>45675</v>
      </c>
      <c r="J206" s="4" t="s">
        <v>11</v>
      </c>
      <c r="K206" s="4" t="s">
        <v>40</v>
      </c>
      <c r="L206" s="3">
        <v>1141.1500000000001</v>
      </c>
      <c r="M206" s="4" t="s">
        <v>1255</v>
      </c>
      <c r="N206" s="3">
        <v>0</v>
      </c>
    </row>
    <row r="207" spans="1:14" x14ac:dyDescent="0.35">
      <c r="A207">
        <v>1098</v>
      </c>
      <c r="B207" s="4" t="s">
        <v>327</v>
      </c>
      <c r="C207" s="4" t="s">
        <v>205</v>
      </c>
      <c r="D207" s="4" t="s">
        <v>35</v>
      </c>
      <c r="E207">
        <v>0</v>
      </c>
      <c r="F207" s="3">
        <v>4752.04</v>
      </c>
      <c r="G207" s="2">
        <v>0.64462009803921605</v>
      </c>
      <c r="H207" s="3">
        <v>0</v>
      </c>
      <c r="I207" s="1">
        <v>45543</v>
      </c>
      <c r="J207" s="4" t="s">
        <v>9</v>
      </c>
      <c r="K207" s="4" t="s">
        <v>8</v>
      </c>
      <c r="L207" s="3">
        <v>129.37</v>
      </c>
      <c r="M207" s="4" t="s">
        <v>1255</v>
      </c>
      <c r="N207" s="3">
        <v>0</v>
      </c>
    </row>
    <row r="208" spans="1:14" x14ac:dyDescent="0.35">
      <c r="A208">
        <v>1099</v>
      </c>
      <c r="B208" s="4" t="s">
        <v>117</v>
      </c>
      <c r="C208" s="4" t="s">
        <v>175</v>
      </c>
      <c r="D208" s="4" t="s">
        <v>13</v>
      </c>
      <c r="E208">
        <v>0</v>
      </c>
      <c r="F208" s="3">
        <v>2694.8815</v>
      </c>
      <c r="G208" s="2">
        <v>0.64462009803921605</v>
      </c>
      <c r="H208" s="3">
        <v>0</v>
      </c>
      <c r="I208" s="1">
        <v>45344</v>
      </c>
      <c r="J208" s="4" t="s">
        <v>20</v>
      </c>
      <c r="K208" s="4" t="s">
        <v>12</v>
      </c>
      <c r="L208" s="3">
        <v>300.02</v>
      </c>
      <c r="M208" s="4" t="s">
        <v>1255</v>
      </c>
      <c r="N208" s="3">
        <v>0</v>
      </c>
    </row>
    <row r="209" spans="1:14" x14ac:dyDescent="0.35">
      <c r="A209">
        <v>1100</v>
      </c>
      <c r="B209" s="4" t="s">
        <v>328</v>
      </c>
      <c r="C209" s="4" t="s">
        <v>329</v>
      </c>
      <c r="D209" s="4" t="s">
        <v>29</v>
      </c>
      <c r="E209">
        <v>2</v>
      </c>
      <c r="F209" s="3">
        <v>2011.73</v>
      </c>
      <c r="G209" s="2">
        <v>0.64462009803921605</v>
      </c>
      <c r="H209" s="3">
        <v>0</v>
      </c>
      <c r="I209" s="1">
        <v>45656</v>
      </c>
      <c r="J209" s="4" t="s">
        <v>23</v>
      </c>
      <c r="K209" s="4" t="s">
        <v>8</v>
      </c>
      <c r="L209" s="3">
        <v>2493.5</v>
      </c>
      <c r="M209" s="4" t="s">
        <v>1255</v>
      </c>
      <c r="N209" s="3">
        <v>4023.46</v>
      </c>
    </row>
    <row r="210" spans="1:14" x14ac:dyDescent="0.35">
      <c r="A210">
        <v>1101</v>
      </c>
      <c r="B210" s="4" t="s">
        <v>330</v>
      </c>
      <c r="C210" s="4" t="s">
        <v>82</v>
      </c>
      <c r="D210" s="4" t="s">
        <v>16</v>
      </c>
      <c r="E210">
        <v>0</v>
      </c>
      <c r="F210" s="3">
        <v>2693.2305000000001</v>
      </c>
      <c r="G210" s="2">
        <v>0.22</v>
      </c>
      <c r="H210" s="3">
        <v>0</v>
      </c>
      <c r="I210" s="1">
        <v>45720</v>
      </c>
      <c r="J210" s="4" t="s">
        <v>20</v>
      </c>
      <c r="K210" s="4" t="s">
        <v>8</v>
      </c>
      <c r="L210" s="3">
        <v>2962.73</v>
      </c>
      <c r="M210" s="4" t="s">
        <v>1255</v>
      </c>
      <c r="N210" s="3">
        <v>0</v>
      </c>
    </row>
    <row r="211" spans="1:14" hidden="1" x14ac:dyDescent="0.35">
      <c r="A211">
        <v>1102</v>
      </c>
      <c r="B211" s="4" t="s">
        <v>219</v>
      </c>
      <c r="C211" s="4" t="s">
        <v>214</v>
      </c>
      <c r="D211" s="4" t="s">
        <v>16</v>
      </c>
      <c r="E211">
        <v>5</v>
      </c>
      <c r="F211" s="3">
        <v>2693.7779</v>
      </c>
      <c r="G211" s="2">
        <v>0.64514110429447802</v>
      </c>
      <c r="H211" s="3">
        <v>0</v>
      </c>
      <c r="I211" s="1">
        <v>45762</v>
      </c>
      <c r="J211" s="4" t="s">
        <v>23</v>
      </c>
      <c r="K211" s="4" t="s">
        <v>40</v>
      </c>
      <c r="L211" s="3">
        <v>2776.7</v>
      </c>
      <c r="M211" s="4" t="s">
        <v>1255</v>
      </c>
      <c r="N211" s="3">
        <v>13468.889499999999</v>
      </c>
    </row>
    <row r="212" spans="1:14" x14ac:dyDescent="0.35">
      <c r="A212">
        <v>1103</v>
      </c>
      <c r="B212" s="4" t="s">
        <v>304</v>
      </c>
      <c r="C212" s="4" t="s">
        <v>331</v>
      </c>
      <c r="D212" s="4" t="s">
        <v>31</v>
      </c>
      <c r="E212">
        <v>5</v>
      </c>
      <c r="F212" s="3">
        <v>1521.46</v>
      </c>
      <c r="G212" s="2">
        <v>0.64514110429447802</v>
      </c>
      <c r="H212" s="3">
        <v>0</v>
      </c>
      <c r="I212" s="1">
        <v>45819</v>
      </c>
      <c r="J212" s="4" t="s">
        <v>18</v>
      </c>
      <c r="K212" s="4" t="s">
        <v>12</v>
      </c>
      <c r="L212" s="3">
        <v>1713.47</v>
      </c>
      <c r="M212" s="4" t="s">
        <v>1255</v>
      </c>
      <c r="N212" s="3">
        <v>7607.3</v>
      </c>
    </row>
    <row r="213" spans="1:14" x14ac:dyDescent="0.35">
      <c r="A213">
        <v>1104</v>
      </c>
      <c r="B213" s="4" t="s">
        <v>79</v>
      </c>
      <c r="C213" s="4" t="s">
        <v>332</v>
      </c>
      <c r="D213" s="4" t="s">
        <v>24</v>
      </c>
      <c r="E213">
        <v>3</v>
      </c>
      <c r="F213" s="3">
        <v>2752.71</v>
      </c>
      <c r="G213" s="2">
        <v>0.64514110429447802</v>
      </c>
      <c r="H213" s="3">
        <v>0</v>
      </c>
      <c r="I213" s="1">
        <v>45454</v>
      </c>
      <c r="J213" s="4" t="s">
        <v>9</v>
      </c>
      <c r="K213" s="4" t="s">
        <v>12</v>
      </c>
      <c r="L213" s="3">
        <v>1660.01</v>
      </c>
      <c r="M213" s="4" t="s">
        <v>1255</v>
      </c>
      <c r="N213" s="3">
        <v>8258.1299999999992</v>
      </c>
    </row>
    <row r="214" spans="1:14" x14ac:dyDescent="0.35">
      <c r="A214">
        <v>1105</v>
      </c>
      <c r="B214" s="4" t="s">
        <v>333</v>
      </c>
      <c r="C214" s="4" t="s">
        <v>82</v>
      </c>
      <c r="D214" s="4" t="s">
        <v>24</v>
      </c>
      <c r="E214">
        <v>-2</v>
      </c>
      <c r="F214" s="3">
        <v>2694.7203</v>
      </c>
      <c r="G214" s="2">
        <v>0.64514110429447802</v>
      </c>
      <c r="H214" s="3">
        <v>0</v>
      </c>
      <c r="I214" s="1">
        <v>45454</v>
      </c>
      <c r="J214" s="4" t="s">
        <v>9</v>
      </c>
      <c r="K214" s="4" t="s">
        <v>12</v>
      </c>
      <c r="L214" s="3">
        <v>616.04</v>
      </c>
      <c r="M214" s="4" t="s">
        <v>1255</v>
      </c>
      <c r="N214" s="3">
        <v>-5389.4405999999999</v>
      </c>
    </row>
    <row r="215" spans="1:14" x14ac:dyDescent="0.35">
      <c r="A215">
        <v>1106</v>
      </c>
      <c r="B215" s="4" t="s">
        <v>334</v>
      </c>
      <c r="C215" s="4" t="s">
        <v>152</v>
      </c>
      <c r="D215" s="4" t="s">
        <v>16</v>
      </c>
      <c r="E215">
        <v>3</v>
      </c>
      <c r="F215" s="3">
        <v>2694.6736000000001</v>
      </c>
      <c r="G215" s="2">
        <v>0.64514110429447802</v>
      </c>
      <c r="H215" s="3">
        <v>0</v>
      </c>
      <c r="I215" s="1">
        <v>45748</v>
      </c>
      <c r="J215" s="4" t="s">
        <v>20</v>
      </c>
      <c r="K215" s="4" t="s">
        <v>8</v>
      </c>
      <c r="L215" s="3">
        <v>53.28</v>
      </c>
      <c r="M215" s="4" t="s">
        <v>1255</v>
      </c>
      <c r="N215" s="3">
        <v>8084.0208000000002</v>
      </c>
    </row>
    <row r="216" spans="1:14" x14ac:dyDescent="0.35">
      <c r="A216">
        <v>1107</v>
      </c>
      <c r="B216" s="4" t="s">
        <v>185</v>
      </c>
      <c r="C216" s="4" t="s">
        <v>140</v>
      </c>
      <c r="D216" s="4" t="s">
        <v>21</v>
      </c>
      <c r="E216">
        <v>0</v>
      </c>
      <c r="F216" s="3">
        <v>4948</v>
      </c>
      <c r="G216" s="2">
        <v>0.64514110429447802</v>
      </c>
      <c r="H216" s="3">
        <v>0</v>
      </c>
      <c r="I216" s="1">
        <v>45748</v>
      </c>
      <c r="J216" s="4" t="s">
        <v>7</v>
      </c>
      <c r="K216" s="4" t="s">
        <v>8</v>
      </c>
      <c r="L216" s="3">
        <v>1064.8599999999999</v>
      </c>
      <c r="M216" s="4" t="s">
        <v>1255</v>
      </c>
      <c r="N216" s="3">
        <v>0</v>
      </c>
    </row>
    <row r="217" spans="1:14" x14ac:dyDescent="0.35">
      <c r="A217">
        <v>1109</v>
      </c>
      <c r="B217" s="4" t="s">
        <v>335</v>
      </c>
      <c r="C217" s="4" t="s">
        <v>336</v>
      </c>
      <c r="D217" s="4" t="s">
        <v>32</v>
      </c>
      <c r="E217">
        <v>0</v>
      </c>
      <c r="F217" s="3">
        <v>2692.8593999999998</v>
      </c>
      <c r="G217" s="2">
        <v>0.64514110429447802</v>
      </c>
      <c r="H217" s="3">
        <v>0</v>
      </c>
      <c r="I217" s="1">
        <v>45779</v>
      </c>
      <c r="J217" s="4" t="s">
        <v>23</v>
      </c>
      <c r="K217" s="4" t="s">
        <v>8</v>
      </c>
      <c r="L217" s="3">
        <v>2133.58</v>
      </c>
      <c r="M217" s="4" t="s">
        <v>1255</v>
      </c>
      <c r="N217" s="3">
        <v>0</v>
      </c>
    </row>
    <row r="218" spans="1:14" x14ac:dyDescent="0.35">
      <c r="A218">
        <v>1110</v>
      </c>
      <c r="B218" s="4" t="s">
        <v>121</v>
      </c>
      <c r="C218" s="4" t="s">
        <v>180</v>
      </c>
      <c r="D218" s="4" t="s">
        <v>6</v>
      </c>
      <c r="E218">
        <v>4</v>
      </c>
      <c r="F218" s="3">
        <v>2691.3213999999998</v>
      </c>
      <c r="G218" s="2">
        <v>0.64514110429447802</v>
      </c>
      <c r="H218" s="3">
        <v>0</v>
      </c>
      <c r="I218" s="1">
        <v>45834</v>
      </c>
      <c r="J218" s="4" t="s">
        <v>11</v>
      </c>
      <c r="K218" s="4" t="s">
        <v>8</v>
      </c>
      <c r="L218" s="3">
        <v>2155.6799999999998</v>
      </c>
      <c r="M218" s="4" t="s">
        <v>1255</v>
      </c>
      <c r="N218" s="3">
        <v>10765.285599999999</v>
      </c>
    </row>
    <row r="219" spans="1:14" x14ac:dyDescent="0.35">
      <c r="A219">
        <v>1111</v>
      </c>
      <c r="B219" s="4" t="s">
        <v>62</v>
      </c>
      <c r="C219" s="4" t="s">
        <v>337</v>
      </c>
      <c r="D219" s="4" t="s">
        <v>26</v>
      </c>
      <c r="E219">
        <v>0</v>
      </c>
      <c r="F219" s="3">
        <v>2691.3213999999998</v>
      </c>
      <c r="G219" s="2">
        <v>0.64514110429447802</v>
      </c>
      <c r="H219" s="3">
        <v>0</v>
      </c>
      <c r="I219" s="1">
        <v>45834</v>
      </c>
      <c r="J219" s="4" t="s">
        <v>9</v>
      </c>
      <c r="K219" s="4" t="s">
        <v>8</v>
      </c>
      <c r="L219" s="3">
        <v>748.93</v>
      </c>
      <c r="M219" s="4" t="s">
        <v>1255</v>
      </c>
      <c r="N219" s="3">
        <v>0</v>
      </c>
    </row>
    <row r="220" spans="1:14" hidden="1" x14ac:dyDescent="0.35">
      <c r="A220">
        <v>1112</v>
      </c>
      <c r="B220" s="4" t="s">
        <v>338</v>
      </c>
      <c r="C220" s="4" t="s">
        <v>339</v>
      </c>
      <c r="D220" s="4" t="s">
        <v>17</v>
      </c>
      <c r="E220">
        <v>0</v>
      </c>
      <c r="F220" s="3">
        <v>1027.56</v>
      </c>
      <c r="G220" s="2">
        <v>0.64514110429447802</v>
      </c>
      <c r="H220" s="3">
        <v>0</v>
      </c>
      <c r="I220" s="1">
        <v>45834</v>
      </c>
      <c r="J220" s="4" t="s">
        <v>11</v>
      </c>
      <c r="K220" s="4" t="s">
        <v>40</v>
      </c>
      <c r="L220" s="3">
        <v>1160.17</v>
      </c>
      <c r="M220" s="4" t="s">
        <v>1255</v>
      </c>
      <c r="N220" s="3">
        <v>0</v>
      </c>
    </row>
    <row r="221" spans="1:14" x14ac:dyDescent="0.35">
      <c r="A221">
        <v>1113</v>
      </c>
      <c r="B221" s="4" t="s">
        <v>340</v>
      </c>
      <c r="C221" s="4" t="s">
        <v>199</v>
      </c>
      <c r="D221" s="4" t="s">
        <v>10</v>
      </c>
      <c r="E221">
        <v>0</v>
      </c>
      <c r="F221" s="3">
        <v>3864.5</v>
      </c>
      <c r="G221" s="2">
        <v>0.64514110429447802</v>
      </c>
      <c r="H221" s="3">
        <v>0</v>
      </c>
      <c r="I221" s="1">
        <v>45834</v>
      </c>
      <c r="J221" s="4" t="s">
        <v>9</v>
      </c>
      <c r="K221" s="4" t="s">
        <v>8</v>
      </c>
      <c r="L221" s="3">
        <v>-763.23</v>
      </c>
      <c r="M221" s="4" t="s">
        <v>1255</v>
      </c>
      <c r="N221" s="3">
        <v>0</v>
      </c>
    </row>
    <row r="222" spans="1:14" x14ac:dyDescent="0.35">
      <c r="A222">
        <v>1114</v>
      </c>
      <c r="B222" s="4" t="s">
        <v>224</v>
      </c>
      <c r="C222" s="4" t="s">
        <v>61</v>
      </c>
      <c r="D222" s="4" t="s">
        <v>31</v>
      </c>
      <c r="E222">
        <v>6</v>
      </c>
      <c r="F222" s="3">
        <v>568.61</v>
      </c>
      <c r="G222" s="2">
        <v>0.2</v>
      </c>
      <c r="H222" s="3">
        <v>2729.33</v>
      </c>
      <c r="I222" s="1">
        <v>45706</v>
      </c>
      <c r="J222" s="4" t="s">
        <v>7</v>
      </c>
      <c r="K222" s="4" t="s">
        <v>8</v>
      </c>
      <c r="L222" s="3">
        <v>-689.16</v>
      </c>
      <c r="M222" s="4" t="s">
        <v>1256</v>
      </c>
      <c r="N222" s="3">
        <v>3411.66</v>
      </c>
    </row>
    <row r="223" spans="1:14" hidden="1" x14ac:dyDescent="0.35">
      <c r="A223">
        <v>1115</v>
      </c>
      <c r="B223" s="4" t="s">
        <v>341</v>
      </c>
      <c r="C223" s="4" t="s">
        <v>253</v>
      </c>
      <c r="D223" s="4" t="s">
        <v>14</v>
      </c>
      <c r="E223">
        <v>0</v>
      </c>
      <c r="F223" s="3">
        <v>2691.7174</v>
      </c>
      <c r="G223" s="2">
        <v>0.64568796068796097</v>
      </c>
      <c r="H223" s="3">
        <v>0</v>
      </c>
      <c r="I223" s="1">
        <v>45826</v>
      </c>
      <c r="J223" s="4" t="s">
        <v>9</v>
      </c>
      <c r="K223" s="4" t="s">
        <v>40</v>
      </c>
      <c r="L223" s="3">
        <v>-624.26</v>
      </c>
      <c r="M223" s="4" t="s">
        <v>1255</v>
      </c>
      <c r="N223" s="3">
        <v>0</v>
      </c>
    </row>
    <row r="224" spans="1:14" x14ac:dyDescent="0.35">
      <c r="A224">
        <v>1116</v>
      </c>
      <c r="B224" s="4" t="s">
        <v>342</v>
      </c>
      <c r="C224" s="4" t="s">
        <v>205</v>
      </c>
      <c r="D224" s="4" t="s">
        <v>27</v>
      </c>
      <c r="E224">
        <v>1</v>
      </c>
      <c r="F224" s="3">
        <v>2693.4322999999999</v>
      </c>
      <c r="G224" s="2">
        <v>0.64568796068796097</v>
      </c>
      <c r="H224" s="3">
        <v>0</v>
      </c>
      <c r="I224" s="1">
        <v>45718</v>
      </c>
      <c r="J224" s="4" t="s">
        <v>7</v>
      </c>
      <c r="K224" s="4" t="s">
        <v>8</v>
      </c>
      <c r="L224" s="3">
        <v>1733.04</v>
      </c>
      <c r="M224" s="4" t="s">
        <v>1255</v>
      </c>
      <c r="N224" s="3">
        <v>2693.4322999999999</v>
      </c>
    </row>
    <row r="225" spans="1:14" hidden="1" x14ac:dyDescent="0.35">
      <c r="A225">
        <v>1117</v>
      </c>
      <c r="B225" s="4" t="s">
        <v>343</v>
      </c>
      <c r="C225" s="4" t="s">
        <v>149</v>
      </c>
      <c r="D225" s="4" t="s">
        <v>10</v>
      </c>
      <c r="E225">
        <v>0</v>
      </c>
      <c r="F225" s="3">
        <v>3567.55</v>
      </c>
      <c r="G225" s="2">
        <v>0.64568796068796097</v>
      </c>
      <c r="H225" s="3">
        <v>0</v>
      </c>
      <c r="I225" s="1">
        <v>45718</v>
      </c>
      <c r="J225" s="4" t="s">
        <v>18</v>
      </c>
      <c r="K225" s="4" t="s">
        <v>40</v>
      </c>
      <c r="L225" s="3">
        <v>-455.6</v>
      </c>
      <c r="M225" s="4" t="s">
        <v>1255</v>
      </c>
      <c r="N225" s="3">
        <v>0</v>
      </c>
    </row>
    <row r="226" spans="1:14" x14ac:dyDescent="0.35">
      <c r="A226">
        <v>1118</v>
      </c>
      <c r="B226" s="4" t="s">
        <v>344</v>
      </c>
      <c r="C226" s="4" t="s">
        <v>345</v>
      </c>
      <c r="D226" s="4" t="s">
        <v>14</v>
      </c>
      <c r="E226">
        <v>0</v>
      </c>
      <c r="F226" s="3">
        <v>2693.4322999999999</v>
      </c>
      <c r="G226" s="2">
        <v>0.64568796068796097</v>
      </c>
      <c r="H226" s="3">
        <v>0</v>
      </c>
      <c r="I226" s="1">
        <v>45778</v>
      </c>
      <c r="J226" s="4" t="s">
        <v>18</v>
      </c>
      <c r="K226" s="4" t="s">
        <v>8</v>
      </c>
      <c r="L226" s="3">
        <v>1039.53</v>
      </c>
      <c r="M226" s="4" t="s">
        <v>1255</v>
      </c>
      <c r="N226" s="3">
        <v>0</v>
      </c>
    </row>
    <row r="227" spans="1:14" x14ac:dyDescent="0.35">
      <c r="A227">
        <v>1119</v>
      </c>
      <c r="B227" s="4" t="s">
        <v>185</v>
      </c>
      <c r="C227" s="4" t="s">
        <v>346</v>
      </c>
      <c r="D227" s="4" t="s">
        <v>32</v>
      </c>
      <c r="E227">
        <v>0</v>
      </c>
      <c r="F227" s="3">
        <v>2692.7257</v>
      </c>
      <c r="G227" s="2">
        <v>0.64568796068796097</v>
      </c>
      <c r="H227" s="3">
        <v>0</v>
      </c>
      <c r="I227" s="1">
        <v>45791</v>
      </c>
      <c r="J227" s="4" t="s">
        <v>11</v>
      </c>
      <c r="K227" s="4" t="s">
        <v>8</v>
      </c>
      <c r="L227" s="3">
        <v>142.69</v>
      </c>
      <c r="M227" s="4" t="s">
        <v>1255</v>
      </c>
      <c r="N227" s="3">
        <v>0</v>
      </c>
    </row>
    <row r="228" spans="1:14" hidden="1" x14ac:dyDescent="0.35">
      <c r="A228">
        <v>1120</v>
      </c>
      <c r="B228" s="4" t="s">
        <v>347</v>
      </c>
      <c r="C228" s="4" t="s">
        <v>142</v>
      </c>
      <c r="D228" s="4" t="s">
        <v>10</v>
      </c>
      <c r="E228">
        <v>0</v>
      </c>
      <c r="F228" s="3">
        <v>4709</v>
      </c>
      <c r="G228" s="2">
        <v>0.64568796068796097</v>
      </c>
      <c r="H228" s="3">
        <v>0</v>
      </c>
      <c r="I228" s="1">
        <v>45782</v>
      </c>
      <c r="J228" s="4" t="s">
        <v>9</v>
      </c>
      <c r="K228" s="4" t="s">
        <v>40</v>
      </c>
      <c r="L228" s="3">
        <v>828.98</v>
      </c>
      <c r="M228" s="4" t="s">
        <v>1255</v>
      </c>
      <c r="N228" s="3">
        <v>0</v>
      </c>
    </row>
    <row r="229" spans="1:14" x14ac:dyDescent="0.35">
      <c r="A229">
        <v>1121</v>
      </c>
      <c r="B229" s="4" t="s">
        <v>348</v>
      </c>
      <c r="C229" s="4" t="s">
        <v>301</v>
      </c>
      <c r="D229" s="4" t="s">
        <v>29</v>
      </c>
      <c r="E229">
        <v>0</v>
      </c>
      <c r="F229" s="3">
        <v>4109.6000000000004</v>
      </c>
      <c r="G229" s="2">
        <v>0.42</v>
      </c>
      <c r="H229" s="3">
        <v>0</v>
      </c>
      <c r="I229" s="1">
        <v>45782</v>
      </c>
      <c r="J229" s="4" t="s">
        <v>20</v>
      </c>
      <c r="K229" s="4" t="s">
        <v>8</v>
      </c>
      <c r="L229" s="3">
        <v>1422.36</v>
      </c>
      <c r="M229" s="4" t="s">
        <v>1255</v>
      </c>
      <c r="N229" s="3">
        <v>0</v>
      </c>
    </row>
    <row r="230" spans="1:14" x14ac:dyDescent="0.35">
      <c r="A230">
        <v>1122</v>
      </c>
      <c r="B230" s="4" t="s">
        <v>262</v>
      </c>
      <c r="C230" s="4" t="s">
        <v>349</v>
      </c>
      <c r="D230" s="4" t="s">
        <v>27</v>
      </c>
      <c r="E230">
        <v>0</v>
      </c>
      <c r="F230" s="3">
        <v>4745.03</v>
      </c>
      <c r="G230" s="2">
        <v>0.4</v>
      </c>
      <c r="H230" s="3">
        <v>0</v>
      </c>
      <c r="I230" s="1">
        <v>45782</v>
      </c>
      <c r="J230" s="4" t="s">
        <v>11</v>
      </c>
      <c r="K230" s="4" t="s">
        <v>8</v>
      </c>
      <c r="L230" s="3">
        <v>2658.02</v>
      </c>
      <c r="M230" s="4" t="s">
        <v>1255</v>
      </c>
      <c r="N230" s="3">
        <v>0</v>
      </c>
    </row>
    <row r="231" spans="1:14" hidden="1" x14ac:dyDescent="0.35">
      <c r="A231">
        <v>1123</v>
      </c>
      <c r="B231" s="4" t="s">
        <v>121</v>
      </c>
      <c r="C231" s="4" t="s">
        <v>350</v>
      </c>
      <c r="D231" s="4" t="s">
        <v>35</v>
      </c>
      <c r="E231">
        <v>5</v>
      </c>
      <c r="F231" s="3">
        <v>3978.76</v>
      </c>
      <c r="G231" s="2">
        <v>0.64626847290640399</v>
      </c>
      <c r="H231" s="3">
        <v>0</v>
      </c>
      <c r="I231" s="1">
        <v>45393</v>
      </c>
      <c r="J231" s="4" t="s">
        <v>9</v>
      </c>
      <c r="K231" s="4" t="s">
        <v>40</v>
      </c>
      <c r="L231" s="3">
        <v>1494.78</v>
      </c>
      <c r="M231" s="4" t="s">
        <v>1255</v>
      </c>
      <c r="N231" s="3">
        <v>19893.8</v>
      </c>
    </row>
    <row r="232" spans="1:14" hidden="1" x14ac:dyDescent="0.35">
      <c r="A232">
        <v>1125</v>
      </c>
      <c r="B232" s="4" t="s">
        <v>351</v>
      </c>
      <c r="C232" s="4" t="s">
        <v>106</v>
      </c>
      <c r="D232" s="4" t="s">
        <v>29</v>
      </c>
      <c r="E232">
        <v>-2</v>
      </c>
      <c r="F232" s="3">
        <v>2687.2338</v>
      </c>
      <c r="G232" s="2">
        <v>0.64626847290640399</v>
      </c>
      <c r="H232" s="3">
        <v>0</v>
      </c>
      <c r="I232" s="1">
        <v>45657</v>
      </c>
      <c r="J232" s="4" t="s">
        <v>7</v>
      </c>
      <c r="K232" s="4" t="s">
        <v>40</v>
      </c>
      <c r="L232" s="3">
        <v>-754.58</v>
      </c>
      <c r="M232" s="4" t="s">
        <v>1255</v>
      </c>
      <c r="N232" s="3">
        <v>-5374.4675999999999</v>
      </c>
    </row>
    <row r="233" spans="1:14" x14ac:dyDescent="0.35">
      <c r="A233">
        <v>1126</v>
      </c>
      <c r="B233" s="4" t="s">
        <v>352</v>
      </c>
      <c r="C233" s="4" t="s">
        <v>353</v>
      </c>
      <c r="D233" s="4" t="s">
        <v>16</v>
      </c>
      <c r="E233">
        <v>2</v>
      </c>
      <c r="F233" s="3">
        <v>2687.2338</v>
      </c>
      <c r="G233" s="2">
        <v>0.59</v>
      </c>
      <c r="H233" s="3">
        <v>0</v>
      </c>
      <c r="I233" s="1">
        <v>45657</v>
      </c>
      <c r="J233" s="4" t="s">
        <v>20</v>
      </c>
      <c r="K233" s="4" t="s">
        <v>8</v>
      </c>
      <c r="L233" s="3">
        <v>1820.2</v>
      </c>
      <c r="M233" s="4" t="s">
        <v>1255</v>
      </c>
      <c r="N233" s="3">
        <v>5374.4675999999999</v>
      </c>
    </row>
    <row r="234" spans="1:14" x14ac:dyDescent="0.35">
      <c r="A234">
        <v>1127</v>
      </c>
      <c r="B234" s="4" t="s">
        <v>87</v>
      </c>
      <c r="C234" s="4" t="s">
        <v>354</v>
      </c>
      <c r="D234" s="4" t="s">
        <v>31</v>
      </c>
      <c r="E234">
        <v>3</v>
      </c>
      <c r="F234" s="3">
        <v>4843.4399999999996</v>
      </c>
      <c r="G234" s="2">
        <v>7.0000000000000007E-2</v>
      </c>
      <c r="H234" s="3">
        <v>13513.2</v>
      </c>
      <c r="I234" s="1">
        <v>45511</v>
      </c>
      <c r="J234" s="4" t="s">
        <v>9</v>
      </c>
      <c r="K234" s="4" t="s">
        <v>12</v>
      </c>
      <c r="L234" s="3">
        <v>2881.91</v>
      </c>
      <c r="M234" s="4" t="s">
        <v>1256</v>
      </c>
      <c r="N234" s="3">
        <v>14530.32</v>
      </c>
    </row>
    <row r="235" spans="1:14" hidden="1" x14ac:dyDescent="0.35">
      <c r="A235">
        <v>1128</v>
      </c>
      <c r="B235" s="4" t="s">
        <v>246</v>
      </c>
      <c r="C235" s="4" t="s">
        <v>203</v>
      </c>
      <c r="D235" s="4" t="s">
        <v>37</v>
      </c>
      <c r="E235">
        <v>0</v>
      </c>
      <c r="F235" s="3">
        <v>2687.2338</v>
      </c>
      <c r="G235" s="2">
        <v>0.43</v>
      </c>
      <c r="H235" s="3">
        <v>0</v>
      </c>
      <c r="I235" s="1">
        <v>45511</v>
      </c>
      <c r="J235" s="4" t="s">
        <v>23</v>
      </c>
      <c r="K235" s="4" t="s">
        <v>40</v>
      </c>
      <c r="L235" s="3">
        <v>-68.489999999999995</v>
      </c>
      <c r="M235" s="4" t="s">
        <v>1255</v>
      </c>
      <c r="N235" s="3">
        <v>0</v>
      </c>
    </row>
    <row r="236" spans="1:14" x14ac:dyDescent="0.35">
      <c r="A236">
        <v>1129</v>
      </c>
      <c r="B236" s="4" t="s">
        <v>355</v>
      </c>
      <c r="C236" s="4" t="s">
        <v>50</v>
      </c>
      <c r="D236" s="4" t="s">
        <v>16</v>
      </c>
      <c r="E236">
        <v>-2</v>
      </c>
      <c r="F236" s="3">
        <v>2412.36</v>
      </c>
      <c r="G236" s="2">
        <v>0.23</v>
      </c>
      <c r="H236" s="3">
        <v>-3715.03</v>
      </c>
      <c r="I236" s="1">
        <v>45835</v>
      </c>
      <c r="J236" s="4" t="s">
        <v>11</v>
      </c>
      <c r="K236" s="4" t="s">
        <v>8</v>
      </c>
      <c r="L236" s="3">
        <v>-668.36</v>
      </c>
      <c r="M236" s="4" t="s">
        <v>1255</v>
      </c>
      <c r="N236" s="3">
        <v>-4824.72</v>
      </c>
    </row>
    <row r="237" spans="1:14" x14ac:dyDescent="0.35">
      <c r="A237">
        <v>1130</v>
      </c>
      <c r="B237" s="4" t="s">
        <v>77</v>
      </c>
      <c r="C237" s="4" t="s">
        <v>78</v>
      </c>
      <c r="D237" s="4" t="s">
        <v>19</v>
      </c>
      <c r="E237">
        <v>0</v>
      </c>
      <c r="F237" s="3">
        <v>2685.4836</v>
      </c>
      <c r="G237" s="2">
        <v>0.64783415841584202</v>
      </c>
      <c r="H237" s="3">
        <v>0</v>
      </c>
      <c r="I237" s="1">
        <v>45835</v>
      </c>
      <c r="J237" s="4" t="s">
        <v>7</v>
      </c>
      <c r="K237" s="4" t="s">
        <v>12</v>
      </c>
      <c r="L237" s="3">
        <v>2782.45</v>
      </c>
      <c r="M237" s="4" t="s">
        <v>1255</v>
      </c>
      <c r="N237" s="3">
        <v>0</v>
      </c>
    </row>
    <row r="238" spans="1:14" hidden="1" x14ac:dyDescent="0.35">
      <c r="A238">
        <v>1131</v>
      </c>
      <c r="B238" s="4" t="s">
        <v>356</v>
      </c>
      <c r="C238" s="4" t="s">
        <v>255</v>
      </c>
      <c r="D238" s="4" t="s">
        <v>26</v>
      </c>
      <c r="E238">
        <v>5</v>
      </c>
      <c r="F238" s="3">
        <v>2685.7055</v>
      </c>
      <c r="G238" s="2">
        <v>0.99</v>
      </c>
      <c r="H238" s="3">
        <v>0</v>
      </c>
      <c r="I238" s="1">
        <v>45675</v>
      </c>
      <c r="J238" s="4" t="s">
        <v>7</v>
      </c>
      <c r="K238" s="4" t="s">
        <v>40</v>
      </c>
      <c r="L238" s="3">
        <v>-941.56</v>
      </c>
      <c r="M238" s="4" t="s">
        <v>1255</v>
      </c>
      <c r="N238" s="3">
        <v>13428.5275</v>
      </c>
    </row>
    <row r="239" spans="1:14" x14ac:dyDescent="0.35">
      <c r="A239">
        <v>1132</v>
      </c>
      <c r="B239" s="4" t="s">
        <v>79</v>
      </c>
      <c r="C239" s="4" t="s">
        <v>357</v>
      </c>
      <c r="D239" s="4" t="s">
        <v>27</v>
      </c>
      <c r="E239">
        <v>0</v>
      </c>
      <c r="F239" s="3">
        <v>2685.7055</v>
      </c>
      <c r="G239" s="2">
        <v>0.57999999999999996</v>
      </c>
      <c r="H239" s="3">
        <v>0</v>
      </c>
      <c r="I239" s="1">
        <v>45675</v>
      </c>
      <c r="J239" s="4" t="s">
        <v>7</v>
      </c>
      <c r="K239" s="4" t="s">
        <v>12</v>
      </c>
      <c r="L239" s="3">
        <v>2043.57</v>
      </c>
      <c r="M239" s="4" t="s">
        <v>1255</v>
      </c>
      <c r="N239" s="3">
        <v>0</v>
      </c>
    </row>
    <row r="240" spans="1:14" hidden="1" x14ac:dyDescent="0.35">
      <c r="A240">
        <v>1133</v>
      </c>
      <c r="B240" s="4" t="s">
        <v>358</v>
      </c>
      <c r="C240" s="4" t="s">
        <v>61</v>
      </c>
      <c r="D240" s="4" t="s">
        <v>17</v>
      </c>
      <c r="E240">
        <v>0</v>
      </c>
      <c r="F240" s="3">
        <v>2685.7055</v>
      </c>
      <c r="G240" s="2">
        <v>0.6</v>
      </c>
      <c r="H240" s="3">
        <v>0</v>
      </c>
      <c r="I240" s="1">
        <v>45675</v>
      </c>
      <c r="J240" s="4" t="s">
        <v>9</v>
      </c>
      <c r="K240" s="4" t="s">
        <v>40</v>
      </c>
      <c r="L240" s="3">
        <v>806.19</v>
      </c>
      <c r="M240" s="4" t="s">
        <v>1255</v>
      </c>
      <c r="N240" s="3">
        <v>0</v>
      </c>
    </row>
    <row r="241" spans="1:14" x14ac:dyDescent="0.35">
      <c r="A241">
        <v>1134</v>
      </c>
      <c r="B241" s="4" t="s">
        <v>359</v>
      </c>
      <c r="C241" s="4" t="s">
        <v>360</v>
      </c>
      <c r="D241" s="4" t="s">
        <v>25</v>
      </c>
      <c r="E241">
        <v>3</v>
      </c>
      <c r="F241" s="3">
        <v>2685.7055</v>
      </c>
      <c r="G241" s="2">
        <v>0.64755279503105601</v>
      </c>
      <c r="H241" s="3">
        <v>0</v>
      </c>
      <c r="I241" s="1">
        <v>45791</v>
      </c>
      <c r="J241" s="4" t="s">
        <v>7</v>
      </c>
      <c r="K241" s="4" t="s">
        <v>8</v>
      </c>
      <c r="L241" s="3">
        <v>1101.19</v>
      </c>
      <c r="M241" s="4" t="s">
        <v>1255</v>
      </c>
      <c r="N241" s="3">
        <v>8057.1165000000001</v>
      </c>
    </row>
    <row r="242" spans="1:14" x14ac:dyDescent="0.35">
      <c r="A242">
        <v>1135</v>
      </c>
      <c r="B242" s="4" t="s">
        <v>361</v>
      </c>
      <c r="C242" s="4" t="s">
        <v>362</v>
      </c>
      <c r="D242" s="4" t="s">
        <v>22</v>
      </c>
      <c r="E242">
        <v>4</v>
      </c>
      <c r="F242" s="3">
        <v>1556.96</v>
      </c>
      <c r="G242" s="2">
        <v>0.84</v>
      </c>
      <c r="H242" s="3">
        <v>996.45</v>
      </c>
      <c r="I242" s="1">
        <v>45588</v>
      </c>
      <c r="J242" s="4" t="s">
        <v>11</v>
      </c>
      <c r="K242" s="4" t="s">
        <v>12</v>
      </c>
      <c r="L242" s="3">
        <v>1432.84</v>
      </c>
      <c r="M242" s="4" t="s">
        <v>1256</v>
      </c>
      <c r="N242" s="3">
        <v>6227.84</v>
      </c>
    </row>
    <row r="243" spans="1:14" hidden="1" x14ac:dyDescent="0.35">
      <c r="A243">
        <v>1136</v>
      </c>
      <c r="B243" s="4" t="s">
        <v>363</v>
      </c>
      <c r="C243" s="4" t="s">
        <v>149</v>
      </c>
      <c r="D243" s="4" t="s">
        <v>21</v>
      </c>
      <c r="E243">
        <v>0</v>
      </c>
      <c r="F243" s="3">
        <v>3658.42</v>
      </c>
      <c r="G243" s="2">
        <v>0.47</v>
      </c>
      <c r="H243" s="3">
        <v>0</v>
      </c>
      <c r="I243" s="1">
        <v>45318</v>
      </c>
      <c r="J243" s="4" t="s">
        <v>11</v>
      </c>
      <c r="K243" s="4" t="s">
        <v>40</v>
      </c>
      <c r="L243" s="3">
        <v>1897.33</v>
      </c>
      <c r="M243" s="4" t="s">
        <v>1255</v>
      </c>
      <c r="N243" s="3">
        <v>0</v>
      </c>
    </row>
    <row r="244" spans="1:14" x14ac:dyDescent="0.35">
      <c r="A244">
        <v>1137</v>
      </c>
      <c r="B244" s="4" t="s">
        <v>351</v>
      </c>
      <c r="C244" s="4" t="s">
        <v>257</v>
      </c>
      <c r="D244" s="4" t="s">
        <v>22</v>
      </c>
      <c r="E244">
        <v>0</v>
      </c>
      <c r="F244" s="3">
        <v>4206.0600000000004</v>
      </c>
      <c r="G244" s="2">
        <v>0.64753424657534198</v>
      </c>
      <c r="H244" s="3">
        <v>0</v>
      </c>
      <c r="I244" s="1">
        <v>45770</v>
      </c>
      <c r="J244" s="4" t="s">
        <v>7</v>
      </c>
      <c r="K244" s="4" t="s">
        <v>12</v>
      </c>
      <c r="L244" s="3">
        <v>1161.76</v>
      </c>
      <c r="M244" s="4" t="s">
        <v>1255</v>
      </c>
      <c r="N244" s="3">
        <v>0</v>
      </c>
    </row>
    <row r="245" spans="1:14" x14ac:dyDescent="0.35">
      <c r="A245">
        <v>1138</v>
      </c>
      <c r="B245" s="4" t="s">
        <v>50</v>
      </c>
      <c r="C245" s="4" t="s">
        <v>364</v>
      </c>
      <c r="D245" s="4" t="s">
        <v>31</v>
      </c>
      <c r="E245">
        <v>0</v>
      </c>
      <c r="F245" s="3">
        <v>2685.8325</v>
      </c>
      <c r="G245" s="2">
        <v>0.26</v>
      </c>
      <c r="H245" s="3">
        <v>0</v>
      </c>
      <c r="I245" s="1">
        <v>45770</v>
      </c>
      <c r="J245" s="4" t="s">
        <v>23</v>
      </c>
      <c r="K245" s="4" t="s">
        <v>8</v>
      </c>
      <c r="L245" s="3">
        <v>-658.58</v>
      </c>
      <c r="M245" s="4" t="s">
        <v>1255</v>
      </c>
      <c r="N245" s="3">
        <v>0</v>
      </c>
    </row>
    <row r="246" spans="1:14" hidden="1" x14ac:dyDescent="0.35">
      <c r="A246">
        <v>1139</v>
      </c>
      <c r="B246" s="4" t="s">
        <v>365</v>
      </c>
      <c r="C246" s="4" t="s">
        <v>297</v>
      </c>
      <c r="D246" s="4" t="s">
        <v>28</v>
      </c>
      <c r="E246">
        <v>0</v>
      </c>
      <c r="F246" s="3">
        <v>2684.5945000000002</v>
      </c>
      <c r="G246" s="2">
        <v>0.21</v>
      </c>
      <c r="H246" s="3">
        <v>0</v>
      </c>
      <c r="I246" s="1">
        <v>45593</v>
      </c>
      <c r="J246" s="4" t="s">
        <v>18</v>
      </c>
      <c r="K246" s="4" t="s">
        <v>40</v>
      </c>
      <c r="L246" s="3">
        <v>-832.45</v>
      </c>
      <c r="M246" s="4" t="s">
        <v>1255</v>
      </c>
      <c r="N246" s="3">
        <v>0</v>
      </c>
    </row>
    <row r="247" spans="1:14" x14ac:dyDescent="0.35">
      <c r="A247">
        <v>1140</v>
      </c>
      <c r="B247" s="4" t="s">
        <v>366</v>
      </c>
      <c r="C247" s="4" t="s">
        <v>82</v>
      </c>
      <c r="D247" s="4" t="s">
        <v>14</v>
      </c>
      <c r="E247">
        <v>4</v>
      </c>
      <c r="F247" s="3">
        <v>2684.5945000000002</v>
      </c>
      <c r="G247" s="2">
        <v>0.64856429463170995</v>
      </c>
      <c r="H247" s="3">
        <v>0</v>
      </c>
      <c r="I247" s="1">
        <v>45517</v>
      </c>
      <c r="J247" s="4" t="s">
        <v>23</v>
      </c>
      <c r="K247" s="4" t="s">
        <v>12</v>
      </c>
      <c r="L247" s="3">
        <v>-127.91</v>
      </c>
      <c r="M247" s="4" t="s">
        <v>1255</v>
      </c>
      <c r="N247" s="3">
        <v>10738.378000000001</v>
      </c>
    </row>
    <row r="248" spans="1:14" x14ac:dyDescent="0.35">
      <c r="A248">
        <v>1141</v>
      </c>
      <c r="B248" s="4" t="s">
        <v>56</v>
      </c>
      <c r="C248" s="4" t="s">
        <v>367</v>
      </c>
      <c r="D248" s="4" t="s">
        <v>28</v>
      </c>
      <c r="E248">
        <v>0</v>
      </c>
      <c r="F248" s="3">
        <v>2684.5945000000002</v>
      </c>
      <c r="G248" s="2">
        <v>1.1499999999999999</v>
      </c>
      <c r="H248" s="3">
        <v>0</v>
      </c>
      <c r="I248" s="1">
        <v>45401</v>
      </c>
      <c r="J248" s="4" t="s">
        <v>7</v>
      </c>
      <c r="K248" s="4" t="s">
        <v>8</v>
      </c>
      <c r="L248" s="3">
        <v>429.67</v>
      </c>
      <c r="M248" s="4" t="s">
        <v>1255</v>
      </c>
      <c r="N248" s="3">
        <v>0</v>
      </c>
    </row>
    <row r="249" spans="1:14" x14ac:dyDescent="0.35">
      <c r="A249">
        <v>1142</v>
      </c>
      <c r="B249" s="4" t="s">
        <v>328</v>
      </c>
      <c r="C249" s="4" t="s">
        <v>368</v>
      </c>
      <c r="D249" s="4" t="s">
        <v>31</v>
      </c>
      <c r="E249">
        <v>6</v>
      </c>
      <c r="F249" s="3">
        <v>3004.58</v>
      </c>
      <c r="G249" s="2">
        <v>0.64793750000000006</v>
      </c>
      <c r="H249" s="3">
        <v>0</v>
      </c>
      <c r="I249" s="1">
        <v>45344</v>
      </c>
      <c r="J249" s="4" t="s">
        <v>23</v>
      </c>
      <c r="K249" s="4" t="s">
        <v>8</v>
      </c>
      <c r="L249" s="3">
        <v>-509.67</v>
      </c>
      <c r="M249" s="4" t="s">
        <v>1255</v>
      </c>
      <c r="N249" s="3">
        <v>18027.48</v>
      </c>
    </row>
    <row r="250" spans="1:14" hidden="1" x14ac:dyDescent="0.35">
      <c r="A250">
        <v>1143</v>
      </c>
      <c r="B250" s="4" t="s">
        <v>369</v>
      </c>
      <c r="C250" s="4" t="s">
        <v>247</v>
      </c>
      <c r="D250" s="4" t="s">
        <v>30</v>
      </c>
      <c r="E250">
        <v>0</v>
      </c>
      <c r="F250" s="3">
        <v>2684.5945000000002</v>
      </c>
      <c r="G250" s="2">
        <v>0.64793750000000006</v>
      </c>
      <c r="H250" s="3">
        <v>0</v>
      </c>
      <c r="I250" s="1">
        <v>45782</v>
      </c>
      <c r="J250" s="4" t="s">
        <v>18</v>
      </c>
      <c r="K250" s="4" t="s">
        <v>40</v>
      </c>
      <c r="L250" s="3">
        <v>816.49</v>
      </c>
      <c r="M250" s="4" t="s">
        <v>1255</v>
      </c>
      <c r="N250" s="3">
        <v>0</v>
      </c>
    </row>
    <row r="251" spans="1:14" x14ac:dyDescent="0.35">
      <c r="A251">
        <v>1144</v>
      </c>
      <c r="B251" s="4" t="s">
        <v>370</v>
      </c>
      <c r="C251" s="4" t="s">
        <v>162</v>
      </c>
      <c r="D251" s="4" t="s">
        <v>6</v>
      </c>
      <c r="E251">
        <v>0</v>
      </c>
      <c r="F251" s="3">
        <v>2684.3337000000001</v>
      </c>
      <c r="G251" s="2">
        <v>0.19</v>
      </c>
      <c r="H251" s="3">
        <v>0</v>
      </c>
      <c r="I251" s="1">
        <v>45782</v>
      </c>
      <c r="J251" s="4" t="s">
        <v>11</v>
      </c>
      <c r="K251" s="4" t="s">
        <v>8</v>
      </c>
      <c r="L251" s="3">
        <v>2966.21</v>
      </c>
      <c r="M251" s="4" t="s">
        <v>1255</v>
      </c>
      <c r="N251" s="3">
        <v>0</v>
      </c>
    </row>
    <row r="252" spans="1:14" x14ac:dyDescent="0.35">
      <c r="A252">
        <v>1145</v>
      </c>
      <c r="B252" s="4" t="s">
        <v>371</v>
      </c>
      <c r="C252" s="4" t="s">
        <v>203</v>
      </c>
      <c r="D252" s="4" t="s">
        <v>28</v>
      </c>
      <c r="E252">
        <v>-2</v>
      </c>
      <c r="F252" s="3">
        <v>3607.9</v>
      </c>
      <c r="G252" s="2">
        <v>0.94</v>
      </c>
      <c r="H252" s="3">
        <v>-432.95</v>
      </c>
      <c r="I252" s="1">
        <v>45602</v>
      </c>
      <c r="J252" s="4" t="s">
        <v>23</v>
      </c>
      <c r="K252" s="4" t="s">
        <v>12</v>
      </c>
      <c r="L252" s="3">
        <v>-171.58</v>
      </c>
      <c r="M252" s="4" t="s">
        <v>1255</v>
      </c>
      <c r="N252" s="3">
        <v>-7215.8</v>
      </c>
    </row>
    <row r="253" spans="1:14" x14ac:dyDescent="0.35">
      <c r="A253">
        <v>1146</v>
      </c>
      <c r="B253" s="4" t="s">
        <v>372</v>
      </c>
      <c r="C253" s="4" t="s">
        <v>360</v>
      </c>
      <c r="D253" s="4" t="s">
        <v>14</v>
      </c>
      <c r="E253">
        <v>0</v>
      </c>
      <c r="F253" s="3">
        <v>2684.3337000000001</v>
      </c>
      <c r="G253" s="2">
        <v>1.0900000000000001</v>
      </c>
      <c r="H253" s="3">
        <v>0</v>
      </c>
      <c r="I253" s="1">
        <v>45719</v>
      </c>
      <c r="J253" s="4" t="s">
        <v>20</v>
      </c>
      <c r="K253" s="4" t="s">
        <v>8</v>
      </c>
      <c r="L253" s="3">
        <v>-431.7</v>
      </c>
      <c r="M253" s="4" t="s">
        <v>1255</v>
      </c>
      <c r="N253" s="3">
        <v>0</v>
      </c>
    </row>
    <row r="254" spans="1:14" x14ac:dyDescent="0.35">
      <c r="A254">
        <v>1147</v>
      </c>
      <c r="B254" s="4" t="s">
        <v>373</v>
      </c>
      <c r="C254" s="4" t="s">
        <v>78</v>
      </c>
      <c r="D254" s="4" t="s">
        <v>17</v>
      </c>
      <c r="E254">
        <v>0</v>
      </c>
      <c r="F254" s="3">
        <v>2875.46</v>
      </c>
      <c r="G254" s="2">
        <v>0.64759096612296096</v>
      </c>
      <c r="H254" s="3">
        <v>0</v>
      </c>
      <c r="I254" s="1">
        <v>45632</v>
      </c>
      <c r="J254" s="4" t="s">
        <v>7</v>
      </c>
      <c r="K254" s="4" t="s">
        <v>12</v>
      </c>
      <c r="L254" s="3">
        <v>-794.99</v>
      </c>
      <c r="M254" s="4" t="s">
        <v>1255</v>
      </c>
      <c r="N254" s="3">
        <v>0</v>
      </c>
    </row>
    <row r="255" spans="1:14" x14ac:dyDescent="0.35">
      <c r="A255">
        <v>1148</v>
      </c>
      <c r="B255" s="4" t="s">
        <v>49</v>
      </c>
      <c r="C255" s="4" t="s">
        <v>374</v>
      </c>
      <c r="D255" s="4" t="s">
        <v>14</v>
      </c>
      <c r="E255">
        <v>0</v>
      </c>
      <c r="F255" s="3">
        <v>2471.48</v>
      </c>
      <c r="G255" s="2">
        <v>1.1100000000000001</v>
      </c>
      <c r="H255" s="3">
        <v>0</v>
      </c>
      <c r="I255" s="1">
        <v>45680</v>
      </c>
      <c r="J255" s="4" t="s">
        <v>11</v>
      </c>
      <c r="K255" s="4" t="s">
        <v>8</v>
      </c>
      <c r="L255" s="3">
        <v>2247.9</v>
      </c>
      <c r="M255" s="4" t="s">
        <v>1255</v>
      </c>
      <c r="N255" s="3">
        <v>0</v>
      </c>
    </row>
    <row r="256" spans="1:14" x14ac:dyDescent="0.35">
      <c r="A256">
        <v>1149</v>
      </c>
      <c r="B256" s="4" t="s">
        <v>375</v>
      </c>
      <c r="C256" s="4" t="s">
        <v>207</v>
      </c>
      <c r="D256" s="4" t="s">
        <v>31</v>
      </c>
      <c r="E256">
        <v>2</v>
      </c>
      <c r="F256" s="3">
        <v>2683.4236999999998</v>
      </c>
      <c r="G256" s="2">
        <v>0.64701005025125602</v>
      </c>
      <c r="H256" s="3">
        <v>0</v>
      </c>
      <c r="I256" s="1">
        <v>45570</v>
      </c>
      <c r="J256" s="4" t="s">
        <v>23</v>
      </c>
      <c r="K256" s="4" t="s">
        <v>12</v>
      </c>
      <c r="L256" s="3">
        <v>562.69000000000005</v>
      </c>
      <c r="M256" s="4" t="s">
        <v>1255</v>
      </c>
      <c r="N256" s="3">
        <v>5366.8473999999997</v>
      </c>
    </row>
    <row r="257" spans="1:14" x14ac:dyDescent="0.35">
      <c r="A257">
        <v>1150</v>
      </c>
      <c r="B257" s="4" t="s">
        <v>213</v>
      </c>
      <c r="C257" s="4" t="s">
        <v>376</v>
      </c>
      <c r="D257" s="4" t="s">
        <v>19</v>
      </c>
      <c r="E257">
        <v>0</v>
      </c>
      <c r="F257" s="3">
        <v>1554.9</v>
      </c>
      <c r="G257" s="2">
        <v>0.64701005025125602</v>
      </c>
      <c r="H257" s="3">
        <v>0</v>
      </c>
      <c r="I257" s="1">
        <v>45582</v>
      </c>
      <c r="J257" s="4" t="s">
        <v>9</v>
      </c>
      <c r="K257" s="4" t="s">
        <v>8</v>
      </c>
      <c r="L257" s="3">
        <v>457.65</v>
      </c>
      <c r="M257" s="4" t="s">
        <v>1255</v>
      </c>
      <c r="N257" s="3">
        <v>0</v>
      </c>
    </row>
    <row r="258" spans="1:14" x14ac:dyDescent="0.35">
      <c r="A258">
        <v>1151</v>
      </c>
      <c r="B258" s="4" t="s">
        <v>166</v>
      </c>
      <c r="C258" s="4" t="s">
        <v>307</v>
      </c>
      <c r="D258" s="4" t="s">
        <v>21</v>
      </c>
      <c r="E258">
        <v>4</v>
      </c>
      <c r="F258" s="3">
        <v>2266.44</v>
      </c>
      <c r="G258" s="2">
        <v>0.33</v>
      </c>
      <c r="H258" s="3">
        <v>6074.06</v>
      </c>
      <c r="I258" s="1">
        <v>45855</v>
      </c>
      <c r="J258" s="4" t="s">
        <v>20</v>
      </c>
      <c r="K258" s="4" t="s">
        <v>8</v>
      </c>
      <c r="L258" s="3">
        <v>-655.45</v>
      </c>
      <c r="M258" s="4" t="s">
        <v>1256</v>
      </c>
      <c r="N258" s="3">
        <v>9065.76</v>
      </c>
    </row>
    <row r="259" spans="1:14" hidden="1" x14ac:dyDescent="0.35">
      <c r="A259">
        <v>1152</v>
      </c>
      <c r="B259" s="4" t="s">
        <v>228</v>
      </c>
      <c r="C259" s="4" t="s">
        <v>377</v>
      </c>
      <c r="D259" s="4" t="s">
        <v>38</v>
      </c>
      <c r="E259">
        <v>1</v>
      </c>
      <c r="F259" s="3">
        <v>2684.5198</v>
      </c>
      <c r="G259" s="2">
        <v>1.26</v>
      </c>
      <c r="H259" s="3">
        <v>0</v>
      </c>
      <c r="I259" s="1">
        <v>45599</v>
      </c>
      <c r="J259" s="4" t="s">
        <v>20</v>
      </c>
      <c r="K259" s="4" t="s">
        <v>40</v>
      </c>
      <c r="L259" s="3">
        <v>454.45</v>
      </c>
      <c r="M259" s="4" t="s">
        <v>1255</v>
      </c>
      <c r="N259" s="3">
        <v>2684.5198</v>
      </c>
    </row>
    <row r="260" spans="1:14" x14ac:dyDescent="0.35">
      <c r="A260">
        <v>1153</v>
      </c>
      <c r="B260" s="4" t="s">
        <v>162</v>
      </c>
      <c r="C260" s="4" t="s">
        <v>336</v>
      </c>
      <c r="D260" s="4" t="s">
        <v>14</v>
      </c>
      <c r="E260">
        <v>1</v>
      </c>
      <c r="F260" s="3">
        <v>478.59</v>
      </c>
      <c r="G260" s="2">
        <v>0.64663727959697703</v>
      </c>
      <c r="H260" s="3">
        <v>0</v>
      </c>
      <c r="I260" s="1">
        <v>45641</v>
      </c>
      <c r="J260" s="4" t="s">
        <v>7</v>
      </c>
      <c r="K260" s="4" t="s">
        <v>12</v>
      </c>
      <c r="L260" s="3">
        <v>-681.2</v>
      </c>
      <c r="M260" s="4" t="s">
        <v>1255</v>
      </c>
      <c r="N260" s="3">
        <v>478.59</v>
      </c>
    </row>
    <row r="261" spans="1:14" x14ac:dyDescent="0.35">
      <c r="A261">
        <v>1154</v>
      </c>
      <c r="B261" s="4" t="s">
        <v>224</v>
      </c>
      <c r="C261" s="4" t="s">
        <v>378</v>
      </c>
      <c r="D261" s="4" t="s">
        <v>33</v>
      </c>
      <c r="E261">
        <v>0</v>
      </c>
      <c r="F261" s="3">
        <v>2684.8618999999999</v>
      </c>
      <c r="G261" s="2">
        <v>0.64663727959697703</v>
      </c>
      <c r="H261" s="3">
        <v>0</v>
      </c>
      <c r="I261" s="1">
        <v>45575</v>
      </c>
      <c r="J261" s="4" t="s">
        <v>18</v>
      </c>
      <c r="K261" s="4" t="s">
        <v>8</v>
      </c>
      <c r="L261" s="3">
        <v>52.85</v>
      </c>
      <c r="M261" s="4" t="s">
        <v>1255</v>
      </c>
      <c r="N261" s="3">
        <v>0</v>
      </c>
    </row>
    <row r="262" spans="1:14" hidden="1" x14ac:dyDescent="0.35">
      <c r="A262">
        <v>1155</v>
      </c>
      <c r="B262" s="4" t="s">
        <v>379</v>
      </c>
      <c r="C262" s="4" t="s">
        <v>380</v>
      </c>
      <c r="D262" s="4" t="s">
        <v>38</v>
      </c>
      <c r="E262">
        <v>0</v>
      </c>
      <c r="F262" s="3">
        <v>2686.6689000000001</v>
      </c>
      <c r="G262" s="2">
        <v>0.64</v>
      </c>
      <c r="H262" s="3">
        <v>0</v>
      </c>
      <c r="I262" s="1">
        <v>45604</v>
      </c>
      <c r="J262" s="4" t="s">
        <v>11</v>
      </c>
      <c r="K262" s="4" t="s">
        <v>40</v>
      </c>
      <c r="L262" s="3">
        <v>2493.12</v>
      </c>
      <c r="M262" s="4" t="s">
        <v>1255</v>
      </c>
      <c r="N262" s="3">
        <v>0</v>
      </c>
    </row>
    <row r="263" spans="1:14" hidden="1" x14ac:dyDescent="0.35">
      <c r="A263">
        <v>1156</v>
      </c>
      <c r="B263" s="4" t="s">
        <v>113</v>
      </c>
      <c r="C263" s="4" t="s">
        <v>257</v>
      </c>
      <c r="D263" s="4" t="s">
        <v>25</v>
      </c>
      <c r="E263">
        <v>3</v>
      </c>
      <c r="F263" s="3">
        <v>2686.6689000000001</v>
      </c>
      <c r="G263" s="2">
        <v>0.93</v>
      </c>
      <c r="H263" s="3">
        <v>0</v>
      </c>
      <c r="I263" s="1">
        <v>45604</v>
      </c>
      <c r="J263" s="4" t="s">
        <v>7</v>
      </c>
      <c r="K263" s="4" t="s">
        <v>40</v>
      </c>
      <c r="L263" s="3">
        <v>1699.17</v>
      </c>
      <c r="M263" s="4" t="s">
        <v>1255</v>
      </c>
      <c r="N263" s="3">
        <v>8060.0066999999999</v>
      </c>
    </row>
    <row r="264" spans="1:14" x14ac:dyDescent="0.35">
      <c r="A264">
        <v>1157</v>
      </c>
      <c r="B264" s="4" t="s">
        <v>381</v>
      </c>
      <c r="C264" s="4" t="s">
        <v>307</v>
      </c>
      <c r="D264" s="4" t="s">
        <v>32</v>
      </c>
      <c r="E264">
        <v>6</v>
      </c>
      <c r="F264" s="3">
        <v>645.03</v>
      </c>
      <c r="G264" s="2">
        <v>0.64628787878787897</v>
      </c>
      <c r="H264" s="3">
        <v>0</v>
      </c>
      <c r="I264" s="1">
        <v>45833</v>
      </c>
      <c r="J264" s="4" t="s">
        <v>9</v>
      </c>
      <c r="K264" s="4" t="s">
        <v>8</v>
      </c>
      <c r="L264" s="3">
        <v>2724.92</v>
      </c>
      <c r="M264" s="4" t="s">
        <v>1255</v>
      </c>
      <c r="N264" s="3">
        <v>3870.18</v>
      </c>
    </row>
    <row r="265" spans="1:14" x14ac:dyDescent="0.35">
      <c r="A265">
        <v>1158</v>
      </c>
      <c r="B265" s="4" t="s">
        <v>382</v>
      </c>
      <c r="C265" s="4" t="s">
        <v>345</v>
      </c>
      <c r="D265" s="4" t="s">
        <v>25</v>
      </c>
      <c r="E265">
        <v>0</v>
      </c>
      <c r="F265" s="3">
        <v>4516.08</v>
      </c>
      <c r="G265" s="2">
        <v>0.64628787878787897</v>
      </c>
      <c r="H265" s="3">
        <v>0</v>
      </c>
      <c r="I265" s="1">
        <v>45844</v>
      </c>
      <c r="J265" s="4" t="s">
        <v>7</v>
      </c>
      <c r="K265" s="4" t="s">
        <v>12</v>
      </c>
      <c r="L265" s="3">
        <v>2164.9499999999998</v>
      </c>
      <c r="M265" s="4" t="s">
        <v>1255</v>
      </c>
      <c r="N265" s="3">
        <v>0</v>
      </c>
    </row>
    <row r="266" spans="1:14" x14ac:dyDescent="0.35">
      <c r="A266">
        <v>1159</v>
      </c>
      <c r="B266" s="4" t="s">
        <v>224</v>
      </c>
      <c r="C266" s="4" t="s">
        <v>383</v>
      </c>
      <c r="D266" s="4" t="s">
        <v>22</v>
      </c>
      <c r="E266">
        <v>0</v>
      </c>
      <c r="F266" s="3">
        <v>3335.18</v>
      </c>
      <c r="G266" s="2">
        <v>0.09</v>
      </c>
      <c r="H266" s="3">
        <v>0</v>
      </c>
      <c r="I266" s="1">
        <v>45844</v>
      </c>
      <c r="J266" s="4" t="s">
        <v>9</v>
      </c>
      <c r="K266" s="4" t="s">
        <v>8</v>
      </c>
      <c r="L266" s="3">
        <v>235.11</v>
      </c>
      <c r="M266" s="4" t="s">
        <v>1255</v>
      </c>
      <c r="N266" s="3">
        <v>0</v>
      </c>
    </row>
    <row r="267" spans="1:14" hidden="1" x14ac:dyDescent="0.35">
      <c r="A267">
        <v>1160</v>
      </c>
      <c r="B267" s="4" t="s">
        <v>384</v>
      </c>
      <c r="C267" s="4" t="s">
        <v>385</v>
      </c>
      <c r="D267" s="4" t="s">
        <v>17</v>
      </c>
      <c r="E267">
        <v>0</v>
      </c>
      <c r="F267" s="3">
        <v>2686.8429999999998</v>
      </c>
      <c r="G267" s="2">
        <v>0.77</v>
      </c>
      <c r="H267" s="3">
        <v>0</v>
      </c>
      <c r="I267" s="1">
        <v>45607</v>
      </c>
      <c r="J267" s="4" t="s">
        <v>23</v>
      </c>
      <c r="K267" s="4" t="s">
        <v>40</v>
      </c>
      <c r="L267" s="3">
        <v>-711.19</v>
      </c>
      <c r="M267" s="4" t="s">
        <v>1255</v>
      </c>
      <c r="N267" s="3">
        <v>0</v>
      </c>
    </row>
    <row r="268" spans="1:14" hidden="1" x14ac:dyDescent="0.35">
      <c r="A268">
        <v>1161</v>
      </c>
      <c r="B268" s="4" t="s">
        <v>81</v>
      </c>
      <c r="C268" s="4" t="s">
        <v>386</v>
      </c>
      <c r="D268" s="4" t="s">
        <v>26</v>
      </c>
      <c r="E268">
        <v>0</v>
      </c>
      <c r="F268" s="3">
        <v>1801.91</v>
      </c>
      <c r="G268" s="2">
        <v>0.64683544303797402</v>
      </c>
      <c r="H268" s="3">
        <v>0</v>
      </c>
      <c r="I268" s="1">
        <v>45352</v>
      </c>
      <c r="J268" s="4" t="s">
        <v>11</v>
      </c>
      <c r="K268" s="4" t="s">
        <v>40</v>
      </c>
      <c r="L268" s="3">
        <v>502.86</v>
      </c>
      <c r="M268" s="4" t="s">
        <v>1255</v>
      </c>
      <c r="N268" s="3">
        <v>0</v>
      </c>
    </row>
    <row r="269" spans="1:14" x14ac:dyDescent="0.35">
      <c r="A269">
        <v>1162</v>
      </c>
      <c r="B269" s="4" t="s">
        <v>65</v>
      </c>
      <c r="C269" s="4" t="s">
        <v>387</v>
      </c>
      <c r="D269" s="4" t="s">
        <v>29</v>
      </c>
      <c r="E269">
        <v>4</v>
      </c>
      <c r="F269" s="3">
        <v>2686.3107</v>
      </c>
      <c r="G269" s="2">
        <v>0.14000000000000001</v>
      </c>
      <c r="H269" s="3">
        <v>0</v>
      </c>
      <c r="I269" s="1">
        <v>45621</v>
      </c>
      <c r="J269" s="4" t="s">
        <v>11</v>
      </c>
      <c r="K269" s="4" t="s">
        <v>8</v>
      </c>
      <c r="L269" s="3">
        <v>2566.0500000000002</v>
      </c>
      <c r="M269" s="4" t="s">
        <v>1255</v>
      </c>
      <c r="N269" s="3">
        <v>10745.2428</v>
      </c>
    </row>
    <row r="270" spans="1:14" x14ac:dyDescent="0.35">
      <c r="A270">
        <v>1163</v>
      </c>
      <c r="B270" s="4" t="s">
        <v>388</v>
      </c>
      <c r="C270" s="4" t="s">
        <v>118</v>
      </c>
      <c r="D270" s="4" t="s">
        <v>19</v>
      </c>
      <c r="E270">
        <v>0</v>
      </c>
      <c r="F270" s="3">
        <v>1033.58</v>
      </c>
      <c r="G270" s="2">
        <v>0.68</v>
      </c>
      <c r="H270" s="3">
        <v>0</v>
      </c>
      <c r="I270" s="1">
        <v>45666</v>
      </c>
      <c r="J270" s="4" t="s">
        <v>18</v>
      </c>
      <c r="K270" s="4" t="s">
        <v>8</v>
      </c>
      <c r="L270" s="3">
        <v>-441.46</v>
      </c>
      <c r="M270" s="4" t="s">
        <v>1255</v>
      </c>
      <c r="N270" s="3">
        <v>0</v>
      </c>
    </row>
    <row r="271" spans="1:14" x14ac:dyDescent="0.35">
      <c r="A271">
        <v>1164</v>
      </c>
      <c r="B271" s="4" t="s">
        <v>375</v>
      </c>
      <c r="C271" s="4" t="s">
        <v>389</v>
      </c>
      <c r="D271" s="4" t="s">
        <v>19</v>
      </c>
      <c r="E271">
        <v>5</v>
      </c>
      <c r="F271" s="3">
        <v>2687.0374000000002</v>
      </c>
      <c r="G271" s="2">
        <v>0.64743654822334995</v>
      </c>
      <c r="H271" s="3">
        <v>0</v>
      </c>
      <c r="I271" s="1">
        <v>45666</v>
      </c>
      <c r="J271" s="4" t="s">
        <v>23</v>
      </c>
      <c r="K271" s="4" t="s">
        <v>12</v>
      </c>
      <c r="L271" s="3">
        <v>598.79</v>
      </c>
      <c r="M271" s="4" t="s">
        <v>1255</v>
      </c>
      <c r="N271" s="3">
        <v>13435.187</v>
      </c>
    </row>
    <row r="272" spans="1:14" x14ac:dyDescent="0.35">
      <c r="A272">
        <v>1165</v>
      </c>
      <c r="B272" s="4" t="s">
        <v>134</v>
      </c>
      <c r="C272" s="4" t="s">
        <v>205</v>
      </c>
      <c r="D272" s="4" t="s">
        <v>26</v>
      </c>
      <c r="E272">
        <v>2</v>
      </c>
      <c r="F272" s="3">
        <v>2688.3971000000001</v>
      </c>
      <c r="G272" s="2">
        <v>0.08</v>
      </c>
      <c r="H272" s="3">
        <v>0</v>
      </c>
      <c r="I272" s="1">
        <v>45569</v>
      </c>
      <c r="J272" s="4" t="s">
        <v>18</v>
      </c>
      <c r="K272" s="4" t="s">
        <v>12</v>
      </c>
      <c r="L272" s="3">
        <v>-102.32</v>
      </c>
      <c r="M272" s="4" t="s">
        <v>1255</v>
      </c>
      <c r="N272" s="3">
        <v>5376.7942000000003</v>
      </c>
    </row>
    <row r="273" spans="1:14" hidden="1" x14ac:dyDescent="0.35">
      <c r="A273">
        <v>1166</v>
      </c>
      <c r="B273" s="4" t="s">
        <v>262</v>
      </c>
      <c r="C273" s="4" t="s">
        <v>149</v>
      </c>
      <c r="D273" s="4" t="s">
        <v>27</v>
      </c>
      <c r="E273">
        <v>0</v>
      </c>
      <c r="F273" s="3">
        <v>2688.3971000000001</v>
      </c>
      <c r="G273" s="2">
        <v>0.91</v>
      </c>
      <c r="H273" s="3">
        <v>0</v>
      </c>
      <c r="I273" s="1">
        <v>45165</v>
      </c>
      <c r="J273" s="4" t="s">
        <v>9</v>
      </c>
      <c r="K273" s="4" t="s">
        <v>40</v>
      </c>
      <c r="L273" s="3">
        <v>285.44</v>
      </c>
      <c r="M273" s="4" t="s">
        <v>1255</v>
      </c>
      <c r="N273" s="3">
        <v>0</v>
      </c>
    </row>
    <row r="274" spans="1:14" hidden="1" x14ac:dyDescent="0.35">
      <c r="A274">
        <v>1167</v>
      </c>
      <c r="B274" s="4" t="s">
        <v>224</v>
      </c>
      <c r="C274" s="4" t="s">
        <v>336</v>
      </c>
      <c r="D274" s="4" t="s">
        <v>37</v>
      </c>
      <c r="E274">
        <v>0</v>
      </c>
      <c r="F274" s="3">
        <v>4595.8999999999996</v>
      </c>
      <c r="G274" s="2">
        <v>0.09</v>
      </c>
      <c r="H274" s="3">
        <v>0</v>
      </c>
      <c r="I274" s="1">
        <v>45791</v>
      </c>
      <c r="J274" s="4" t="s">
        <v>18</v>
      </c>
      <c r="K274" s="4" t="s">
        <v>40</v>
      </c>
      <c r="L274" s="3">
        <v>-653.79999999999995</v>
      </c>
      <c r="M274" s="4" t="s">
        <v>1255</v>
      </c>
      <c r="N274" s="3">
        <v>0</v>
      </c>
    </row>
    <row r="275" spans="1:14" hidden="1" x14ac:dyDescent="0.35">
      <c r="A275">
        <v>1168</v>
      </c>
      <c r="B275" s="4" t="s">
        <v>390</v>
      </c>
      <c r="C275" s="4" t="s">
        <v>391</v>
      </c>
      <c r="D275" s="4" t="s">
        <v>19</v>
      </c>
      <c r="E275">
        <v>0</v>
      </c>
      <c r="F275" s="3">
        <v>3655.71</v>
      </c>
      <c r="G275" s="2">
        <v>0.48</v>
      </c>
      <c r="H275" s="3">
        <v>0</v>
      </c>
      <c r="I275" s="1">
        <v>45609</v>
      </c>
      <c r="J275" s="4" t="s">
        <v>23</v>
      </c>
      <c r="K275" s="4" t="s">
        <v>40</v>
      </c>
      <c r="L275" s="3">
        <v>2024.15</v>
      </c>
      <c r="M275" s="4" t="s">
        <v>1255</v>
      </c>
      <c r="N275" s="3">
        <v>0</v>
      </c>
    </row>
    <row r="276" spans="1:14" hidden="1" x14ac:dyDescent="0.35">
      <c r="A276">
        <v>1169</v>
      </c>
      <c r="B276" s="4" t="s">
        <v>392</v>
      </c>
      <c r="C276" s="4" t="s">
        <v>393</v>
      </c>
      <c r="D276" s="4" t="s">
        <v>26</v>
      </c>
      <c r="E276">
        <v>-1</v>
      </c>
      <c r="F276" s="3">
        <v>2948.26</v>
      </c>
      <c r="G276" s="2">
        <v>0.9</v>
      </c>
      <c r="H276" s="3">
        <v>-294.83</v>
      </c>
      <c r="I276" s="1">
        <v>45609</v>
      </c>
      <c r="J276" s="4" t="s">
        <v>20</v>
      </c>
      <c r="K276" s="4" t="s">
        <v>40</v>
      </c>
      <c r="L276" s="3">
        <v>1285.1500000000001</v>
      </c>
      <c r="M276" s="4" t="s">
        <v>1255</v>
      </c>
      <c r="N276" s="3">
        <v>-2948.26</v>
      </c>
    </row>
    <row r="277" spans="1:14" x14ac:dyDescent="0.35">
      <c r="A277">
        <v>1170</v>
      </c>
      <c r="B277" s="4" t="s">
        <v>394</v>
      </c>
      <c r="C277" s="4" t="s">
        <v>395</v>
      </c>
      <c r="D277" s="4" t="s">
        <v>21</v>
      </c>
      <c r="E277">
        <v>0</v>
      </c>
      <c r="F277" s="3">
        <v>2686.0291000000002</v>
      </c>
      <c r="G277" s="2">
        <v>0.76</v>
      </c>
      <c r="H277" s="3">
        <v>0</v>
      </c>
      <c r="I277" s="1">
        <v>45609</v>
      </c>
      <c r="J277" s="4" t="s">
        <v>7</v>
      </c>
      <c r="K277" s="4" t="s">
        <v>8</v>
      </c>
      <c r="L277" s="3">
        <v>-528.70000000000005</v>
      </c>
      <c r="M277" s="4" t="s">
        <v>1255</v>
      </c>
      <c r="N277" s="3">
        <v>0</v>
      </c>
    </row>
    <row r="278" spans="1:14" x14ac:dyDescent="0.35">
      <c r="A278">
        <v>1171</v>
      </c>
      <c r="B278" s="4" t="s">
        <v>139</v>
      </c>
      <c r="C278" s="4" t="s">
        <v>149</v>
      </c>
      <c r="D278" s="4" t="s">
        <v>21</v>
      </c>
      <c r="E278">
        <v>1</v>
      </c>
      <c r="F278" s="3">
        <v>2685.8128999999999</v>
      </c>
      <c r="G278" s="2">
        <v>0.64828644501278798</v>
      </c>
      <c r="H278" s="3">
        <v>0</v>
      </c>
      <c r="I278" s="1">
        <v>45824</v>
      </c>
      <c r="J278" s="4" t="s">
        <v>20</v>
      </c>
      <c r="K278" s="4" t="s">
        <v>12</v>
      </c>
      <c r="L278" s="3">
        <v>2475.83</v>
      </c>
      <c r="M278" s="4" t="s">
        <v>1255</v>
      </c>
      <c r="N278" s="3">
        <v>2685.8128999999999</v>
      </c>
    </row>
    <row r="279" spans="1:14" x14ac:dyDescent="0.35">
      <c r="A279">
        <v>1172</v>
      </c>
      <c r="B279" s="4" t="s">
        <v>396</v>
      </c>
      <c r="C279" s="4" t="s">
        <v>80</v>
      </c>
      <c r="D279" s="4" t="s">
        <v>10</v>
      </c>
      <c r="E279">
        <v>-2</v>
      </c>
      <c r="F279" s="3">
        <v>2719.32</v>
      </c>
      <c r="G279" s="2">
        <v>0.64828644501278798</v>
      </c>
      <c r="H279" s="3">
        <v>0</v>
      </c>
      <c r="I279" s="1">
        <v>45779</v>
      </c>
      <c r="J279" s="4" t="s">
        <v>23</v>
      </c>
      <c r="K279" s="4" t="s">
        <v>8</v>
      </c>
      <c r="L279" s="3">
        <v>655.1</v>
      </c>
      <c r="M279" s="4" t="s">
        <v>1255</v>
      </c>
      <c r="N279" s="3">
        <v>-5438.64</v>
      </c>
    </row>
    <row r="280" spans="1:14" hidden="1" x14ac:dyDescent="0.35">
      <c r="A280">
        <v>1173</v>
      </c>
      <c r="B280" s="4" t="s">
        <v>45</v>
      </c>
      <c r="C280" s="4" t="s">
        <v>397</v>
      </c>
      <c r="D280" s="4" t="s">
        <v>16</v>
      </c>
      <c r="E280">
        <v>0</v>
      </c>
      <c r="F280" s="3">
        <v>4063.39</v>
      </c>
      <c r="G280" s="2">
        <v>0.64828644501278798</v>
      </c>
      <c r="H280" s="3">
        <v>0</v>
      </c>
      <c r="I280" s="1">
        <v>45779</v>
      </c>
      <c r="J280" s="4" t="s">
        <v>18</v>
      </c>
      <c r="K280" s="4" t="s">
        <v>40</v>
      </c>
      <c r="L280" s="3">
        <v>2034.39</v>
      </c>
      <c r="M280" s="4" t="s">
        <v>1255</v>
      </c>
      <c r="N280" s="3">
        <v>0</v>
      </c>
    </row>
    <row r="281" spans="1:14" hidden="1" x14ac:dyDescent="0.35">
      <c r="A281">
        <v>1174</v>
      </c>
      <c r="B281" s="4" t="s">
        <v>398</v>
      </c>
      <c r="C281" s="4" t="s">
        <v>399</v>
      </c>
      <c r="D281" s="4" t="s">
        <v>34</v>
      </c>
      <c r="E281">
        <v>6</v>
      </c>
      <c r="F281" s="3">
        <v>4984.6499999999996</v>
      </c>
      <c r="G281" s="2">
        <v>0.42</v>
      </c>
      <c r="H281" s="3">
        <v>17346.580000000002</v>
      </c>
      <c r="I281" s="1">
        <v>45649</v>
      </c>
      <c r="J281" s="4" t="s">
        <v>18</v>
      </c>
      <c r="K281" s="4" t="s">
        <v>40</v>
      </c>
      <c r="L281" s="3">
        <v>2931.32</v>
      </c>
      <c r="M281" s="4" t="s">
        <v>1256</v>
      </c>
      <c r="N281" s="3">
        <v>29907.9</v>
      </c>
    </row>
    <row r="282" spans="1:14" x14ac:dyDescent="0.35">
      <c r="A282">
        <v>1175</v>
      </c>
      <c r="B282" s="4" t="s">
        <v>192</v>
      </c>
      <c r="C282" s="4" t="s">
        <v>329</v>
      </c>
      <c r="D282" s="4" t="s">
        <v>17</v>
      </c>
      <c r="E282">
        <v>3</v>
      </c>
      <c r="F282" s="3">
        <v>2684.6477</v>
      </c>
      <c r="G282" s="2">
        <v>0.64857874519846304</v>
      </c>
      <c r="H282" s="3">
        <v>0</v>
      </c>
      <c r="I282" s="1">
        <v>45566</v>
      </c>
      <c r="J282" s="4" t="s">
        <v>9</v>
      </c>
      <c r="K282" s="4" t="s">
        <v>8</v>
      </c>
      <c r="L282" s="3">
        <v>728.61</v>
      </c>
      <c r="M282" s="4" t="s">
        <v>1255</v>
      </c>
      <c r="N282" s="3">
        <v>8053.9431000000004</v>
      </c>
    </row>
    <row r="283" spans="1:14" x14ac:dyDescent="0.35">
      <c r="A283">
        <v>1176</v>
      </c>
      <c r="B283" s="4" t="s">
        <v>400</v>
      </c>
      <c r="C283" s="4" t="s">
        <v>309</v>
      </c>
      <c r="D283" s="4" t="s">
        <v>16</v>
      </c>
      <c r="E283">
        <v>6</v>
      </c>
      <c r="F283" s="3">
        <v>2682.7467999999999</v>
      </c>
      <c r="G283" s="2">
        <v>0.87</v>
      </c>
      <c r="H283" s="3">
        <v>0</v>
      </c>
      <c r="I283" s="1">
        <v>45566</v>
      </c>
      <c r="J283" s="4" t="s">
        <v>11</v>
      </c>
      <c r="K283" s="4" t="s">
        <v>12</v>
      </c>
      <c r="L283" s="3">
        <v>-879.15</v>
      </c>
      <c r="M283" s="4" t="s">
        <v>1255</v>
      </c>
      <c r="N283" s="3">
        <v>16096.480799999999</v>
      </c>
    </row>
    <row r="284" spans="1:14" x14ac:dyDescent="0.35">
      <c r="A284">
        <v>1177</v>
      </c>
      <c r="B284" s="4" t="s">
        <v>185</v>
      </c>
      <c r="C284" s="4" t="s">
        <v>401</v>
      </c>
      <c r="D284" s="4" t="s">
        <v>21</v>
      </c>
      <c r="E284">
        <v>0</v>
      </c>
      <c r="F284" s="3">
        <v>2426.13</v>
      </c>
      <c r="G284" s="2">
        <v>0.648294871794872</v>
      </c>
      <c r="H284" s="3">
        <v>0</v>
      </c>
      <c r="I284" s="1">
        <v>45746</v>
      </c>
      <c r="J284" s="4" t="s">
        <v>9</v>
      </c>
      <c r="K284" s="4" t="s">
        <v>8</v>
      </c>
      <c r="L284" s="3">
        <v>353.91</v>
      </c>
      <c r="M284" s="4" t="s">
        <v>1255</v>
      </c>
      <c r="N284" s="3">
        <v>0</v>
      </c>
    </row>
    <row r="285" spans="1:14" hidden="1" x14ac:dyDescent="0.35">
      <c r="A285">
        <v>1178</v>
      </c>
      <c r="B285" s="4" t="s">
        <v>134</v>
      </c>
      <c r="C285" s="4" t="s">
        <v>203</v>
      </c>
      <c r="D285" s="4" t="s">
        <v>15</v>
      </c>
      <c r="E285">
        <v>4</v>
      </c>
      <c r="F285" s="3">
        <v>1204.5899999999999</v>
      </c>
      <c r="G285" s="2">
        <v>0.648294871794872</v>
      </c>
      <c r="H285" s="3">
        <v>0</v>
      </c>
      <c r="I285" s="1">
        <v>45746</v>
      </c>
      <c r="J285" s="4" t="s">
        <v>23</v>
      </c>
      <c r="K285" s="4" t="s">
        <v>40</v>
      </c>
      <c r="L285" s="3">
        <v>2161.64</v>
      </c>
      <c r="M285" s="4" t="s">
        <v>1255</v>
      </c>
      <c r="N285" s="3">
        <v>4818.3599999999997</v>
      </c>
    </row>
    <row r="286" spans="1:14" x14ac:dyDescent="0.35">
      <c r="A286">
        <v>1179</v>
      </c>
      <c r="B286" s="4" t="s">
        <v>319</v>
      </c>
      <c r="C286" s="4" t="s">
        <v>307</v>
      </c>
      <c r="D286" s="4" t="s">
        <v>27</v>
      </c>
      <c r="E286">
        <v>0</v>
      </c>
      <c r="F286" s="3">
        <v>2682.9591</v>
      </c>
      <c r="G286" s="2">
        <v>0.648294871794872</v>
      </c>
      <c r="H286" s="3">
        <v>0</v>
      </c>
      <c r="I286" s="1">
        <v>45751</v>
      </c>
      <c r="J286" s="4" t="s">
        <v>11</v>
      </c>
      <c r="K286" s="4" t="s">
        <v>8</v>
      </c>
      <c r="L286" s="3">
        <v>510.53</v>
      </c>
      <c r="M286" s="4" t="s">
        <v>1255</v>
      </c>
      <c r="N286" s="3">
        <v>0</v>
      </c>
    </row>
    <row r="287" spans="1:14" x14ac:dyDescent="0.35">
      <c r="A287">
        <v>1180</v>
      </c>
      <c r="B287" s="4" t="s">
        <v>264</v>
      </c>
      <c r="C287" s="4" t="s">
        <v>257</v>
      </c>
      <c r="D287" s="4" t="s">
        <v>31</v>
      </c>
      <c r="E287">
        <v>6</v>
      </c>
      <c r="F287" s="3">
        <v>2495.96</v>
      </c>
      <c r="G287" s="2">
        <v>0.648294871794872</v>
      </c>
      <c r="H287" s="3">
        <v>0</v>
      </c>
      <c r="I287" s="1">
        <v>45751</v>
      </c>
      <c r="J287" s="4" t="s">
        <v>23</v>
      </c>
      <c r="K287" s="4" t="s">
        <v>8</v>
      </c>
      <c r="L287" s="3">
        <v>835.4</v>
      </c>
      <c r="M287" s="4" t="s">
        <v>1255</v>
      </c>
      <c r="N287" s="3">
        <v>14975.76</v>
      </c>
    </row>
    <row r="288" spans="1:14" x14ac:dyDescent="0.35">
      <c r="A288">
        <v>1181</v>
      </c>
      <c r="B288" s="4" t="s">
        <v>93</v>
      </c>
      <c r="C288" s="4" t="s">
        <v>402</v>
      </c>
      <c r="D288" s="4" t="s">
        <v>27</v>
      </c>
      <c r="E288">
        <v>0</v>
      </c>
      <c r="F288" s="3">
        <v>2684.1828999999998</v>
      </c>
      <c r="G288" s="2">
        <v>0.648294871794872</v>
      </c>
      <c r="H288" s="3">
        <v>0</v>
      </c>
      <c r="I288" s="1">
        <v>45732</v>
      </c>
      <c r="J288" s="4" t="s">
        <v>11</v>
      </c>
      <c r="K288" s="4" t="s">
        <v>12</v>
      </c>
      <c r="L288" s="3">
        <v>2564.06</v>
      </c>
      <c r="M288" s="4" t="s">
        <v>1255</v>
      </c>
      <c r="N288" s="3">
        <v>0</v>
      </c>
    </row>
    <row r="289" spans="1:14" hidden="1" x14ac:dyDescent="0.35">
      <c r="A289">
        <v>1182</v>
      </c>
      <c r="B289" s="4" t="s">
        <v>79</v>
      </c>
      <c r="C289" s="4" t="s">
        <v>403</v>
      </c>
      <c r="D289" s="4" t="s">
        <v>6</v>
      </c>
      <c r="E289">
        <v>-1</v>
      </c>
      <c r="F289" s="3">
        <v>2684.3388</v>
      </c>
      <c r="G289" s="2">
        <v>0.648294871794872</v>
      </c>
      <c r="H289" s="3">
        <v>0</v>
      </c>
      <c r="I289" s="1">
        <v>45510</v>
      </c>
      <c r="J289" s="4" t="s">
        <v>20</v>
      </c>
      <c r="K289" s="4" t="s">
        <v>40</v>
      </c>
      <c r="L289" s="3">
        <v>-747.25</v>
      </c>
      <c r="M289" s="4" t="s">
        <v>1255</v>
      </c>
      <c r="N289" s="3">
        <v>-2684.3388</v>
      </c>
    </row>
    <row r="290" spans="1:14" hidden="1" x14ac:dyDescent="0.35">
      <c r="A290">
        <v>1183</v>
      </c>
      <c r="B290" s="4" t="s">
        <v>338</v>
      </c>
      <c r="C290" s="4" t="s">
        <v>404</v>
      </c>
      <c r="D290" s="4" t="s">
        <v>33</v>
      </c>
      <c r="E290">
        <v>6</v>
      </c>
      <c r="F290" s="3">
        <v>2372.3000000000002</v>
      </c>
      <c r="G290" s="2">
        <v>0.648294871794872</v>
      </c>
      <c r="H290" s="3">
        <v>0</v>
      </c>
      <c r="I290" s="1">
        <v>45378</v>
      </c>
      <c r="J290" s="4" t="s">
        <v>7</v>
      </c>
      <c r="K290" s="4" t="s">
        <v>40</v>
      </c>
      <c r="L290" s="3">
        <v>1888.87</v>
      </c>
      <c r="M290" s="4" t="s">
        <v>1255</v>
      </c>
      <c r="N290" s="3">
        <v>14233.8</v>
      </c>
    </row>
    <row r="291" spans="1:14" x14ac:dyDescent="0.35">
      <c r="A291">
        <v>1184</v>
      </c>
      <c r="B291" s="4" t="s">
        <v>280</v>
      </c>
      <c r="C291" s="4" t="s">
        <v>405</v>
      </c>
      <c r="D291" s="4" t="s">
        <v>32</v>
      </c>
      <c r="E291">
        <v>0</v>
      </c>
      <c r="F291" s="3">
        <v>2697.1</v>
      </c>
      <c r="G291" s="2">
        <v>0.648294871794872</v>
      </c>
      <c r="H291" s="3">
        <v>0</v>
      </c>
      <c r="I291" s="1">
        <v>45829</v>
      </c>
      <c r="J291" s="4" t="s">
        <v>7</v>
      </c>
      <c r="K291" s="4" t="s">
        <v>12</v>
      </c>
      <c r="L291" s="3">
        <v>1518.99</v>
      </c>
      <c r="M291" s="4" t="s">
        <v>1255</v>
      </c>
      <c r="N291" s="3">
        <v>0</v>
      </c>
    </row>
    <row r="292" spans="1:14" x14ac:dyDescent="0.35">
      <c r="A292">
        <v>1185</v>
      </c>
      <c r="B292" s="4" t="s">
        <v>406</v>
      </c>
      <c r="C292" s="4" t="s">
        <v>407</v>
      </c>
      <c r="D292" s="4" t="s">
        <v>14</v>
      </c>
      <c r="E292">
        <v>0</v>
      </c>
      <c r="F292" s="3">
        <v>2684.5976000000001</v>
      </c>
      <c r="G292" s="2">
        <v>0.648294871794872</v>
      </c>
      <c r="H292" s="3">
        <v>0</v>
      </c>
      <c r="I292" s="1">
        <v>45791</v>
      </c>
      <c r="J292" s="4" t="s">
        <v>7</v>
      </c>
      <c r="K292" s="4" t="s">
        <v>8</v>
      </c>
      <c r="L292" s="3">
        <v>-445.19</v>
      </c>
      <c r="M292" s="4" t="s">
        <v>1255</v>
      </c>
      <c r="N292" s="3">
        <v>0</v>
      </c>
    </row>
    <row r="293" spans="1:14" x14ac:dyDescent="0.35">
      <c r="A293">
        <v>1186</v>
      </c>
      <c r="B293" s="4" t="s">
        <v>328</v>
      </c>
      <c r="C293" s="4" t="s">
        <v>408</v>
      </c>
      <c r="D293" s="4" t="s">
        <v>16</v>
      </c>
      <c r="E293">
        <v>6</v>
      </c>
      <c r="F293" s="3">
        <v>2684.5871999999999</v>
      </c>
      <c r="G293" s="2">
        <v>0.71</v>
      </c>
      <c r="H293" s="3">
        <v>0</v>
      </c>
      <c r="I293" s="1">
        <v>45820</v>
      </c>
      <c r="J293" s="4" t="s">
        <v>18</v>
      </c>
      <c r="K293" s="4" t="s">
        <v>12</v>
      </c>
      <c r="L293" s="3">
        <v>-40.479999999999997</v>
      </c>
      <c r="M293" s="4" t="s">
        <v>1255</v>
      </c>
      <c r="N293" s="3">
        <v>16107.5232</v>
      </c>
    </row>
    <row r="294" spans="1:14" x14ac:dyDescent="0.35">
      <c r="A294">
        <v>1187</v>
      </c>
      <c r="B294" s="4" t="s">
        <v>292</v>
      </c>
      <c r="C294" s="4" t="s">
        <v>82</v>
      </c>
      <c r="D294" s="4" t="s">
        <v>14</v>
      </c>
      <c r="E294">
        <v>3</v>
      </c>
      <c r="F294" s="3">
        <v>3810.89</v>
      </c>
      <c r="G294" s="2">
        <v>0.64821566110397899</v>
      </c>
      <c r="H294" s="3">
        <v>0</v>
      </c>
      <c r="I294" s="1">
        <v>45820</v>
      </c>
      <c r="J294" s="4" t="s">
        <v>11</v>
      </c>
      <c r="K294" s="4" t="s">
        <v>8</v>
      </c>
      <c r="L294" s="3">
        <v>1153.72</v>
      </c>
      <c r="M294" s="4" t="s">
        <v>1255</v>
      </c>
      <c r="N294" s="3">
        <v>11432.67</v>
      </c>
    </row>
    <row r="295" spans="1:14" hidden="1" x14ac:dyDescent="0.35">
      <c r="A295">
        <v>1188</v>
      </c>
      <c r="B295" s="4" t="s">
        <v>69</v>
      </c>
      <c r="C295" s="4" t="s">
        <v>409</v>
      </c>
      <c r="D295" s="4" t="s">
        <v>14</v>
      </c>
      <c r="E295">
        <v>6</v>
      </c>
      <c r="F295" s="3">
        <v>4910.28</v>
      </c>
      <c r="G295" s="2">
        <v>0.12</v>
      </c>
      <c r="H295" s="3">
        <v>25926.28</v>
      </c>
      <c r="I295" s="1">
        <v>45531</v>
      </c>
      <c r="J295" s="4" t="s">
        <v>18</v>
      </c>
      <c r="K295" s="4" t="s">
        <v>40</v>
      </c>
      <c r="L295" s="3">
        <v>2089.25</v>
      </c>
      <c r="M295" s="4" t="s">
        <v>1256</v>
      </c>
      <c r="N295" s="3">
        <v>29461.68</v>
      </c>
    </row>
    <row r="296" spans="1:14" hidden="1" x14ac:dyDescent="0.35">
      <c r="A296">
        <v>1189</v>
      </c>
      <c r="B296" s="4" t="s">
        <v>185</v>
      </c>
      <c r="C296" s="4" t="s">
        <v>149</v>
      </c>
      <c r="D296" s="4" t="s">
        <v>37</v>
      </c>
      <c r="E296">
        <v>0</v>
      </c>
      <c r="F296" s="3">
        <v>4808.1000000000004</v>
      </c>
      <c r="G296" s="2">
        <v>0.64889460154241596</v>
      </c>
      <c r="H296" s="3">
        <v>0</v>
      </c>
      <c r="I296" s="1">
        <v>45685</v>
      </c>
      <c r="J296" s="4" t="s">
        <v>9</v>
      </c>
      <c r="K296" s="4" t="s">
        <v>40</v>
      </c>
      <c r="L296" s="3">
        <v>392.87</v>
      </c>
      <c r="M296" s="4" t="s">
        <v>1255</v>
      </c>
      <c r="N296" s="3">
        <v>0</v>
      </c>
    </row>
    <row r="297" spans="1:14" x14ac:dyDescent="0.35">
      <c r="A297">
        <v>1190</v>
      </c>
      <c r="B297" s="4" t="s">
        <v>410</v>
      </c>
      <c r="C297" s="4" t="s">
        <v>411</v>
      </c>
      <c r="D297" s="4" t="s">
        <v>10</v>
      </c>
      <c r="E297">
        <v>0</v>
      </c>
      <c r="F297" s="3">
        <v>2681.8008</v>
      </c>
      <c r="G297" s="2">
        <v>0.63</v>
      </c>
      <c r="H297" s="3">
        <v>0</v>
      </c>
      <c r="I297" s="1">
        <v>45804</v>
      </c>
      <c r="J297" s="4" t="s">
        <v>20</v>
      </c>
      <c r="K297" s="4" t="s">
        <v>12</v>
      </c>
      <c r="L297" s="3">
        <v>75.040000000000006</v>
      </c>
      <c r="M297" s="4" t="s">
        <v>1255</v>
      </c>
      <c r="N297" s="3">
        <v>0</v>
      </c>
    </row>
    <row r="298" spans="1:14" x14ac:dyDescent="0.35">
      <c r="A298">
        <v>1191</v>
      </c>
      <c r="B298" s="4" t="s">
        <v>93</v>
      </c>
      <c r="C298" s="4" t="s">
        <v>412</v>
      </c>
      <c r="D298" s="4" t="s">
        <v>14</v>
      </c>
      <c r="E298">
        <v>0</v>
      </c>
      <c r="F298" s="3">
        <v>2469.87</v>
      </c>
      <c r="G298" s="2">
        <v>0.56000000000000005</v>
      </c>
      <c r="H298" s="3">
        <v>0</v>
      </c>
      <c r="I298" s="1">
        <v>45804</v>
      </c>
      <c r="J298" s="4" t="s">
        <v>11</v>
      </c>
      <c r="K298" s="4" t="s">
        <v>8</v>
      </c>
      <c r="L298" s="3">
        <v>2860.2</v>
      </c>
      <c r="M298" s="4" t="s">
        <v>1255</v>
      </c>
      <c r="N298" s="3">
        <v>0</v>
      </c>
    </row>
    <row r="299" spans="1:14" x14ac:dyDescent="0.35">
      <c r="A299">
        <v>1193</v>
      </c>
      <c r="B299" s="4" t="s">
        <v>172</v>
      </c>
      <c r="C299" s="4" t="s">
        <v>374</v>
      </c>
      <c r="D299" s="4" t="s">
        <v>17</v>
      </c>
      <c r="E299">
        <v>0</v>
      </c>
      <c r="F299" s="3">
        <v>3031.06</v>
      </c>
      <c r="G299" s="2">
        <v>0.64903350515463898</v>
      </c>
      <c r="H299" s="3">
        <v>0</v>
      </c>
      <c r="I299" s="1">
        <v>45512</v>
      </c>
      <c r="J299" s="4" t="s">
        <v>20</v>
      </c>
      <c r="K299" s="4" t="s">
        <v>12</v>
      </c>
      <c r="L299" s="3">
        <v>-682.74</v>
      </c>
      <c r="M299" s="4" t="s">
        <v>1255</v>
      </c>
      <c r="N299" s="3">
        <v>0</v>
      </c>
    </row>
    <row r="300" spans="1:14" x14ac:dyDescent="0.35">
      <c r="A300">
        <v>1195</v>
      </c>
      <c r="B300" s="4" t="s">
        <v>172</v>
      </c>
      <c r="C300" s="4" t="s">
        <v>413</v>
      </c>
      <c r="D300" s="4" t="s">
        <v>25</v>
      </c>
      <c r="E300">
        <v>0</v>
      </c>
      <c r="F300" s="3">
        <v>2679.9144999999999</v>
      </c>
      <c r="G300" s="2">
        <v>1.2</v>
      </c>
      <c r="H300" s="3">
        <v>0</v>
      </c>
      <c r="I300" s="1">
        <v>45847</v>
      </c>
      <c r="J300" s="4" t="s">
        <v>11</v>
      </c>
      <c r="K300" s="4" t="s">
        <v>8</v>
      </c>
      <c r="L300" s="3">
        <v>1059.17</v>
      </c>
      <c r="M300" s="4" t="s">
        <v>1255</v>
      </c>
      <c r="N300" s="3">
        <v>0</v>
      </c>
    </row>
    <row r="301" spans="1:14" x14ac:dyDescent="0.35">
      <c r="A301">
        <v>1196</v>
      </c>
      <c r="B301" s="4" t="s">
        <v>121</v>
      </c>
      <c r="C301" s="4" t="s">
        <v>414</v>
      </c>
      <c r="D301" s="4" t="s">
        <v>6</v>
      </c>
      <c r="E301">
        <v>0</v>
      </c>
      <c r="F301" s="3">
        <v>3959.06</v>
      </c>
      <c r="G301" s="2">
        <v>0.37</v>
      </c>
      <c r="H301" s="3">
        <v>0</v>
      </c>
      <c r="I301" s="1">
        <v>45791</v>
      </c>
      <c r="J301" s="4" t="s">
        <v>23</v>
      </c>
      <c r="K301" s="4" t="s">
        <v>12</v>
      </c>
      <c r="L301" s="3">
        <v>1539.5</v>
      </c>
      <c r="M301" s="4" t="s">
        <v>1255</v>
      </c>
      <c r="N301" s="3">
        <v>0</v>
      </c>
    </row>
    <row r="302" spans="1:14" x14ac:dyDescent="0.35">
      <c r="A302">
        <v>1197</v>
      </c>
      <c r="B302" s="4" t="s">
        <v>381</v>
      </c>
      <c r="C302" s="4" t="s">
        <v>415</v>
      </c>
      <c r="D302" s="4" t="s">
        <v>30</v>
      </c>
      <c r="E302">
        <v>1</v>
      </c>
      <c r="F302" s="3">
        <v>2679.9144999999999</v>
      </c>
      <c r="G302" s="2">
        <v>0.64868217054263599</v>
      </c>
      <c r="H302" s="3">
        <v>0</v>
      </c>
      <c r="I302" s="1">
        <v>45791</v>
      </c>
      <c r="J302" s="4" t="s">
        <v>23</v>
      </c>
      <c r="K302" s="4" t="s">
        <v>12</v>
      </c>
      <c r="L302" s="3">
        <v>650.97</v>
      </c>
      <c r="M302" s="4" t="s">
        <v>1255</v>
      </c>
      <c r="N302" s="3">
        <v>2679.9144999999999</v>
      </c>
    </row>
    <row r="303" spans="1:14" x14ac:dyDescent="0.35">
      <c r="A303">
        <v>1198</v>
      </c>
      <c r="B303" s="4" t="s">
        <v>372</v>
      </c>
      <c r="C303" s="4" t="s">
        <v>416</v>
      </c>
      <c r="D303" s="4" t="s">
        <v>19</v>
      </c>
      <c r="E303">
        <v>3</v>
      </c>
      <c r="F303" s="3">
        <v>3594.97</v>
      </c>
      <c r="G303" s="2">
        <v>0.64868217054263599</v>
      </c>
      <c r="H303" s="3">
        <v>0</v>
      </c>
      <c r="I303" s="1">
        <v>45764</v>
      </c>
      <c r="J303" s="4" t="s">
        <v>7</v>
      </c>
      <c r="K303" s="4" t="s">
        <v>8</v>
      </c>
      <c r="L303" s="3">
        <v>2422.27</v>
      </c>
      <c r="M303" s="4" t="s">
        <v>1255</v>
      </c>
      <c r="N303" s="3">
        <v>10784.91</v>
      </c>
    </row>
    <row r="304" spans="1:14" hidden="1" x14ac:dyDescent="0.35">
      <c r="A304">
        <v>1199</v>
      </c>
      <c r="B304" s="4" t="s">
        <v>417</v>
      </c>
      <c r="C304" s="4" t="s">
        <v>255</v>
      </c>
      <c r="D304" s="4" t="s">
        <v>29</v>
      </c>
      <c r="E304">
        <v>0</v>
      </c>
      <c r="F304" s="3">
        <v>2317.1</v>
      </c>
      <c r="G304" s="2">
        <v>0.64868217054263599</v>
      </c>
      <c r="H304" s="3">
        <v>0</v>
      </c>
      <c r="I304" s="1">
        <v>45690</v>
      </c>
      <c r="J304" s="4" t="s">
        <v>18</v>
      </c>
      <c r="K304" s="4" t="s">
        <v>40</v>
      </c>
      <c r="L304" s="3">
        <v>2637.77</v>
      </c>
      <c r="M304" s="4" t="s">
        <v>1255</v>
      </c>
      <c r="N304" s="3">
        <v>0</v>
      </c>
    </row>
    <row r="305" spans="1:14" x14ac:dyDescent="0.35">
      <c r="A305">
        <v>1200</v>
      </c>
      <c r="B305" s="4" t="s">
        <v>81</v>
      </c>
      <c r="C305" s="4" t="s">
        <v>418</v>
      </c>
      <c r="D305" s="4" t="s">
        <v>22</v>
      </c>
      <c r="E305">
        <v>4</v>
      </c>
      <c r="F305" s="3">
        <v>2678.0828999999999</v>
      </c>
      <c r="G305" s="2">
        <v>0.64868217054263599</v>
      </c>
      <c r="H305" s="3">
        <v>0</v>
      </c>
      <c r="I305" s="1">
        <v>45690</v>
      </c>
      <c r="J305" s="4" t="s">
        <v>23</v>
      </c>
      <c r="K305" s="4" t="s">
        <v>8</v>
      </c>
      <c r="L305" s="3">
        <v>2782.21</v>
      </c>
      <c r="M305" s="4" t="s">
        <v>1255</v>
      </c>
      <c r="N305" s="3">
        <v>10712.3316</v>
      </c>
    </row>
    <row r="306" spans="1:14" x14ac:dyDescent="0.35">
      <c r="A306">
        <v>1201</v>
      </c>
      <c r="B306" s="4" t="s">
        <v>419</v>
      </c>
      <c r="C306" s="4" t="s">
        <v>420</v>
      </c>
      <c r="D306" s="4" t="s">
        <v>27</v>
      </c>
      <c r="E306">
        <v>2</v>
      </c>
      <c r="F306" s="3">
        <v>3507.85</v>
      </c>
      <c r="G306" s="2">
        <v>0.64868217054263599</v>
      </c>
      <c r="H306" s="3">
        <v>0</v>
      </c>
      <c r="I306" s="1">
        <v>45667</v>
      </c>
      <c r="J306" s="4" t="s">
        <v>20</v>
      </c>
      <c r="K306" s="4" t="s">
        <v>12</v>
      </c>
      <c r="L306" s="3">
        <v>1023.04</v>
      </c>
      <c r="M306" s="4" t="s">
        <v>1255</v>
      </c>
      <c r="N306" s="3">
        <v>7015.7</v>
      </c>
    </row>
    <row r="307" spans="1:14" x14ac:dyDescent="0.35">
      <c r="A307">
        <v>1202</v>
      </c>
      <c r="B307" s="4" t="s">
        <v>145</v>
      </c>
      <c r="C307" s="4" t="s">
        <v>175</v>
      </c>
      <c r="D307" s="4" t="s">
        <v>19</v>
      </c>
      <c r="E307">
        <v>0</v>
      </c>
      <c r="F307" s="3">
        <v>2678.3845000000001</v>
      </c>
      <c r="G307" s="2">
        <v>0.64868217054263599</v>
      </c>
      <c r="H307" s="3">
        <v>0</v>
      </c>
      <c r="I307" s="1">
        <v>45739</v>
      </c>
      <c r="J307" s="4" t="s">
        <v>18</v>
      </c>
      <c r="K307" s="4" t="s">
        <v>8</v>
      </c>
      <c r="L307" s="3">
        <v>-207.53</v>
      </c>
      <c r="M307" s="4" t="s">
        <v>1255</v>
      </c>
      <c r="N307" s="3">
        <v>0</v>
      </c>
    </row>
    <row r="308" spans="1:14" x14ac:dyDescent="0.35">
      <c r="A308">
        <v>1203</v>
      </c>
      <c r="B308" s="4" t="s">
        <v>145</v>
      </c>
      <c r="C308" s="4" t="s">
        <v>337</v>
      </c>
      <c r="D308" s="4" t="s">
        <v>15</v>
      </c>
      <c r="E308">
        <v>5</v>
      </c>
      <c r="F308" s="3">
        <v>2677.6909999999998</v>
      </c>
      <c r="G308" s="2">
        <v>0.64868217054263599</v>
      </c>
      <c r="H308" s="3">
        <v>0</v>
      </c>
      <c r="I308" s="1">
        <v>45671</v>
      </c>
      <c r="J308" s="4" t="s">
        <v>23</v>
      </c>
      <c r="K308" s="4" t="s">
        <v>8</v>
      </c>
      <c r="L308" s="3">
        <v>657.59</v>
      </c>
      <c r="M308" s="4" t="s">
        <v>1255</v>
      </c>
      <c r="N308" s="3">
        <v>13388.455</v>
      </c>
    </row>
    <row r="309" spans="1:14" x14ac:dyDescent="0.35">
      <c r="A309">
        <v>1204</v>
      </c>
      <c r="B309" s="4" t="s">
        <v>164</v>
      </c>
      <c r="C309" s="4" t="s">
        <v>301</v>
      </c>
      <c r="D309" s="4" t="s">
        <v>38</v>
      </c>
      <c r="E309">
        <v>0</v>
      </c>
      <c r="F309" s="3">
        <v>4213.3999999999996</v>
      </c>
      <c r="G309" s="2">
        <v>0.64868217054263599</v>
      </c>
      <c r="H309" s="3">
        <v>0</v>
      </c>
      <c r="I309" s="1">
        <v>45608</v>
      </c>
      <c r="J309" s="4" t="s">
        <v>20</v>
      </c>
      <c r="K309" s="4" t="s">
        <v>12</v>
      </c>
      <c r="L309" s="3">
        <v>1867.53</v>
      </c>
      <c r="M309" s="4" t="s">
        <v>1255</v>
      </c>
      <c r="N309" s="3">
        <v>0</v>
      </c>
    </row>
    <row r="310" spans="1:14" x14ac:dyDescent="0.35">
      <c r="A310">
        <v>1205</v>
      </c>
      <c r="B310" s="4" t="s">
        <v>262</v>
      </c>
      <c r="C310" s="4" t="s">
        <v>61</v>
      </c>
      <c r="D310" s="4" t="s">
        <v>6</v>
      </c>
      <c r="E310">
        <v>0</v>
      </c>
      <c r="F310" s="3">
        <v>696.49</v>
      </c>
      <c r="G310" s="2">
        <v>0.64868217054263599</v>
      </c>
      <c r="H310" s="3">
        <v>0</v>
      </c>
      <c r="I310" s="1">
        <v>45819</v>
      </c>
      <c r="J310" s="4" t="s">
        <v>7</v>
      </c>
      <c r="K310" s="4" t="s">
        <v>8</v>
      </c>
      <c r="L310" s="3">
        <v>-24.51</v>
      </c>
      <c r="M310" s="4" t="s">
        <v>1255</v>
      </c>
      <c r="N310" s="3">
        <v>0</v>
      </c>
    </row>
    <row r="311" spans="1:14" hidden="1" x14ac:dyDescent="0.35">
      <c r="A311">
        <v>1206</v>
      </c>
      <c r="B311" s="4" t="s">
        <v>421</v>
      </c>
      <c r="C311" s="4" t="s">
        <v>236</v>
      </c>
      <c r="D311" s="4" t="s">
        <v>26</v>
      </c>
      <c r="E311">
        <v>0</v>
      </c>
      <c r="F311" s="3">
        <v>2676.4059000000002</v>
      </c>
      <c r="G311" s="2">
        <v>0.64868217054263599</v>
      </c>
      <c r="H311" s="3">
        <v>0</v>
      </c>
      <c r="I311" s="1">
        <v>45747</v>
      </c>
      <c r="J311" s="4" t="s">
        <v>23</v>
      </c>
      <c r="K311" s="4" t="s">
        <v>40</v>
      </c>
      <c r="L311" s="3">
        <v>2472.2399999999998</v>
      </c>
      <c r="M311" s="4" t="s">
        <v>1255</v>
      </c>
      <c r="N311" s="3">
        <v>0</v>
      </c>
    </row>
    <row r="312" spans="1:14" x14ac:dyDescent="0.35">
      <c r="A312">
        <v>1207</v>
      </c>
      <c r="B312" s="4" t="s">
        <v>422</v>
      </c>
      <c r="C312" s="4" t="s">
        <v>423</v>
      </c>
      <c r="D312" s="4" t="s">
        <v>21</v>
      </c>
      <c r="E312">
        <v>0</v>
      </c>
      <c r="F312" s="3">
        <v>563.14</v>
      </c>
      <c r="G312" s="2">
        <v>0.33</v>
      </c>
      <c r="H312" s="3">
        <v>0</v>
      </c>
      <c r="I312" s="1">
        <v>45433</v>
      </c>
      <c r="J312" s="4" t="s">
        <v>9</v>
      </c>
      <c r="K312" s="4" t="s">
        <v>12</v>
      </c>
      <c r="L312" s="3">
        <v>945.7</v>
      </c>
      <c r="M312" s="4" t="s">
        <v>1255</v>
      </c>
      <c r="N312" s="3">
        <v>0</v>
      </c>
    </row>
    <row r="313" spans="1:14" hidden="1" x14ac:dyDescent="0.35">
      <c r="A313">
        <v>1208</v>
      </c>
      <c r="B313" s="4" t="s">
        <v>424</v>
      </c>
      <c r="C313" s="4" t="s">
        <v>425</v>
      </c>
      <c r="D313" s="4" t="s">
        <v>30</v>
      </c>
      <c r="E313">
        <v>1</v>
      </c>
      <c r="F313" s="3">
        <v>2678.0641000000001</v>
      </c>
      <c r="G313" s="2">
        <v>0.64909443725743798</v>
      </c>
      <c r="H313" s="3">
        <v>0</v>
      </c>
      <c r="I313" s="1">
        <v>45667</v>
      </c>
      <c r="J313" s="4" t="s">
        <v>11</v>
      </c>
      <c r="K313" s="4" t="s">
        <v>40</v>
      </c>
      <c r="L313" s="3">
        <v>648.73</v>
      </c>
      <c r="M313" s="4" t="s">
        <v>1255</v>
      </c>
      <c r="N313" s="3">
        <v>2678.0641000000001</v>
      </c>
    </row>
    <row r="314" spans="1:14" hidden="1" x14ac:dyDescent="0.35">
      <c r="A314">
        <v>1209</v>
      </c>
      <c r="B314" s="4" t="s">
        <v>426</v>
      </c>
      <c r="C314" s="4" t="s">
        <v>427</v>
      </c>
      <c r="D314" s="4" t="s">
        <v>33</v>
      </c>
      <c r="E314">
        <v>0</v>
      </c>
      <c r="F314" s="3">
        <v>4029.87</v>
      </c>
      <c r="G314" s="2">
        <v>0.64909443725743798</v>
      </c>
      <c r="H314" s="3">
        <v>0</v>
      </c>
      <c r="I314" s="1">
        <v>45666</v>
      </c>
      <c r="J314" s="4" t="s">
        <v>9</v>
      </c>
      <c r="K314" s="4" t="s">
        <v>40</v>
      </c>
      <c r="L314" s="3">
        <v>1447.79</v>
      </c>
      <c r="M314" s="4" t="s">
        <v>1255</v>
      </c>
      <c r="N314" s="3">
        <v>0</v>
      </c>
    </row>
    <row r="315" spans="1:14" hidden="1" x14ac:dyDescent="0.35">
      <c r="A315">
        <v>1210</v>
      </c>
      <c r="B315" s="4" t="s">
        <v>189</v>
      </c>
      <c r="C315" s="4" t="s">
        <v>352</v>
      </c>
      <c r="D315" s="4" t="s">
        <v>33</v>
      </c>
      <c r="E315">
        <v>4</v>
      </c>
      <c r="F315" s="3">
        <v>2679.8368999999998</v>
      </c>
      <c r="G315" s="2">
        <v>1.1599999999999999</v>
      </c>
      <c r="H315" s="3">
        <v>0</v>
      </c>
      <c r="I315" s="1">
        <v>45803</v>
      </c>
      <c r="J315" s="4" t="s">
        <v>7</v>
      </c>
      <c r="K315" s="4" t="s">
        <v>40</v>
      </c>
      <c r="L315" s="3">
        <v>2179.54</v>
      </c>
      <c r="M315" s="4" t="s">
        <v>1255</v>
      </c>
      <c r="N315" s="3">
        <v>10719.347599999999</v>
      </c>
    </row>
    <row r="316" spans="1:14" x14ac:dyDescent="0.35">
      <c r="A316">
        <v>1211</v>
      </c>
      <c r="B316" s="4" t="s">
        <v>428</v>
      </c>
      <c r="C316" s="4" t="s">
        <v>429</v>
      </c>
      <c r="D316" s="4" t="s">
        <v>32</v>
      </c>
      <c r="E316">
        <v>0</v>
      </c>
      <c r="F316" s="3">
        <v>1560.37</v>
      </c>
      <c r="G316" s="2">
        <v>0.64843264248704602</v>
      </c>
      <c r="H316" s="3">
        <v>0</v>
      </c>
      <c r="I316" s="1">
        <v>45630</v>
      </c>
      <c r="J316" s="4" t="s">
        <v>9</v>
      </c>
      <c r="K316" s="4" t="s">
        <v>8</v>
      </c>
      <c r="L316" s="3">
        <v>2783.91</v>
      </c>
      <c r="M316" s="4" t="s">
        <v>1255</v>
      </c>
      <c r="N316" s="3">
        <v>0</v>
      </c>
    </row>
    <row r="317" spans="1:14" hidden="1" x14ac:dyDescent="0.35">
      <c r="A317">
        <v>1212</v>
      </c>
      <c r="B317" s="4" t="s">
        <v>430</v>
      </c>
      <c r="C317" s="4" t="s">
        <v>431</v>
      </c>
      <c r="D317" s="4" t="s">
        <v>38</v>
      </c>
      <c r="E317">
        <v>-1</v>
      </c>
      <c r="F317" s="3">
        <v>4098.12</v>
      </c>
      <c r="G317" s="2">
        <v>0.64843264248704602</v>
      </c>
      <c r="H317" s="3">
        <v>0</v>
      </c>
      <c r="I317" s="1">
        <v>45582</v>
      </c>
      <c r="J317" s="4" t="s">
        <v>23</v>
      </c>
      <c r="K317" s="4" t="s">
        <v>40</v>
      </c>
      <c r="L317" s="3">
        <v>-656.35</v>
      </c>
      <c r="M317" s="4" t="s">
        <v>1255</v>
      </c>
      <c r="N317" s="3">
        <v>-4098.12</v>
      </c>
    </row>
    <row r="318" spans="1:14" hidden="1" x14ac:dyDescent="0.35">
      <c r="A318">
        <v>1213</v>
      </c>
      <c r="B318" s="4" t="s">
        <v>432</v>
      </c>
      <c r="C318" s="4" t="s">
        <v>433</v>
      </c>
      <c r="D318" s="4" t="s">
        <v>26</v>
      </c>
      <c r="E318">
        <v>0</v>
      </c>
      <c r="F318" s="3">
        <v>2679.6433000000002</v>
      </c>
      <c r="G318" s="2">
        <v>0.64843264248704602</v>
      </c>
      <c r="H318" s="3">
        <v>0</v>
      </c>
      <c r="I318" s="1">
        <v>45684</v>
      </c>
      <c r="J318" s="4" t="s">
        <v>9</v>
      </c>
      <c r="K318" s="4" t="s">
        <v>40</v>
      </c>
      <c r="L318" s="3">
        <v>1093.98</v>
      </c>
      <c r="M318" s="4" t="s">
        <v>1255</v>
      </c>
      <c r="N318" s="3">
        <v>0</v>
      </c>
    </row>
    <row r="319" spans="1:14" x14ac:dyDescent="0.35">
      <c r="A319">
        <v>1214</v>
      </c>
      <c r="B319" s="4" t="s">
        <v>434</v>
      </c>
      <c r="C319" s="4" t="s">
        <v>74</v>
      </c>
      <c r="D319" s="4" t="s">
        <v>34</v>
      </c>
      <c r="E319">
        <v>4</v>
      </c>
      <c r="F319" s="3">
        <v>1273.5999999999999</v>
      </c>
      <c r="G319" s="2">
        <v>0.64843264248704602</v>
      </c>
      <c r="H319" s="3">
        <v>0</v>
      </c>
      <c r="I319" s="1">
        <v>45826</v>
      </c>
      <c r="J319" s="4" t="s">
        <v>23</v>
      </c>
      <c r="K319" s="4" t="s">
        <v>8</v>
      </c>
      <c r="L319" s="3">
        <v>1851.89</v>
      </c>
      <c r="M319" s="4" t="s">
        <v>1255</v>
      </c>
      <c r="N319" s="3">
        <v>5094.3999999999996</v>
      </c>
    </row>
    <row r="320" spans="1:14" x14ac:dyDescent="0.35">
      <c r="A320">
        <v>1215</v>
      </c>
      <c r="B320" s="4" t="s">
        <v>435</v>
      </c>
      <c r="C320" s="4" t="s">
        <v>436</v>
      </c>
      <c r="D320" s="4" t="s">
        <v>26</v>
      </c>
      <c r="E320">
        <v>6</v>
      </c>
      <c r="F320" s="3">
        <v>3802.27</v>
      </c>
      <c r="G320" s="2">
        <v>0.64843264248704602</v>
      </c>
      <c r="H320" s="3">
        <v>0</v>
      </c>
      <c r="I320" s="1">
        <v>45826</v>
      </c>
      <c r="J320" s="4" t="s">
        <v>9</v>
      </c>
      <c r="K320" s="4" t="s">
        <v>8</v>
      </c>
      <c r="L320" s="3">
        <v>-266.99</v>
      </c>
      <c r="M320" s="4" t="s">
        <v>1255</v>
      </c>
      <c r="N320" s="3">
        <v>22813.62</v>
      </c>
    </row>
    <row r="321" spans="1:14" x14ac:dyDescent="0.35">
      <c r="A321">
        <v>1216</v>
      </c>
      <c r="B321" s="4" t="s">
        <v>200</v>
      </c>
      <c r="C321" s="4" t="s">
        <v>437</v>
      </c>
      <c r="D321" s="4" t="s">
        <v>26</v>
      </c>
      <c r="E321">
        <v>6</v>
      </c>
      <c r="F321" s="3">
        <v>2679.6327999999999</v>
      </c>
      <c r="G321" s="2">
        <v>1.17</v>
      </c>
      <c r="H321" s="3">
        <v>0</v>
      </c>
      <c r="I321" s="1">
        <v>45495</v>
      </c>
      <c r="J321" s="4" t="s">
        <v>7</v>
      </c>
      <c r="K321" s="4" t="s">
        <v>12</v>
      </c>
      <c r="L321" s="3">
        <v>2986.8</v>
      </c>
      <c r="M321" s="4" t="s">
        <v>1255</v>
      </c>
      <c r="N321" s="3">
        <v>16077.7968</v>
      </c>
    </row>
    <row r="322" spans="1:14" x14ac:dyDescent="0.35">
      <c r="A322">
        <v>1217</v>
      </c>
      <c r="B322" s="4" t="s">
        <v>75</v>
      </c>
      <c r="C322" s="4" t="s">
        <v>438</v>
      </c>
      <c r="D322" s="4" t="s">
        <v>30</v>
      </c>
      <c r="E322">
        <v>3</v>
      </c>
      <c r="F322" s="3">
        <v>2850.38</v>
      </c>
      <c r="G322" s="2">
        <v>0.64775616083009102</v>
      </c>
      <c r="H322" s="3">
        <v>0</v>
      </c>
      <c r="I322" s="1">
        <v>45495</v>
      </c>
      <c r="J322" s="4" t="s">
        <v>7</v>
      </c>
      <c r="K322" s="4" t="s">
        <v>8</v>
      </c>
      <c r="L322" s="3">
        <v>17.309999999999999</v>
      </c>
      <c r="M322" s="4" t="s">
        <v>1255</v>
      </c>
      <c r="N322" s="3">
        <v>8551.14</v>
      </c>
    </row>
    <row r="323" spans="1:14" x14ac:dyDescent="0.35">
      <c r="A323">
        <v>1218</v>
      </c>
      <c r="B323" s="4" t="s">
        <v>439</v>
      </c>
      <c r="C323" s="4" t="s">
        <v>440</v>
      </c>
      <c r="D323" s="4" t="s">
        <v>25</v>
      </c>
      <c r="E323">
        <v>3</v>
      </c>
      <c r="F323" s="3">
        <v>1544.45</v>
      </c>
      <c r="G323" s="2">
        <v>0.33</v>
      </c>
      <c r="H323" s="3">
        <v>3104.34</v>
      </c>
      <c r="I323" s="1">
        <v>45747</v>
      </c>
      <c r="J323" s="4" t="s">
        <v>23</v>
      </c>
      <c r="K323" s="4" t="s">
        <v>12</v>
      </c>
      <c r="L323" s="3">
        <v>707.56</v>
      </c>
      <c r="M323" s="4" t="s">
        <v>1256</v>
      </c>
      <c r="N323" s="3">
        <v>4633.3500000000004</v>
      </c>
    </row>
    <row r="324" spans="1:14" hidden="1" x14ac:dyDescent="0.35">
      <c r="A324">
        <v>1219</v>
      </c>
      <c r="B324" s="4" t="s">
        <v>441</v>
      </c>
      <c r="C324" s="4" t="s">
        <v>442</v>
      </c>
      <c r="D324" s="4" t="s">
        <v>21</v>
      </c>
      <c r="E324">
        <v>0</v>
      </c>
      <c r="F324" s="3">
        <v>2678.5432000000001</v>
      </c>
      <c r="G324" s="2">
        <v>0.64816883116883095</v>
      </c>
      <c r="H324" s="3">
        <v>0</v>
      </c>
      <c r="I324" s="1">
        <v>45624</v>
      </c>
      <c r="J324" s="4" t="s">
        <v>18</v>
      </c>
      <c r="K324" s="4" t="s">
        <v>40</v>
      </c>
      <c r="L324" s="3">
        <v>2206</v>
      </c>
      <c r="M324" s="4" t="s">
        <v>1255</v>
      </c>
      <c r="N324" s="3">
        <v>0</v>
      </c>
    </row>
    <row r="325" spans="1:14" hidden="1" x14ac:dyDescent="0.35">
      <c r="A325">
        <v>1220</v>
      </c>
      <c r="B325" s="4" t="s">
        <v>159</v>
      </c>
      <c r="C325" s="4" t="s">
        <v>443</v>
      </c>
      <c r="D325" s="4" t="s">
        <v>37</v>
      </c>
      <c r="E325">
        <v>0</v>
      </c>
      <c r="F325" s="3">
        <v>2679.4994000000002</v>
      </c>
      <c r="G325" s="2">
        <v>0.64816883116883095</v>
      </c>
      <c r="H325" s="3">
        <v>0</v>
      </c>
      <c r="I325" s="1">
        <v>45495</v>
      </c>
      <c r="J325" s="4" t="s">
        <v>18</v>
      </c>
      <c r="K325" s="4" t="s">
        <v>40</v>
      </c>
      <c r="L325" s="3">
        <v>1598.22</v>
      </c>
      <c r="M325" s="4" t="s">
        <v>1255</v>
      </c>
      <c r="N325" s="3">
        <v>0</v>
      </c>
    </row>
    <row r="326" spans="1:14" x14ac:dyDescent="0.35">
      <c r="A326">
        <v>1221</v>
      </c>
      <c r="B326" s="4" t="s">
        <v>260</v>
      </c>
      <c r="C326" s="4" t="s">
        <v>444</v>
      </c>
      <c r="D326" s="4" t="s">
        <v>14</v>
      </c>
      <c r="E326">
        <v>3</v>
      </c>
      <c r="F326" s="3">
        <v>2679.4994000000002</v>
      </c>
      <c r="G326" s="2">
        <v>0.64816883116883095</v>
      </c>
      <c r="H326" s="3">
        <v>0</v>
      </c>
      <c r="I326" s="1">
        <v>45563</v>
      </c>
      <c r="J326" s="4" t="s">
        <v>11</v>
      </c>
      <c r="K326" s="4" t="s">
        <v>12</v>
      </c>
      <c r="L326" s="3">
        <v>898.67</v>
      </c>
      <c r="M326" s="4" t="s">
        <v>1255</v>
      </c>
      <c r="N326" s="3">
        <v>8038.4982</v>
      </c>
    </row>
    <row r="327" spans="1:14" x14ac:dyDescent="0.35">
      <c r="A327">
        <v>1222</v>
      </c>
      <c r="B327" s="4" t="s">
        <v>292</v>
      </c>
      <c r="C327" s="4" t="s">
        <v>206</v>
      </c>
      <c r="D327" s="4" t="s">
        <v>26</v>
      </c>
      <c r="E327">
        <v>0</v>
      </c>
      <c r="F327" s="3">
        <v>683.85</v>
      </c>
      <c r="G327" s="2">
        <v>0.64816883116883095</v>
      </c>
      <c r="H327" s="3">
        <v>0</v>
      </c>
      <c r="I327" s="1">
        <v>45595</v>
      </c>
      <c r="J327" s="4" t="s">
        <v>20</v>
      </c>
      <c r="K327" s="4" t="s">
        <v>8</v>
      </c>
      <c r="L327" s="3">
        <v>1489.45</v>
      </c>
      <c r="M327" s="4" t="s">
        <v>1255</v>
      </c>
      <c r="N327" s="3">
        <v>0</v>
      </c>
    </row>
    <row r="328" spans="1:14" x14ac:dyDescent="0.35">
      <c r="A328">
        <v>1223</v>
      </c>
      <c r="B328" s="4" t="s">
        <v>110</v>
      </c>
      <c r="C328" s="4" t="s">
        <v>44</v>
      </c>
      <c r="D328" s="4" t="s">
        <v>15</v>
      </c>
      <c r="E328">
        <v>0</v>
      </c>
      <c r="F328" s="3">
        <v>2679.4994000000002</v>
      </c>
      <c r="G328" s="2">
        <v>0.64816883116883095</v>
      </c>
      <c r="H328" s="3">
        <v>0</v>
      </c>
      <c r="I328" s="1">
        <v>45595</v>
      </c>
      <c r="J328" s="4" t="s">
        <v>23</v>
      </c>
      <c r="K328" s="4" t="s">
        <v>12</v>
      </c>
      <c r="L328" s="3">
        <v>-531.04999999999995</v>
      </c>
      <c r="M328" s="4" t="s">
        <v>1255</v>
      </c>
      <c r="N328" s="3">
        <v>0</v>
      </c>
    </row>
    <row r="329" spans="1:14" x14ac:dyDescent="0.35">
      <c r="A329">
        <v>1224</v>
      </c>
      <c r="B329" s="4" t="s">
        <v>445</v>
      </c>
      <c r="C329" s="4" t="s">
        <v>446</v>
      </c>
      <c r="D329" s="4" t="s">
        <v>25</v>
      </c>
      <c r="E329">
        <v>0</v>
      </c>
      <c r="F329" s="3">
        <v>2681.1835000000001</v>
      </c>
      <c r="G329" s="2">
        <v>0.64816883116883095</v>
      </c>
      <c r="H329" s="3">
        <v>0</v>
      </c>
      <c r="I329" s="1">
        <v>45737</v>
      </c>
      <c r="J329" s="4" t="s">
        <v>9</v>
      </c>
      <c r="K329" s="4" t="s">
        <v>8</v>
      </c>
      <c r="L329" s="3">
        <v>2219.56</v>
      </c>
      <c r="M329" s="4" t="s">
        <v>1255</v>
      </c>
      <c r="N329" s="3">
        <v>0</v>
      </c>
    </row>
    <row r="330" spans="1:14" hidden="1" x14ac:dyDescent="0.35">
      <c r="A330">
        <v>1225</v>
      </c>
      <c r="B330" s="4" t="s">
        <v>132</v>
      </c>
      <c r="C330" s="4" t="s">
        <v>399</v>
      </c>
      <c r="D330" s="4" t="s">
        <v>13</v>
      </c>
      <c r="E330">
        <v>-1</v>
      </c>
      <c r="F330" s="3">
        <v>1406.32</v>
      </c>
      <c r="G330" s="2">
        <v>1.05</v>
      </c>
      <c r="H330" s="3">
        <v>70.319999999999993</v>
      </c>
      <c r="I330" s="1">
        <v>45851</v>
      </c>
      <c r="J330" s="4" t="s">
        <v>18</v>
      </c>
      <c r="K330" s="4" t="s">
        <v>40</v>
      </c>
      <c r="L330" s="3">
        <v>1937.71</v>
      </c>
      <c r="M330" s="4" t="s">
        <v>1256</v>
      </c>
      <c r="N330" s="3">
        <v>-1406.32</v>
      </c>
    </row>
    <row r="331" spans="1:14" x14ac:dyDescent="0.35">
      <c r="A331">
        <v>1226</v>
      </c>
      <c r="B331" s="4" t="s">
        <v>89</v>
      </c>
      <c r="C331" s="4" t="s">
        <v>447</v>
      </c>
      <c r="D331" s="4" t="s">
        <v>31</v>
      </c>
      <c r="E331">
        <v>1</v>
      </c>
      <c r="F331" s="3">
        <v>2681.1835000000001</v>
      </c>
      <c r="G331" s="2">
        <v>1.1499999999999999</v>
      </c>
      <c r="H331" s="3">
        <v>0</v>
      </c>
      <c r="I331" s="1">
        <v>45591</v>
      </c>
      <c r="J331" s="4" t="s">
        <v>9</v>
      </c>
      <c r="K331" s="4" t="s">
        <v>12</v>
      </c>
      <c r="L331" s="3">
        <v>2806.56</v>
      </c>
      <c r="M331" s="4" t="s">
        <v>1255</v>
      </c>
      <c r="N331" s="3">
        <v>2681.1835000000001</v>
      </c>
    </row>
    <row r="332" spans="1:14" x14ac:dyDescent="0.35">
      <c r="A332">
        <v>1227</v>
      </c>
      <c r="B332" s="4" t="s">
        <v>410</v>
      </c>
      <c r="C332" s="4" t="s">
        <v>448</v>
      </c>
      <c r="D332" s="4" t="s">
        <v>19</v>
      </c>
      <c r="E332">
        <v>2</v>
      </c>
      <c r="F332" s="3">
        <v>2682.2602999999999</v>
      </c>
      <c r="G332" s="2">
        <v>0.25</v>
      </c>
      <c r="H332" s="3">
        <v>0</v>
      </c>
      <c r="I332" s="1">
        <v>45356</v>
      </c>
      <c r="J332" s="4" t="s">
        <v>23</v>
      </c>
      <c r="K332" s="4" t="s">
        <v>8</v>
      </c>
      <c r="L332" s="3">
        <v>2096.6799999999998</v>
      </c>
      <c r="M332" s="4" t="s">
        <v>1255</v>
      </c>
      <c r="N332" s="3">
        <v>5364.5205999999998</v>
      </c>
    </row>
    <row r="333" spans="1:14" hidden="1" x14ac:dyDescent="0.35">
      <c r="A333">
        <v>1229</v>
      </c>
      <c r="B333" s="4" t="s">
        <v>307</v>
      </c>
      <c r="C333" s="4" t="s">
        <v>449</v>
      </c>
      <c r="D333" s="4" t="s">
        <v>31</v>
      </c>
      <c r="E333">
        <v>0</v>
      </c>
      <c r="F333" s="3">
        <v>2682.2602999999999</v>
      </c>
      <c r="G333" s="2">
        <v>0.64758485639686703</v>
      </c>
      <c r="H333" s="3">
        <v>0</v>
      </c>
      <c r="I333" s="1">
        <v>45743</v>
      </c>
      <c r="J333" s="4" t="s">
        <v>7</v>
      </c>
      <c r="K333" s="4" t="s">
        <v>40</v>
      </c>
      <c r="L333" s="3">
        <v>925.22</v>
      </c>
      <c r="M333" s="4" t="s">
        <v>1255</v>
      </c>
      <c r="N333" s="3">
        <v>0</v>
      </c>
    </row>
    <row r="334" spans="1:14" hidden="1" x14ac:dyDescent="0.35">
      <c r="A334">
        <v>1230</v>
      </c>
      <c r="B334" s="4" t="s">
        <v>276</v>
      </c>
      <c r="C334" s="4" t="s">
        <v>450</v>
      </c>
      <c r="D334" s="4" t="s">
        <v>33</v>
      </c>
      <c r="E334">
        <v>3</v>
      </c>
      <c r="F334" s="3">
        <v>2682.5848999999998</v>
      </c>
      <c r="G334" s="2">
        <v>1.2</v>
      </c>
      <c r="H334" s="3">
        <v>0</v>
      </c>
      <c r="I334" s="1">
        <v>45743</v>
      </c>
      <c r="J334" s="4" t="s">
        <v>23</v>
      </c>
      <c r="K334" s="4" t="s">
        <v>40</v>
      </c>
      <c r="L334" s="3">
        <v>2725.11</v>
      </c>
      <c r="M334" s="4" t="s">
        <v>1255</v>
      </c>
      <c r="N334" s="3">
        <v>8047.7547000000004</v>
      </c>
    </row>
    <row r="335" spans="1:14" x14ac:dyDescent="0.35">
      <c r="A335">
        <v>1231</v>
      </c>
      <c r="B335" s="4" t="s">
        <v>192</v>
      </c>
      <c r="C335" s="4" t="s">
        <v>451</v>
      </c>
      <c r="D335" s="4" t="s">
        <v>38</v>
      </c>
      <c r="E335">
        <v>1</v>
      </c>
      <c r="F335" s="3">
        <v>1744.73</v>
      </c>
      <c r="G335" s="2">
        <v>0.64686274509803898</v>
      </c>
      <c r="H335" s="3">
        <v>0</v>
      </c>
      <c r="I335" s="1">
        <v>45743</v>
      </c>
      <c r="J335" s="4" t="s">
        <v>20</v>
      </c>
      <c r="K335" s="4" t="s">
        <v>12</v>
      </c>
      <c r="L335" s="3">
        <v>1393.69</v>
      </c>
      <c r="M335" s="4" t="s">
        <v>1255</v>
      </c>
      <c r="N335" s="3">
        <v>1744.73</v>
      </c>
    </row>
    <row r="336" spans="1:14" x14ac:dyDescent="0.35">
      <c r="A336">
        <v>1232</v>
      </c>
      <c r="B336" s="4" t="s">
        <v>452</v>
      </c>
      <c r="C336" s="4" t="s">
        <v>78</v>
      </c>
      <c r="D336" s="4" t="s">
        <v>22</v>
      </c>
      <c r="E336">
        <v>2</v>
      </c>
      <c r="F336" s="3">
        <v>2526.77</v>
      </c>
      <c r="G336" s="2">
        <v>0.64686274509803898</v>
      </c>
      <c r="H336" s="3">
        <v>0</v>
      </c>
      <c r="I336" s="1">
        <v>45183</v>
      </c>
      <c r="J336" s="4" t="s">
        <v>11</v>
      </c>
      <c r="K336" s="4" t="s">
        <v>8</v>
      </c>
      <c r="L336" s="3">
        <v>1494.67</v>
      </c>
      <c r="M336" s="4" t="s">
        <v>1255</v>
      </c>
      <c r="N336" s="3">
        <v>5053.54</v>
      </c>
    </row>
    <row r="337" spans="1:14" hidden="1" x14ac:dyDescent="0.35">
      <c r="A337">
        <v>1233</v>
      </c>
      <c r="B337" s="4" t="s">
        <v>115</v>
      </c>
      <c r="C337" s="4" t="s">
        <v>293</v>
      </c>
      <c r="D337" s="4" t="s">
        <v>10</v>
      </c>
      <c r="E337">
        <v>-1</v>
      </c>
      <c r="F337" s="3">
        <v>2683.3782999999999</v>
      </c>
      <c r="G337" s="2">
        <v>7.0000000000000007E-2</v>
      </c>
      <c r="H337" s="3">
        <v>0</v>
      </c>
      <c r="I337" s="1">
        <v>45772</v>
      </c>
      <c r="J337" s="4" t="s">
        <v>18</v>
      </c>
      <c r="K337" s="4" t="s">
        <v>40</v>
      </c>
      <c r="L337" s="3">
        <v>2237.2399999999998</v>
      </c>
      <c r="M337" s="4" t="s">
        <v>1255</v>
      </c>
      <c r="N337" s="3">
        <v>-2683.3782999999999</v>
      </c>
    </row>
    <row r="338" spans="1:14" x14ac:dyDescent="0.35">
      <c r="A338">
        <v>1234</v>
      </c>
      <c r="B338" s="4" t="s">
        <v>183</v>
      </c>
      <c r="C338" s="4" t="s">
        <v>453</v>
      </c>
      <c r="D338" s="4" t="s">
        <v>21</v>
      </c>
      <c r="E338">
        <v>0</v>
      </c>
      <c r="F338" s="3">
        <v>1069.8800000000001</v>
      </c>
      <c r="G338" s="2">
        <v>0.05</v>
      </c>
      <c r="H338" s="3">
        <v>0</v>
      </c>
      <c r="I338" s="1">
        <v>45832</v>
      </c>
      <c r="J338" s="4" t="s">
        <v>20</v>
      </c>
      <c r="K338" s="4" t="s">
        <v>12</v>
      </c>
      <c r="L338" s="3">
        <v>110.58</v>
      </c>
      <c r="M338" s="4" t="s">
        <v>1255</v>
      </c>
      <c r="N338" s="3">
        <v>0</v>
      </c>
    </row>
    <row r="339" spans="1:14" x14ac:dyDescent="0.35">
      <c r="A339">
        <v>1235</v>
      </c>
      <c r="B339" s="4" t="s">
        <v>189</v>
      </c>
      <c r="C339" s="4" t="s">
        <v>454</v>
      </c>
      <c r="D339" s="4" t="s">
        <v>27</v>
      </c>
      <c r="E339">
        <v>0</v>
      </c>
      <c r="F339" s="3">
        <v>2683.5109000000002</v>
      </c>
      <c r="G339" s="2">
        <v>0.64840104849279201</v>
      </c>
      <c r="H339" s="3">
        <v>0</v>
      </c>
      <c r="I339" s="1">
        <v>45832</v>
      </c>
      <c r="J339" s="4" t="s">
        <v>23</v>
      </c>
      <c r="K339" s="4" t="s">
        <v>12</v>
      </c>
      <c r="L339" s="3">
        <v>-403.94</v>
      </c>
      <c r="M339" s="4" t="s">
        <v>1255</v>
      </c>
      <c r="N339" s="3">
        <v>0</v>
      </c>
    </row>
    <row r="340" spans="1:14" x14ac:dyDescent="0.35">
      <c r="A340">
        <v>1237</v>
      </c>
      <c r="B340" s="4" t="s">
        <v>228</v>
      </c>
      <c r="C340" s="4" t="s">
        <v>455</v>
      </c>
      <c r="D340" s="4" t="s">
        <v>26</v>
      </c>
      <c r="E340">
        <v>0</v>
      </c>
      <c r="F340" s="3">
        <v>2684.8784000000001</v>
      </c>
      <c r="G340" s="2">
        <v>0.28999999999999998</v>
      </c>
      <c r="H340" s="3">
        <v>0</v>
      </c>
      <c r="I340" s="1">
        <v>45817</v>
      </c>
      <c r="J340" s="4" t="s">
        <v>20</v>
      </c>
      <c r="K340" s="4" t="s">
        <v>8</v>
      </c>
      <c r="L340" s="3">
        <v>-465.98</v>
      </c>
      <c r="M340" s="4" t="s">
        <v>1255</v>
      </c>
      <c r="N340" s="3">
        <v>0</v>
      </c>
    </row>
    <row r="341" spans="1:14" hidden="1" x14ac:dyDescent="0.35">
      <c r="A341">
        <v>1238</v>
      </c>
      <c r="B341" s="4" t="s">
        <v>388</v>
      </c>
      <c r="C341" s="4" t="s">
        <v>456</v>
      </c>
      <c r="D341" s="4" t="s">
        <v>38</v>
      </c>
      <c r="E341">
        <v>0</v>
      </c>
      <c r="F341" s="3">
        <v>2683.0823</v>
      </c>
      <c r="G341" s="2">
        <v>0.64817345597897502</v>
      </c>
      <c r="H341" s="3">
        <v>0</v>
      </c>
      <c r="I341" s="1">
        <v>45817</v>
      </c>
      <c r="J341" s="4" t="s">
        <v>20</v>
      </c>
      <c r="K341" s="4" t="s">
        <v>40</v>
      </c>
      <c r="L341" s="3">
        <v>2742.61</v>
      </c>
      <c r="M341" s="4" t="s">
        <v>1255</v>
      </c>
      <c r="N341" s="3">
        <v>0</v>
      </c>
    </row>
    <row r="342" spans="1:14" x14ac:dyDescent="0.35">
      <c r="A342">
        <v>1239</v>
      </c>
      <c r="B342" s="4" t="s">
        <v>457</v>
      </c>
      <c r="C342" s="4" t="s">
        <v>80</v>
      </c>
      <c r="D342" s="4" t="s">
        <v>28</v>
      </c>
      <c r="E342">
        <v>4</v>
      </c>
      <c r="F342" s="3">
        <v>644.58000000000004</v>
      </c>
      <c r="G342" s="2">
        <v>0.64817345597897502</v>
      </c>
      <c r="H342" s="3">
        <v>0</v>
      </c>
      <c r="I342" s="1">
        <v>45585</v>
      </c>
      <c r="J342" s="4" t="s">
        <v>7</v>
      </c>
      <c r="K342" s="4" t="s">
        <v>12</v>
      </c>
      <c r="L342" s="3">
        <v>1097.8800000000001</v>
      </c>
      <c r="M342" s="4" t="s">
        <v>1255</v>
      </c>
      <c r="N342" s="3">
        <v>2578.3200000000002</v>
      </c>
    </row>
    <row r="343" spans="1:14" hidden="1" x14ac:dyDescent="0.35">
      <c r="A343">
        <v>1240</v>
      </c>
      <c r="B343" s="4" t="s">
        <v>435</v>
      </c>
      <c r="C343" s="4" t="s">
        <v>247</v>
      </c>
      <c r="D343" s="4" t="s">
        <v>17</v>
      </c>
      <c r="E343">
        <v>0</v>
      </c>
      <c r="F343" s="3">
        <v>4634.13</v>
      </c>
      <c r="G343" s="2">
        <v>0.64817345597897502</v>
      </c>
      <c r="H343" s="3">
        <v>0</v>
      </c>
      <c r="I343" s="1">
        <v>45136</v>
      </c>
      <c r="J343" s="4" t="s">
        <v>18</v>
      </c>
      <c r="K343" s="4" t="s">
        <v>40</v>
      </c>
      <c r="L343" s="3">
        <v>2625.44</v>
      </c>
      <c r="M343" s="4" t="s">
        <v>1255</v>
      </c>
      <c r="N343" s="3">
        <v>0</v>
      </c>
    </row>
    <row r="344" spans="1:14" hidden="1" x14ac:dyDescent="0.35">
      <c r="A344">
        <v>1241</v>
      </c>
      <c r="B344" s="4" t="s">
        <v>181</v>
      </c>
      <c r="C344" s="4" t="s">
        <v>50</v>
      </c>
      <c r="D344" s="4" t="s">
        <v>6</v>
      </c>
      <c r="E344">
        <v>6</v>
      </c>
      <c r="F344" s="3">
        <v>3111.95</v>
      </c>
      <c r="G344" s="2">
        <v>0.64817345597897502</v>
      </c>
      <c r="H344" s="3">
        <v>0</v>
      </c>
      <c r="I344" s="1">
        <v>45465</v>
      </c>
      <c r="J344" s="4" t="s">
        <v>18</v>
      </c>
      <c r="K344" s="4" t="s">
        <v>40</v>
      </c>
      <c r="L344" s="3">
        <v>2814.82</v>
      </c>
      <c r="M344" s="4" t="s">
        <v>1255</v>
      </c>
      <c r="N344" s="3">
        <v>18671.7</v>
      </c>
    </row>
    <row r="345" spans="1:14" x14ac:dyDescent="0.35">
      <c r="A345">
        <v>1242</v>
      </c>
      <c r="B345" s="4" t="s">
        <v>458</v>
      </c>
      <c r="C345" s="4" t="s">
        <v>459</v>
      </c>
      <c r="D345" s="4" t="s">
        <v>32</v>
      </c>
      <c r="E345">
        <v>-1</v>
      </c>
      <c r="F345" s="3">
        <v>2683.1565999999998</v>
      </c>
      <c r="G345" s="2">
        <v>0.64817345597897502</v>
      </c>
      <c r="H345" s="3">
        <v>0</v>
      </c>
      <c r="I345" s="1">
        <v>45706</v>
      </c>
      <c r="J345" s="4" t="s">
        <v>20</v>
      </c>
      <c r="K345" s="4" t="s">
        <v>12</v>
      </c>
      <c r="L345" s="3">
        <v>1576.74</v>
      </c>
      <c r="M345" s="4" t="s">
        <v>1255</v>
      </c>
      <c r="N345" s="3">
        <v>-2683.1565999999998</v>
      </c>
    </row>
    <row r="346" spans="1:14" hidden="1" x14ac:dyDescent="0.35">
      <c r="A346">
        <v>1243</v>
      </c>
      <c r="B346" s="4" t="s">
        <v>460</v>
      </c>
      <c r="C346" s="4" t="s">
        <v>461</v>
      </c>
      <c r="D346" s="4" t="s">
        <v>35</v>
      </c>
      <c r="E346">
        <v>3</v>
      </c>
      <c r="F346" s="3">
        <v>2682.7919999999999</v>
      </c>
      <c r="G346" s="2">
        <v>0.69</v>
      </c>
      <c r="H346" s="3">
        <v>0</v>
      </c>
      <c r="I346" s="1">
        <v>45628</v>
      </c>
      <c r="J346" s="4" t="s">
        <v>9</v>
      </c>
      <c r="K346" s="4" t="s">
        <v>40</v>
      </c>
      <c r="L346" s="3">
        <v>779.51</v>
      </c>
      <c r="M346" s="4" t="s">
        <v>1255</v>
      </c>
      <c r="N346" s="3">
        <v>8048.3760000000002</v>
      </c>
    </row>
    <row r="347" spans="1:14" x14ac:dyDescent="0.35">
      <c r="A347">
        <v>1244</v>
      </c>
      <c r="B347" s="4" t="s">
        <v>192</v>
      </c>
      <c r="C347" s="4" t="s">
        <v>175</v>
      </c>
      <c r="D347" s="4" t="s">
        <v>24</v>
      </c>
      <c r="E347">
        <v>6</v>
      </c>
      <c r="F347" s="3">
        <v>2682.7919999999999</v>
      </c>
      <c r="G347" s="2">
        <v>0.64811842105263195</v>
      </c>
      <c r="H347" s="3">
        <v>0</v>
      </c>
      <c r="I347" s="1">
        <v>45472</v>
      </c>
      <c r="J347" s="4" t="s">
        <v>9</v>
      </c>
      <c r="K347" s="4" t="s">
        <v>8</v>
      </c>
      <c r="L347" s="3">
        <v>2574.7600000000002</v>
      </c>
      <c r="M347" s="4" t="s">
        <v>1255</v>
      </c>
      <c r="N347" s="3">
        <v>16096.752</v>
      </c>
    </row>
    <row r="348" spans="1:14" hidden="1" x14ac:dyDescent="0.35">
      <c r="A348">
        <v>1245</v>
      </c>
      <c r="B348" s="4" t="s">
        <v>65</v>
      </c>
      <c r="C348" s="4" t="s">
        <v>462</v>
      </c>
      <c r="D348" s="4" t="s">
        <v>26</v>
      </c>
      <c r="E348">
        <v>0</v>
      </c>
      <c r="F348" s="3">
        <v>1822.9</v>
      </c>
      <c r="G348" s="2">
        <v>0.64811842105263195</v>
      </c>
      <c r="H348" s="3">
        <v>0</v>
      </c>
      <c r="I348" s="1">
        <v>45639</v>
      </c>
      <c r="J348" s="4" t="s">
        <v>7</v>
      </c>
      <c r="K348" s="4" t="s">
        <v>40</v>
      </c>
      <c r="L348" s="3">
        <v>1076.3399999999999</v>
      </c>
      <c r="M348" s="4" t="s">
        <v>1255</v>
      </c>
      <c r="N348" s="3">
        <v>0</v>
      </c>
    </row>
    <row r="349" spans="1:14" hidden="1" x14ac:dyDescent="0.35">
      <c r="A349">
        <v>1246</v>
      </c>
      <c r="B349" s="4" t="s">
        <v>96</v>
      </c>
      <c r="C349" s="4" t="s">
        <v>463</v>
      </c>
      <c r="D349" s="4" t="s">
        <v>24</v>
      </c>
      <c r="E349">
        <v>0</v>
      </c>
      <c r="F349" s="3">
        <v>2682.7919999999999</v>
      </c>
      <c r="G349" s="2">
        <v>0.03</v>
      </c>
      <c r="H349" s="3">
        <v>0</v>
      </c>
      <c r="I349" s="1">
        <v>45639</v>
      </c>
      <c r="J349" s="4" t="s">
        <v>23</v>
      </c>
      <c r="K349" s="4" t="s">
        <v>40</v>
      </c>
      <c r="L349" s="3">
        <v>733.8</v>
      </c>
      <c r="M349" s="4" t="s">
        <v>1255</v>
      </c>
      <c r="N349" s="3">
        <v>0</v>
      </c>
    </row>
    <row r="350" spans="1:14" x14ac:dyDescent="0.35">
      <c r="A350">
        <v>1247</v>
      </c>
      <c r="B350" s="4" t="s">
        <v>464</v>
      </c>
      <c r="C350" s="4" t="s">
        <v>465</v>
      </c>
      <c r="D350" s="4" t="s">
        <v>15</v>
      </c>
      <c r="E350">
        <v>-1</v>
      </c>
      <c r="F350" s="3">
        <v>2683.5237999999999</v>
      </c>
      <c r="G350" s="2">
        <v>0.64893280632411099</v>
      </c>
      <c r="H350" s="3">
        <v>0</v>
      </c>
      <c r="I350" s="1">
        <v>45639</v>
      </c>
      <c r="J350" s="4" t="s">
        <v>23</v>
      </c>
      <c r="K350" s="4" t="s">
        <v>12</v>
      </c>
      <c r="L350" s="3">
        <v>1605.97</v>
      </c>
      <c r="M350" s="4" t="s">
        <v>1255</v>
      </c>
      <c r="N350" s="3">
        <v>-2683.5237999999999</v>
      </c>
    </row>
    <row r="351" spans="1:14" x14ac:dyDescent="0.35">
      <c r="A351">
        <v>1248</v>
      </c>
      <c r="B351" s="4" t="s">
        <v>466</v>
      </c>
      <c r="C351" s="4" t="s">
        <v>187</v>
      </c>
      <c r="D351" s="4" t="s">
        <v>33</v>
      </c>
      <c r="E351">
        <v>0</v>
      </c>
      <c r="F351" s="3">
        <v>2683.5237999999999</v>
      </c>
      <c r="G351" s="2">
        <v>1.24</v>
      </c>
      <c r="H351" s="3">
        <v>0</v>
      </c>
      <c r="I351" s="1">
        <v>45130</v>
      </c>
      <c r="J351" s="4" t="s">
        <v>11</v>
      </c>
      <c r="K351" s="4" t="s">
        <v>12</v>
      </c>
      <c r="L351" s="3">
        <v>397.41</v>
      </c>
      <c r="M351" s="4" t="s">
        <v>1255</v>
      </c>
      <c r="N351" s="3">
        <v>0</v>
      </c>
    </row>
    <row r="352" spans="1:14" hidden="1" x14ac:dyDescent="0.35">
      <c r="A352">
        <v>1249</v>
      </c>
      <c r="B352" s="4" t="s">
        <v>250</v>
      </c>
      <c r="C352" s="4" t="s">
        <v>467</v>
      </c>
      <c r="D352" s="4" t="s">
        <v>35</v>
      </c>
      <c r="E352">
        <v>0</v>
      </c>
      <c r="F352" s="3">
        <v>2683.5237999999999</v>
      </c>
      <c r="G352" s="2">
        <v>0.23</v>
      </c>
      <c r="H352" s="3">
        <v>0</v>
      </c>
      <c r="I352" s="1">
        <v>45545</v>
      </c>
      <c r="J352" s="4" t="s">
        <v>20</v>
      </c>
      <c r="K352" s="4" t="s">
        <v>40</v>
      </c>
      <c r="L352" s="3">
        <v>809.89</v>
      </c>
      <c r="M352" s="4" t="s">
        <v>1255</v>
      </c>
      <c r="N352" s="3">
        <v>0</v>
      </c>
    </row>
    <row r="353" spans="1:14" x14ac:dyDescent="0.35">
      <c r="A353">
        <v>1250</v>
      </c>
      <c r="B353" s="4" t="s">
        <v>468</v>
      </c>
      <c r="C353" s="4" t="s">
        <v>349</v>
      </c>
      <c r="D353" s="4" t="s">
        <v>38</v>
      </c>
      <c r="E353">
        <v>0</v>
      </c>
      <c r="F353" s="3">
        <v>2683.5237999999999</v>
      </c>
      <c r="G353" s="2">
        <v>0.64870541611624799</v>
      </c>
      <c r="H353" s="3">
        <v>0</v>
      </c>
      <c r="I353" s="1">
        <v>45545</v>
      </c>
      <c r="J353" s="4" t="s">
        <v>7</v>
      </c>
      <c r="K353" s="4" t="s">
        <v>12</v>
      </c>
      <c r="L353" s="3">
        <v>1653.07</v>
      </c>
      <c r="M353" s="4" t="s">
        <v>1255</v>
      </c>
      <c r="N353" s="3">
        <v>0</v>
      </c>
    </row>
    <row r="354" spans="1:14" hidden="1" x14ac:dyDescent="0.35">
      <c r="A354">
        <v>1251</v>
      </c>
      <c r="B354" s="4" t="s">
        <v>469</v>
      </c>
      <c r="C354" s="4" t="s">
        <v>470</v>
      </c>
      <c r="D354" s="4" t="s">
        <v>17</v>
      </c>
      <c r="E354">
        <v>2</v>
      </c>
      <c r="F354" s="3">
        <v>4841.3999999999996</v>
      </c>
      <c r="G354" s="2">
        <v>0.6</v>
      </c>
      <c r="H354" s="3">
        <v>3873.12</v>
      </c>
      <c r="I354" s="1">
        <v>45692</v>
      </c>
      <c r="J354" s="4" t="s">
        <v>20</v>
      </c>
      <c r="K354" s="4" t="s">
        <v>40</v>
      </c>
      <c r="L354" s="3">
        <v>578.37</v>
      </c>
      <c r="M354" s="4" t="s">
        <v>1256</v>
      </c>
      <c r="N354" s="3">
        <v>9682.7999999999993</v>
      </c>
    </row>
    <row r="355" spans="1:14" x14ac:dyDescent="0.35">
      <c r="A355">
        <v>1252</v>
      </c>
      <c r="B355" s="4" t="s">
        <v>471</v>
      </c>
      <c r="C355" s="4" t="s">
        <v>316</v>
      </c>
      <c r="D355" s="4" t="s">
        <v>26</v>
      </c>
      <c r="E355">
        <v>6</v>
      </c>
      <c r="F355" s="3">
        <v>1638.51</v>
      </c>
      <c r="G355" s="2">
        <v>0.88</v>
      </c>
      <c r="H355" s="3">
        <v>1179.73</v>
      </c>
      <c r="I355" s="1">
        <v>45749</v>
      </c>
      <c r="J355" s="4" t="s">
        <v>11</v>
      </c>
      <c r="K355" s="4" t="s">
        <v>8</v>
      </c>
      <c r="L355" s="3">
        <v>1484.7</v>
      </c>
      <c r="M355" s="4" t="s">
        <v>1256</v>
      </c>
      <c r="N355" s="3">
        <v>9831.06</v>
      </c>
    </row>
    <row r="356" spans="1:14" x14ac:dyDescent="0.35">
      <c r="A356">
        <v>1253</v>
      </c>
      <c r="B356" s="4" t="s">
        <v>472</v>
      </c>
      <c r="C356" s="4" t="s">
        <v>203</v>
      </c>
      <c r="D356" s="4" t="s">
        <v>25</v>
      </c>
      <c r="E356">
        <v>0</v>
      </c>
      <c r="F356" s="3">
        <v>2681.6858000000002</v>
      </c>
      <c r="G356" s="2">
        <v>0.64846357615894001</v>
      </c>
      <c r="H356" s="3">
        <v>0</v>
      </c>
      <c r="I356" s="1">
        <v>45692</v>
      </c>
      <c r="J356" s="4" t="s">
        <v>18</v>
      </c>
      <c r="K356" s="4" t="s">
        <v>12</v>
      </c>
      <c r="L356" s="3">
        <v>2512.63</v>
      </c>
      <c r="M356" s="4" t="s">
        <v>1255</v>
      </c>
      <c r="N356" s="3">
        <v>0</v>
      </c>
    </row>
    <row r="357" spans="1:14" x14ac:dyDescent="0.35">
      <c r="A357">
        <v>1254</v>
      </c>
      <c r="B357" s="4" t="s">
        <v>121</v>
      </c>
      <c r="C357" s="4" t="s">
        <v>473</v>
      </c>
      <c r="D357" s="4" t="s">
        <v>38</v>
      </c>
      <c r="E357">
        <v>6</v>
      </c>
      <c r="F357" s="3">
        <v>2682.5751</v>
      </c>
      <c r="G357" s="2">
        <v>0.64846357615894001</v>
      </c>
      <c r="H357" s="3">
        <v>0</v>
      </c>
      <c r="I357" s="1">
        <v>45702</v>
      </c>
      <c r="J357" s="4" t="s">
        <v>11</v>
      </c>
      <c r="K357" s="4" t="s">
        <v>12</v>
      </c>
      <c r="L357" s="3">
        <v>2418.9899999999998</v>
      </c>
      <c r="M357" s="4" t="s">
        <v>1255</v>
      </c>
      <c r="N357" s="3">
        <v>16095.4506</v>
      </c>
    </row>
    <row r="358" spans="1:14" x14ac:dyDescent="0.35">
      <c r="A358">
        <v>1255</v>
      </c>
      <c r="B358" s="4" t="s">
        <v>217</v>
      </c>
      <c r="C358" s="4" t="s">
        <v>474</v>
      </c>
      <c r="D358" s="4" t="s">
        <v>26</v>
      </c>
      <c r="E358">
        <v>4</v>
      </c>
      <c r="F358" s="3">
        <v>1849.68</v>
      </c>
      <c r="G358" s="2">
        <v>0.64846357615894001</v>
      </c>
      <c r="H358" s="3">
        <v>0</v>
      </c>
      <c r="I358" s="1">
        <v>45632</v>
      </c>
      <c r="J358" s="4" t="s">
        <v>23</v>
      </c>
      <c r="K358" s="4" t="s">
        <v>8</v>
      </c>
      <c r="L358" s="3">
        <v>-706.09</v>
      </c>
      <c r="M358" s="4" t="s">
        <v>1255</v>
      </c>
      <c r="N358" s="3">
        <v>7398.72</v>
      </c>
    </row>
    <row r="359" spans="1:14" x14ac:dyDescent="0.35">
      <c r="A359">
        <v>1256</v>
      </c>
      <c r="B359" s="4" t="s">
        <v>475</v>
      </c>
      <c r="C359" s="4" t="s">
        <v>476</v>
      </c>
      <c r="D359" s="4" t="s">
        <v>27</v>
      </c>
      <c r="E359">
        <v>0</v>
      </c>
      <c r="F359" s="3">
        <v>1801.38</v>
      </c>
      <c r="G359" s="2">
        <v>0.64846357615894001</v>
      </c>
      <c r="H359" s="3">
        <v>0</v>
      </c>
      <c r="I359" s="1">
        <v>45614</v>
      </c>
      <c r="J359" s="4" t="s">
        <v>18</v>
      </c>
      <c r="K359" s="4" t="s">
        <v>8</v>
      </c>
      <c r="L359" s="3">
        <v>2071.1</v>
      </c>
      <c r="M359" s="4" t="s">
        <v>1255</v>
      </c>
      <c r="N359" s="3">
        <v>0</v>
      </c>
    </row>
    <row r="360" spans="1:14" x14ac:dyDescent="0.35">
      <c r="A360">
        <v>1257</v>
      </c>
      <c r="B360" s="4" t="s">
        <v>477</v>
      </c>
      <c r="C360" s="4" t="s">
        <v>228</v>
      </c>
      <c r="D360" s="4" t="s">
        <v>21</v>
      </c>
      <c r="E360">
        <v>0</v>
      </c>
      <c r="F360" s="3">
        <v>1228.78</v>
      </c>
      <c r="G360" s="2">
        <v>0.64846357615894001</v>
      </c>
      <c r="H360" s="3">
        <v>0</v>
      </c>
      <c r="I360" s="1">
        <v>45614</v>
      </c>
      <c r="J360" s="4" t="s">
        <v>9</v>
      </c>
      <c r="K360" s="4" t="s">
        <v>8</v>
      </c>
      <c r="L360" s="3">
        <v>-83.19</v>
      </c>
      <c r="M360" s="4" t="s">
        <v>1255</v>
      </c>
      <c r="N360" s="3">
        <v>0</v>
      </c>
    </row>
    <row r="361" spans="1:14" x14ac:dyDescent="0.35">
      <c r="A361">
        <v>1258</v>
      </c>
      <c r="B361" s="4" t="s">
        <v>478</v>
      </c>
      <c r="C361" s="4" t="s">
        <v>158</v>
      </c>
      <c r="D361" s="4" t="s">
        <v>31</v>
      </c>
      <c r="E361">
        <v>-2</v>
      </c>
      <c r="F361" s="3">
        <v>4313.38</v>
      </c>
      <c r="G361" s="2">
        <v>0.64846357615894001</v>
      </c>
      <c r="H361" s="3">
        <v>0</v>
      </c>
      <c r="I361" s="1">
        <v>45728</v>
      </c>
      <c r="J361" s="4" t="s">
        <v>7</v>
      </c>
      <c r="K361" s="4" t="s">
        <v>8</v>
      </c>
      <c r="L361" s="3">
        <v>2636.96</v>
      </c>
      <c r="M361" s="4" t="s">
        <v>1255</v>
      </c>
      <c r="N361" s="3">
        <v>-8626.76</v>
      </c>
    </row>
    <row r="362" spans="1:14" hidden="1" x14ac:dyDescent="0.35">
      <c r="A362">
        <v>1259</v>
      </c>
      <c r="B362" s="4" t="s">
        <v>479</v>
      </c>
      <c r="C362" s="4" t="s">
        <v>480</v>
      </c>
      <c r="D362" s="4" t="s">
        <v>29</v>
      </c>
      <c r="E362">
        <v>-2</v>
      </c>
      <c r="F362" s="3">
        <v>3396.92</v>
      </c>
      <c r="G362" s="2">
        <v>0.64846357615894001</v>
      </c>
      <c r="H362" s="3">
        <v>0</v>
      </c>
      <c r="I362" s="1">
        <v>45782</v>
      </c>
      <c r="J362" s="4" t="s">
        <v>9</v>
      </c>
      <c r="K362" s="4" t="s">
        <v>40</v>
      </c>
      <c r="L362" s="3">
        <v>-830.5</v>
      </c>
      <c r="M362" s="4" t="s">
        <v>1255</v>
      </c>
      <c r="N362" s="3">
        <v>-6793.84</v>
      </c>
    </row>
    <row r="363" spans="1:14" x14ac:dyDescent="0.35">
      <c r="A363">
        <v>1260</v>
      </c>
      <c r="B363" s="4" t="s">
        <v>481</v>
      </c>
      <c r="C363" s="4" t="s">
        <v>480</v>
      </c>
      <c r="D363" s="4" t="s">
        <v>24</v>
      </c>
      <c r="E363">
        <v>2</v>
      </c>
      <c r="F363" s="3">
        <v>2683.89</v>
      </c>
      <c r="G363" s="2">
        <v>0.64846357615894001</v>
      </c>
      <c r="H363" s="3">
        <v>0</v>
      </c>
      <c r="I363" s="1">
        <v>45741</v>
      </c>
      <c r="J363" s="4" t="s">
        <v>7</v>
      </c>
      <c r="K363" s="4" t="s">
        <v>12</v>
      </c>
      <c r="L363" s="3">
        <v>-817.8</v>
      </c>
      <c r="M363" s="4" t="s">
        <v>1255</v>
      </c>
      <c r="N363" s="3">
        <v>5367.78</v>
      </c>
    </row>
    <row r="364" spans="1:14" x14ac:dyDescent="0.35">
      <c r="A364">
        <v>1262</v>
      </c>
      <c r="B364" s="4" t="s">
        <v>482</v>
      </c>
      <c r="C364" s="4" t="s">
        <v>483</v>
      </c>
      <c r="D364" s="4" t="s">
        <v>33</v>
      </c>
      <c r="E364">
        <v>2</v>
      </c>
      <c r="F364" s="3">
        <v>2683.2795000000001</v>
      </c>
      <c r="G364" s="2">
        <v>0.52</v>
      </c>
      <c r="H364" s="3">
        <v>0</v>
      </c>
      <c r="I364" s="1">
        <v>45598</v>
      </c>
      <c r="J364" s="4" t="s">
        <v>18</v>
      </c>
      <c r="K364" s="4" t="s">
        <v>12</v>
      </c>
      <c r="L364" s="3">
        <v>786.25</v>
      </c>
      <c r="M364" s="4" t="s">
        <v>1255</v>
      </c>
      <c r="N364" s="3">
        <v>5366.5590000000002</v>
      </c>
    </row>
    <row r="365" spans="1:14" hidden="1" x14ac:dyDescent="0.35">
      <c r="A365">
        <v>1263</v>
      </c>
      <c r="B365" s="4" t="s">
        <v>116</v>
      </c>
      <c r="C365" s="4" t="s">
        <v>484</v>
      </c>
      <c r="D365" s="4" t="s">
        <v>38</v>
      </c>
      <c r="E365">
        <v>0</v>
      </c>
      <c r="F365" s="3">
        <v>2542.7199999999998</v>
      </c>
      <c r="G365" s="2">
        <v>0.64863395225464204</v>
      </c>
      <c r="H365" s="3">
        <v>0</v>
      </c>
      <c r="I365" s="1">
        <v>45598</v>
      </c>
      <c r="J365" s="4" t="s">
        <v>7</v>
      </c>
      <c r="K365" s="4" t="s">
        <v>40</v>
      </c>
      <c r="L365" s="3">
        <v>-136.41</v>
      </c>
      <c r="M365" s="4" t="s">
        <v>1255</v>
      </c>
      <c r="N365" s="3">
        <v>0</v>
      </c>
    </row>
    <row r="366" spans="1:14" hidden="1" x14ac:dyDescent="0.35">
      <c r="A366">
        <v>1264</v>
      </c>
      <c r="B366" s="4" t="s">
        <v>485</v>
      </c>
      <c r="C366" s="4" t="s">
        <v>324</v>
      </c>
      <c r="D366" s="4" t="s">
        <v>28</v>
      </c>
      <c r="E366">
        <v>0</v>
      </c>
      <c r="F366" s="3">
        <v>3382.08</v>
      </c>
      <c r="G366" s="2">
        <v>0.64863395225464204</v>
      </c>
      <c r="H366" s="3">
        <v>0</v>
      </c>
      <c r="I366" s="1">
        <v>45592</v>
      </c>
      <c r="J366" s="4" t="s">
        <v>7</v>
      </c>
      <c r="K366" s="4" t="s">
        <v>40</v>
      </c>
      <c r="L366" s="3">
        <v>1647.48</v>
      </c>
      <c r="M366" s="4" t="s">
        <v>1255</v>
      </c>
      <c r="N366" s="3">
        <v>0</v>
      </c>
    </row>
    <row r="367" spans="1:14" x14ac:dyDescent="0.35">
      <c r="A367">
        <v>1265</v>
      </c>
      <c r="B367" s="4" t="s">
        <v>174</v>
      </c>
      <c r="C367" s="4" t="s">
        <v>486</v>
      </c>
      <c r="D367" s="4" t="s">
        <v>28</v>
      </c>
      <c r="E367">
        <v>0</v>
      </c>
      <c r="F367" s="3">
        <v>721.41</v>
      </c>
      <c r="G367" s="2">
        <v>1.1599999999999999</v>
      </c>
      <c r="H367" s="3">
        <v>0</v>
      </c>
      <c r="I367" s="1">
        <v>45740</v>
      </c>
      <c r="J367" s="4" t="s">
        <v>23</v>
      </c>
      <c r="K367" s="4" t="s">
        <v>8</v>
      </c>
      <c r="L367" s="3">
        <v>1718.95</v>
      </c>
      <c r="M367" s="4" t="s">
        <v>1255</v>
      </c>
      <c r="N367" s="3">
        <v>0</v>
      </c>
    </row>
    <row r="368" spans="1:14" x14ac:dyDescent="0.35">
      <c r="A368">
        <v>1266</v>
      </c>
      <c r="B368" s="4" t="s">
        <v>487</v>
      </c>
      <c r="C368" s="4" t="s">
        <v>488</v>
      </c>
      <c r="D368" s="4" t="s">
        <v>38</v>
      </c>
      <c r="E368">
        <v>0</v>
      </c>
      <c r="F368" s="3">
        <v>2681.5590999999999</v>
      </c>
      <c r="G368" s="2">
        <v>1.1200000000000001</v>
      </c>
      <c r="H368" s="3">
        <v>0</v>
      </c>
      <c r="I368" s="1">
        <v>45224</v>
      </c>
      <c r="J368" s="4" t="s">
        <v>7</v>
      </c>
      <c r="K368" s="4" t="s">
        <v>8</v>
      </c>
      <c r="L368" s="3">
        <v>1024.8599999999999</v>
      </c>
      <c r="M368" s="4" t="s">
        <v>1255</v>
      </c>
      <c r="N368" s="3">
        <v>0</v>
      </c>
    </row>
    <row r="369" spans="1:14" x14ac:dyDescent="0.35">
      <c r="A369">
        <v>1267</v>
      </c>
      <c r="B369" s="4" t="s">
        <v>56</v>
      </c>
      <c r="C369" s="4" t="s">
        <v>489</v>
      </c>
      <c r="D369" s="4" t="s">
        <v>27</v>
      </c>
      <c r="E369">
        <v>3</v>
      </c>
      <c r="F369" s="3">
        <v>3255.23</v>
      </c>
      <c r="G369" s="2">
        <v>0.64732712765957501</v>
      </c>
      <c r="H369" s="3">
        <v>0</v>
      </c>
      <c r="I369" s="1">
        <v>45246</v>
      </c>
      <c r="J369" s="4" t="s">
        <v>7</v>
      </c>
      <c r="K369" s="4" t="s">
        <v>12</v>
      </c>
      <c r="L369" s="3">
        <v>650.79999999999995</v>
      </c>
      <c r="M369" s="4" t="s">
        <v>1255</v>
      </c>
      <c r="N369" s="3">
        <v>9765.69</v>
      </c>
    </row>
    <row r="370" spans="1:14" hidden="1" x14ac:dyDescent="0.35">
      <c r="A370">
        <v>1268</v>
      </c>
      <c r="B370" s="4" t="s">
        <v>490</v>
      </c>
      <c r="C370" s="4" t="s">
        <v>102</v>
      </c>
      <c r="D370" s="4" t="s">
        <v>30</v>
      </c>
      <c r="E370">
        <v>1</v>
      </c>
      <c r="F370" s="3">
        <v>2683.2429999999999</v>
      </c>
      <c r="G370" s="2">
        <v>1.03</v>
      </c>
      <c r="H370" s="3">
        <v>0</v>
      </c>
      <c r="I370" s="1">
        <v>45246</v>
      </c>
      <c r="J370" s="4" t="s">
        <v>20</v>
      </c>
      <c r="K370" s="4" t="s">
        <v>40</v>
      </c>
      <c r="L370" s="3">
        <v>2668.22</v>
      </c>
      <c r="M370" s="4" t="s">
        <v>1255</v>
      </c>
      <c r="N370" s="3">
        <v>2683.2429999999999</v>
      </c>
    </row>
    <row r="371" spans="1:14" hidden="1" x14ac:dyDescent="0.35">
      <c r="A371">
        <v>1269</v>
      </c>
      <c r="B371" s="4" t="s">
        <v>213</v>
      </c>
      <c r="C371" s="4" t="s">
        <v>92</v>
      </c>
      <c r="D371" s="4" t="s">
        <v>28</v>
      </c>
      <c r="E371">
        <v>0</v>
      </c>
      <c r="F371" s="3">
        <v>2682.7512000000002</v>
      </c>
      <c r="G371" s="2">
        <v>0.64681757656458105</v>
      </c>
      <c r="H371" s="3">
        <v>0</v>
      </c>
      <c r="I371" s="1">
        <v>45246</v>
      </c>
      <c r="J371" s="4" t="s">
        <v>11</v>
      </c>
      <c r="K371" s="4" t="s">
        <v>40</v>
      </c>
      <c r="L371" s="3">
        <v>483.01</v>
      </c>
      <c r="M371" s="4" t="s">
        <v>1255</v>
      </c>
      <c r="N371" s="3">
        <v>0</v>
      </c>
    </row>
    <row r="372" spans="1:14" x14ac:dyDescent="0.35">
      <c r="A372">
        <v>1270</v>
      </c>
      <c r="B372" s="4" t="s">
        <v>491</v>
      </c>
      <c r="C372" s="4" t="s">
        <v>492</v>
      </c>
      <c r="D372" s="4" t="s">
        <v>28</v>
      </c>
      <c r="E372">
        <v>0</v>
      </c>
      <c r="F372" s="3">
        <v>4446.82</v>
      </c>
      <c r="G372" s="2">
        <v>0.64681757656458105</v>
      </c>
      <c r="H372" s="3">
        <v>0</v>
      </c>
      <c r="I372" s="1">
        <v>45837</v>
      </c>
      <c r="J372" s="4" t="s">
        <v>23</v>
      </c>
      <c r="K372" s="4" t="s">
        <v>12</v>
      </c>
      <c r="L372" s="3">
        <v>-293.05</v>
      </c>
      <c r="M372" s="4" t="s">
        <v>1255</v>
      </c>
      <c r="N372" s="3">
        <v>0</v>
      </c>
    </row>
    <row r="373" spans="1:14" x14ac:dyDescent="0.35">
      <c r="A373">
        <v>1271</v>
      </c>
      <c r="B373" s="4" t="s">
        <v>224</v>
      </c>
      <c r="C373" s="4" t="s">
        <v>142</v>
      </c>
      <c r="D373" s="4" t="s">
        <v>37</v>
      </c>
      <c r="E373">
        <v>0</v>
      </c>
      <c r="F373" s="3">
        <v>2682.7512000000002</v>
      </c>
      <c r="G373" s="2">
        <v>0.64681757656458105</v>
      </c>
      <c r="H373" s="3">
        <v>0</v>
      </c>
      <c r="I373" s="1">
        <v>45425</v>
      </c>
      <c r="J373" s="4" t="s">
        <v>18</v>
      </c>
      <c r="K373" s="4" t="s">
        <v>12</v>
      </c>
      <c r="L373" s="3">
        <v>1295.93</v>
      </c>
      <c r="M373" s="4" t="s">
        <v>1255</v>
      </c>
      <c r="N373" s="3">
        <v>0</v>
      </c>
    </row>
    <row r="374" spans="1:14" x14ac:dyDescent="0.35">
      <c r="A374">
        <v>1272</v>
      </c>
      <c r="B374" s="4" t="s">
        <v>274</v>
      </c>
      <c r="C374" s="4" t="s">
        <v>197</v>
      </c>
      <c r="D374" s="4" t="s">
        <v>14</v>
      </c>
      <c r="E374">
        <v>0</v>
      </c>
      <c r="F374" s="3">
        <v>1429.94</v>
      </c>
      <c r="G374" s="2">
        <v>0.64681757656458105</v>
      </c>
      <c r="H374" s="3">
        <v>0</v>
      </c>
      <c r="I374" s="1">
        <v>45272</v>
      </c>
      <c r="J374" s="4" t="s">
        <v>23</v>
      </c>
      <c r="K374" s="4" t="s">
        <v>12</v>
      </c>
      <c r="L374" s="3">
        <v>484.51</v>
      </c>
      <c r="M374" s="4" t="s">
        <v>1255</v>
      </c>
      <c r="N374" s="3">
        <v>0</v>
      </c>
    </row>
    <row r="375" spans="1:14" x14ac:dyDescent="0.35">
      <c r="A375">
        <v>1273</v>
      </c>
      <c r="B375" s="4" t="s">
        <v>430</v>
      </c>
      <c r="C375" s="4" t="s">
        <v>324</v>
      </c>
      <c r="D375" s="4" t="s">
        <v>37</v>
      </c>
      <c r="E375">
        <v>0</v>
      </c>
      <c r="F375" s="3">
        <v>2681.2330999999999</v>
      </c>
      <c r="G375" s="2">
        <v>0.64681757656458105</v>
      </c>
      <c r="H375" s="3">
        <v>0</v>
      </c>
      <c r="I375" s="1">
        <v>45659</v>
      </c>
      <c r="J375" s="4" t="s">
        <v>23</v>
      </c>
      <c r="K375" s="4" t="s">
        <v>8</v>
      </c>
      <c r="L375" s="3">
        <v>-431.92</v>
      </c>
      <c r="M375" s="4" t="s">
        <v>1255</v>
      </c>
      <c r="N375" s="3">
        <v>0</v>
      </c>
    </row>
    <row r="376" spans="1:14" x14ac:dyDescent="0.35">
      <c r="A376">
        <v>1274</v>
      </c>
      <c r="B376" s="4" t="s">
        <v>155</v>
      </c>
      <c r="C376" s="4" t="s">
        <v>493</v>
      </c>
      <c r="D376" s="4" t="s">
        <v>25</v>
      </c>
      <c r="E376">
        <v>0</v>
      </c>
      <c r="F376" s="3">
        <v>2682.3108999999999</v>
      </c>
      <c r="G376" s="2">
        <v>0.59</v>
      </c>
      <c r="H376" s="3">
        <v>0</v>
      </c>
      <c r="I376" s="1">
        <v>45659</v>
      </c>
      <c r="J376" s="4" t="s">
        <v>9</v>
      </c>
      <c r="K376" s="4" t="s">
        <v>12</v>
      </c>
      <c r="L376" s="3">
        <v>62.98</v>
      </c>
      <c r="M376" s="4" t="s">
        <v>1255</v>
      </c>
      <c r="N376" s="3">
        <v>0</v>
      </c>
    </row>
    <row r="377" spans="1:14" x14ac:dyDescent="0.35">
      <c r="A377">
        <v>1275</v>
      </c>
      <c r="B377" s="4" t="s">
        <v>494</v>
      </c>
      <c r="C377" s="4" t="s">
        <v>495</v>
      </c>
      <c r="D377" s="4" t="s">
        <v>17</v>
      </c>
      <c r="E377">
        <v>3</v>
      </c>
      <c r="F377" s="3">
        <v>4132</v>
      </c>
      <c r="G377" s="2">
        <v>0.64689333333333399</v>
      </c>
      <c r="H377" s="3">
        <v>0</v>
      </c>
      <c r="I377" s="1">
        <v>45348</v>
      </c>
      <c r="J377" s="4" t="s">
        <v>18</v>
      </c>
      <c r="K377" s="4" t="s">
        <v>12</v>
      </c>
      <c r="L377" s="3">
        <v>2732.47</v>
      </c>
      <c r="M377" s="4" t="s">
        <v>1255</v>
      </c>
      <c r="N377" s="3">
        <v>12396</v>
      </c>
    </row>
    <row r="378" spans="1:14" hidden="1" x14ac:dyDescent="0.35">
      <c r="A378">
        <v>1276</v>
      </c>
      <c r="B378" s="4" t="s">
        <v>358</v>
      </c>
      <c r="C378" s="4" t="s">
        <v>496</v>
      </c>
      <c r="D378" s="4" t="s">
        <v>29</v>
      </c>
      <c r="E378">
        <v>0</v>
      </c>
      <c r="F378" s="3">
        <v>3243.45</v>
      </c>
      <c r="G378" s="2">
        <v>0.61</v>
      </c>
      <c r="H378" s="3">
        <v>0</v>
      </c>
      <c r="I378" s="1">
        <v>45348</v>
      </c>
      <c r="J378" s="4" t="s">
        <v>11</v>
      </c>
      <c r="K378" s="4" t="s">
        <v>40</v>
      </c>
      <c r="L378" s="3">
        <v>-869.12</v>
      </c>
      <c r="M378" s="4" t="s">
        <v>1255</v>
      </c>
      <c r="N378" s="3">
        <v>0</v>
      </c>
    </row>
    <row r="379" spans="1:14" x14ac:dyDescent="0.35">
      <c r="A379">
        <v>1277</v>
      </c>
      <c r="B379" s="4" t="s">
        <v>121</v>
      </c>
      <c r="C379" s="4" t="s">
        <v>497</v>
      </c>
      <c r="D379" s="4" t="s">
        <v>19</v>
      </c>
      <c r="E379">
        <v>2</v>
      </c>
      <c r="F379" s="3">
        <v>4720.5200000000004</v>
      </c>
      <c r="G379" s="2">
        <v>0.56999999999999995</v>
      </c>
      <c r="H379" s="3">
        <v>4059.65</v>
      </c>
      <c r="I379" s="1">
        <v>45540</v>
      </c>
      <c r="J379" s="4" t="s">
        <v>7</v>
      </c>
      <c r="K379" s="4" t="s">
        <v>8</v>
      </c>
      <c r="L379" s="3">
        <v>1255.6600000000001</v>
      </c>
      <c r="M379" s="4" t="s">
        <v>1256</v>
      </c>
      <c r="N379" s="3">
        <v>9441.0400000000009</v>
      </c>
    </row>
    <row r="380" spans="1:14" x14ac:dyDescent="0.35">
      <c r="A380">
        <v>1278</v>
      </c>
      <c r="B380" s="4" t="s">
        <v>54</v>
      </c>
      <c r="C380" s="4" t="s">
        <v>498</v>
      </c>
      <c r="D380" s="4" t="s">
        <v>19</v>
      </c>
      <c r="E380">
        <v>0</v>
      </c>
      <c r="F380" s="3">
        <v>3550.91</v>
      </c>
      <c r="G380" s="2">
        <v>0.64704545454545503</v>
      </c>
      <c r="H380" s="3">
        <v>0</v>
      </c>
      <c r="I380" s="1">
        <v>45558</v>
      </c>
      <c r="J380" s="4" t="s">
        <v>7</v>
      </c>
      <c r="K380" s="4" t="s">
        <v>8</v>
      </c>
      <c r="L380" s="3">
        <v>466.53</v>
      </c>
      <c r="M380" s="4" t="s">
        <v>1255</v>
      </c>
      <c r="N380" s="3">
        <v>0</v>
      </c>
    </row>
    <row r="381" spans="1:14" x14ac:dyDescent="0.35">
      <c r="A381">
        <v>1279</v>
      </c>
      <c r="B381" s="4" t="s">
        <v>81</v>
      </c>
      <c r="C381" s="4" t="s">
        <v>499</v>
      </c>
      <c r="D381" s="4" t="s">
        <v>29</v>
      </c>
      <c r="E381">
        <v>0</v>
      </c>
      <c r="F381" s="3">
        <v>2600.33</v>
      </c>
      <c r="G381" s="2">
        <v>0.64704545454545503</v>
      </c>
      <c r="H381" s="3">
        <v>0</v>
      </c>
      <c r="I381" s="1">
        <v>45525</v>
      </c>
      <c r="J381" s="4" t="s">
        <v>9</v>
      </c>
      <c r="K381" s="4" t="s">
        <v>8</v>
      </c>
      <c r="L381" s="3">
        <v>1430.67</v>
      </c>
      <c r="M381" s="4" t="s">
        <v>1255</v>
      </c>
      <c r="N381" s="3">
        <v>0</v>
      </c>
    </row>
    <row r="382" spans="1:14" x14ac:dyDescent="0.35">
      <c r="A382">
        <v>1280</v>
      </c>
      <c r="B382" s="4" t="s">
        <v>166</v>
      </c>
      <c r="C382" s="4" t="s">
        <v>166</v>
      </c>
      <c r="D382" s="4" t="s">
        <v>15</v>
      </c>
      <c r="E382">
        <v>3</v>
      </c>
      <c r="F382" s="3">
        <v>2678.0605</v>
      </c>
      <c r="G382" s="2">
        <v>0.64704545454545503</v>
      </c>
      <c r="H382" s="3">
        <v>0</v>
      </c>
      <c r="I382" s="1">
        <v>45578</v>
      </c>
      <c r="J382" s="4" t="s">
        <v>9</v>
      </c>
      <c r="K382" s="4" t="s">
        <v>12</v>
      </c>
      <c r="L382" s="3">
        <v>263.41000000000003</v>
      </c>
      <c r="M382" s="4" t="s">
        <v>1255</v>
      </c>
      <c r="N382" s="3">
        <v>8034.1814999999997</v>
      </c>
    </row>
    <row r="383" spans="1:14" x14ac:dyDescent="0.35">
      <c r="A383">
        <v>1282</v>
      </c>
      <c r="B383" s="4" t="s">
        <v>319</v>
      </c>
      <c r="C383" s="4" t="s">
        <v>500</v>
      </c>
      <c r="D383" s="4" t="s">
        <v>13</v>
      </c>
      <c r="E383">
        <v>-1</v>
      </c>
      <c r="F383" s="3">
        <v>2678.1278000000002</v>
      </c>
      <c r="G383" s="2">
        <v>0.14000000000000001</v>
      </c>
      <c r="H383" s="3">
        <v>0</v>
      </c>
      <c r="I383" s="1">
        <v>45676</v>
      </c>
      <c r="J383" s="4" t="s">
        <v>11</v>
      </c>
      <c r="K383" s="4" t="s">
        <v>12</v>
      </c>
      <c r="L383" s="3">
        <v>-909.75</v>
      </c>
      <c r="M383" s="4" t="s">
        <v>1255</v>
      </c>
      <c r="N383" s="3">
        <v>-2678.1278000000002</v>
      </c>
    </row>
    <row r="384" spans="1:14" x14ac:dyDescent="0.35">
      <c r="A384">
        <v>1283</v>
      </c>
      <c r="B384" s="4" t="s">
        <v>494</v>
      </c>
      <c r="C384" s="4" t="s">
        <v>483</v>
      </c>
      <c r="D384" s="4" t="s">
        <v>38</v>
      </c>
      <c r="E384">
        <v>0</v>
      </c>
      <c r="F384" s="3">
        <v>2679.9719</v>
      </c>
      <c r="G384" s="2">
        <v>0.08</v>
      </c>
      <c r="H384" s="3">
        <v>0</v>
      </c>
      <c r="I384" s="1">
        <v>45676</v>
      </c>
      <c r="J384" s="4" t="s">
        <v>23</v>
      </c>
      <c r="K384" s="4" t="s">
        <v>12</v>
      </c>
      <c r="L384" s="3">
        <v>379.24</v>
      </c>
      <c r="M384" s="4" t="s">
        <v>1255</v>
      </c>
      <c r="N384" s="3">
        <v>0</v>
      </c>
    </row>
    <row r="385" spans="1:14" hidden="1" x14ac:dyDescent="0.35">
      <c r="A385">
        <v>1284</v>
      </c>
      <c r="B385" s="4" t="s">
        <v>472</v>
      </c>
      <c r="C385" s="4" t="s">
        <v>501</v>
      </c>
      <c r="D385" s="4" t="s">
        <v>10</v>
      </c>
      <c r="E385">
        <v>0</v>
      </c>
      <c r="F385" s="3">
        <v>1500.19</v>
      </c>
      <c r="G385" s="2">
        <v>0.64848525469168905</v>
      </c>
      <c r="H385" s="3">
        <v>0</v>
      </c>
      <c r="I385" s="1">
        <v>45430</v>
      </c>
      <c r="J385" s="4" t="s">
        <v>23</v>
      </c>
      <c r="K385" s="4" t="s">
        <v>40</v>
      </c>
      <c r="L385" s="3">
        <v>-348.48</v>
      </c>
      <c r="M385" s="4" t="s">
        <v>1255</v>
      </c>
      <c r="N385" s="3">
        <v>0</v>
      </c>
    </row>
    <row r="386" spans="1:14" hidden="1" x14ac:dyDescent="0.35">
      <c r="A386">
        <v>1285</v>
      </c>
      <c r="B386" s="4" t="s">
        <v>259</v>
      </c>
      <c r="C386" s="4" t="s">
        <v>502</v>
      </c>
      <c r="D386" s="4" t="s">
        <v>14</v>
      </c>
      <c r="E386">
        <v>5</v>
      </c>
      <c r="F386" s="3">
        <v>2679.9719</v>
      </c>
      <c r="G386" s="2">
        <v>0.64848525469168905</v>
      </c>
      <c r="H386" s="3">
        <v>0</v>
      </c>
      <c r="I386" s="1">
        <v>45430</v>
      </c>
      <c r="J386" s="4" t="s">
        <v>7</v>
      </c>
      <c r="K386" s="4" t="s">
        <v>40</v>
      </c>
      <c r="L386" s="3">
        <v>2024.84</v>
      </c>
      <c r="M386" s="4" t="s">
        <v>1255</v>
      </c>
      <c r="N386" s="3">
        <v>13399.8595</v>
      </c>
    </row>
    <row r="387" spans="1:14" x14ac:dyDescent="0.35">
      <c r="A387">
        <v>1286</v>
      </c>
      <c r="B387" s="4" t="s">
        <v>79</v>
      </c>
      <c r="C387" s="4" t="s">
        <v>503</v>
      </c>
      <c r="D387" s="4" t="s">
        <v>28</v>
      </c>
      <c r="E387">
        <v>0</v>
      </c>
      <c r="F387" s="3">
        <v>2972.45</v>
      </c>
      <c r="G387" s="2">
        <v>0.64848525469168905</v>
      </c>
      <c r="H387" s="3">
        <v>0</v>
      </c>
      <c r="I387" s="1">
        <v>45651</v>
      </c>
      <c r="J387" s="4" t="s">
        <v>11</v>
      </c>
      <c r="K387" s="4" t="s">
        <v>8</v>
      </c>
      <c r="L387" s="3">
        <v>2562.54</v>
      </c>
      <c r="M387" s="4" t="s">
        <v>1255</v>
      </c>
      <c r="N387" s="3">
        <v>0</v>
      </c>
    </row>
    <row r="388" spans="1:14" x14ac:dyDescent="0.35">
      <c r="A388">
        <v>1287</v>
      </c>
      <c r="B388" s="4" t="s">
        <v>504</v>
      </c>
      <c r="C388" s="4" t="s">
        <v>505</v>
      </c>
      <c r="D388" s="4" t="s">
        <v>6</v>
      </c>
      <c r="E388">
        <v>0</v>
      </c>
      <c r="F388" s="3">
        <v>2680.9942000000001</v>
      </c>
      <c r="G388" s="2">
        <v>0.64848525469168905</v>
      </c>
      <c r="H388" s="3">
        <v>0</v>
      </c>
      <c r="I388" s="1">
        <v>45694</v>
      </c>
      <c r="J388" s="4" t="s">
        <v>18</v>
      </c>
      <c r="K388" s="4" t="s">
        <v>12</v>
      </c>
      <c r="L388" s="3">
        <v>802.66</v>
      </c>
      <c r="M388" s="4" t="s">
        <v>1255</v>
      </c>
      <c r="N388" s="3">
        <v>0</v>
      </c>
    </row>
    <row r="389" spans="1:14" x14ac:dyDescent="0.35">
      <c r="A389">
        <v>1288</v>
      </c>
      <c r="B389" s="4" t="s">
        <v>506</v>
      </c>
      <c r="C389" s="4" t="s">
        <v>507</v>
      </c>
      <c r="D389" s="4" t="s">
        <v>38</v>
      </c>
      <c r="E389">
        <v>4</v>
      </c>
      <c r="F389" s="3">
        <v>2680.7413999999999</v>
      </c>
      <c r="G389" s="2">
        <v>0.64848525469168905</v>
      </c>
      <c r="H389" s="3">
        <v>0</v>
      </c>
      <c r="I389" s="1">
        <v>45694</v>
      </c>
      <c r="J389" s="4" t="s">
        <v>7</v>
      </c>
      <c r="K389" s="4" t="s">
        <v>12</v>
      </c>
      <c r="L389" s="3">
        <v>-492.73</v>
      </c>
      <c r="M389" s="4" t="s">
        <v>1255</v>
      </c>
      <c r="N389" s="3">
        <v>10722.9656</v>
      </c>
    </row>
    <row r="390" spans="1:14" x14ac:dyDescent="0.35">
      <c r="A390">
        <v>1289</v>
      </c>
      <c r="B390" s="4" t="s">
        <v>210</v>
      </c>
      <c r="C390" s="4" t="s">
        <v>149</v>
      </c>
      <c r="D390" s="4" t="s">
        <v>30</v>
      </c>
      <c r="E390">
        <v>0</v>
      </c>
      <c r="F390" s="3">
        <v>3590.85</v>
      </c>
      <c r="G390" s="2">
        <v>0.64848525469168905</v>
      </c>
      <c r="H390" s="3">
        <v>0</v>
      </c>
      <c r="I390" s="1">
        <v>45694</v>
      </c>
      <c r="J390" s="4" t="s">
        <v>11</v>
      </c>
      <c r="K390" s="4" t="s">
        <v>8</v>
      </c>
      <c r="L390" s="3">
        <v>2052.5700000000002</v>
      </c>
      <c r="M390" s="4" t="s">
        <v>1255</v>
      </c>
      <c r="N390" s="3">
        <v>0</v>
      </c>
    </row>
    <row r="391" spans="1:14" x14ac:dyDescent="0.35">
      <c r="A391">
        <v>1290</v>
      </c>
      <c r="B391" s="4" t="s">
        <v>365</v>
      </c>
      <c r="C391" s="4" t="s">
        <v>508</v>
      </c>
      <c r="D391" s="4" t="s">
        <v>6</v>
      </c>
      <c r="E391">
        <v>0</v>
      </c>
      <c r="F391" s="3">
        <v>1412.12</v>
      </c>
      <c r="G391" s="2">
        <v>1.2</v>
      </c>
      <c r="H391" s="3">
        <v>0</v>
      </c>
      <c r="I391" s="1">
        <v>45694</v>
      </c>
      <c r="J391" s="4" t="s">
        <v>7</v>
      </c>
      <c r="K391" s="4" t="s">
        <v>12</v>
      </c>
      <c r="L391" s="3">
        <v>430.92</v>
      </c>
      <c r="M391" s="4" t="s">
        <v>1255</v>
      </c>
      <c r="N391" s="3">
        <v>0</v>
      </c>
    </row>
    <row r="392" spans="1:14" hidden="1" x14ac:dyDescent="0.35">
      <c r="A392">
        <v>1291</v>
      </c>
      <c r="B392" s="4" t="s">
        <v>351</v>
      </c>
      <c r="C392" s="4" t="s">
        <v>509</v>
      </c>
      <c r="D392" s="4" t="s">
        <v>10</v>
      </c>
      <c r="E392">
        <v>0</v>
      </c>
      <c r="F392" s="3">
        <v>2679.9513999999999</v>
      </c>
      <c r="G392" s="2">
        <v>0.64774496644295299</v>
      </c>
      <c r="H392" s="3">
        <v>0</v>
      </c>
      <c r="I392" s="1">
        <v>45694</v>
      </c>
      <c r="J392" s="4" t="s">
        <v>23</v>
      </c>
      <c r="K392" s="4" t="s">
        <v>40</v>
      </c>
      <c r="L392" s="3">
        <v>1073.44</v>
      </c>
      <c r="M392" s="4" t="s">
        <v>1255</v>
      </c>
      <c r="N392" s="3">
        <v>0</v>
      </c>
    </row>
    <row r="393" spans="1:14" hidden="1" x14ac:dyDescent="0.35">
      <c r="A393">
        <v>1292</v>
      </c>
      <c r="B393" s="4" t="s">
        <v>145</v>
      </c>
      <c r="C393" s="4" t="s">
        <v>303</v>
      </c>
      <c r="D393" s="4" t="s">
        <v>24</v>
      </c>
      <c r="E393">
        <v>3</v>
      </c>
      <c r="F393" s="3">
        <v>2681.0529000000001</v>
      </c>
      <c r="G393" s="2">
        <v>0.46</v>
      </c>
      <c r="H393" s="3">
        <v>0</v>
      </c>
      <c r="I393" s="1">
        <v>45694</v>
      </c>
      <c r="J393" s="4" t="s">
        <v>11</v>
      </c>
      <c r="K393" s="4" t="s">
        <v>40</v>
      </c>
      <c r="L393" s="3">
        <v>1165.8599999999999</v>
      </c>
      <c r="M393" s="4" t="s">
        <v>1255</v>
      </c>
      <c r="N393" s="3">
        <v>8043.1587</v>
      </c>
    </row>
    <row r="394" spans="1:14" x14ac:dyDescent="0.35">
      <c r="A394">
        <v>1293</v>
      </c>
      <c r="B394" s="4" t="s">
        <v>510</v>
      </c>
      <c r="C394" s="4" t="s">
        <v>505</v>
      </c>
      <c r="D394" s="4" t="s">
        <v>30</v>
      </c>
      <c r="E394">
        <v>0</v>
      </c>
      <c r="F394" s="3">
        <v>2681.0529000000001</v>
      </c>
      <c r="G394" s="2">
        <v>0.64799731182795695</v>
      </c>
      <c r="H394" s="3">
        <v>0</v>
      </c>
      <c r="I394" s="1">
        <v>45694</v>
      </c>
      <c r="J394" s="4" t="s">
        <v>23</v>
      </c>
      <c r="K394" s="4" t="s">
        <v>12</v>
      </c>
      <c r="L394" s="3">
        <v>2073.16</v>
      </c>
      <c r="M394" s="4" t="s">
        <v>1255</v>
      </c>
      <c r="N394" s="3">
        <v>0</v>
      </c>
    </row>
    <row r="395" spans="1:14" x14ac:dyDescent="0.35">
      <c r="A395">
        <v>1294</v>
      </c>
      <c r="B395" s="4" t="s">
        <v>52</v>
      </c>
      <c r="C395" s="4" t="s">
        <v>74</v>
      </c>
      <c r="D395" s="4" t="s">
        <v>33</v>
      </c>
      <c r="E395">
        <v>0</v>
      </c>
      <c r="F395" s="3">
        <v>2681.0529000000001</v>
      </c>
      <c r="G395" s="2">
        <v>0.56000000000000005</v>
      </c>
      <c r="H395" s="3">
        <v>0</v>
      </c>
      <c r="I395" s="1">
        <v>45694</v>
      </c>
      <c r="J395" s="4" t="s">
        <v>7</v>
      </c>
      <c r="K395" s="4" t="s">
        <v>12</v>
      </c>
      <c r="L395" s="3">
        <v>898.24</v>
      </c>
      <c r="M395" s="4" t="s">
        <v>1255</v>
      </c>
      <c r="N395" s="3">
        <v>0</v>
      </c>
    </row>
    <row r="396" spans="1:14" x14ac:dyDescent="0.35">
      <c r="A396">
        <v>1295</v>
      </c>
      <c r="B396" s="4" t="s">
        <v>398</v>
      </c>
      <c r="C396" s="4" t="s">
        <v>511</v>
      </c>
      <c r="D396" s="4" t="s">
        <v>34</v>
      </c>
      <c r="E396">
        <v>-1</v>
      </c>
      <c r="F396" s="3">
        <v>2681.0529000000001</v>
      </c>
      <c r="G396" s="2">
        <v>0.64811574697173602</v>
      </c>
      <c r="H396" s="3">
        <v>0</v>
      </c>
      <c r="I396" s="1">
        <v>45499</v>
      </c>
      <c r="J396" s="4" t="s">
        <v>18</v>
      </c>
      <c r="K396" s="4" t="s">
        <v>8</v>
      </c>
      <c r="L396" s="3">
        <v>2967.72</v>
      </c>
      <c r="M396" s="4" t="s">
        <v>1255</v>
      </c>
      <c r="N396" s="3">
        <v>-2681.0529000000001</v>
      </c>
    </row>
    <row r="397" spans="1:14" x14ac:dyDescent="0.35">
      <c r="A397">
        <v>1296</v>
      </c>
      <c r="B397" s="4" t="s">
        <v>312</v>
      </c>
      <c r="C397" s="4" t="s">
        <v>196</v>
      </c>
      <c r="D397" s="4" t="s">
        <v>6</v>
      </c>
      <c r="E397">
        <v>-2</v>
      </c>
      <c r="F397" s="3">
        <v>2795.79</v>
      </c>
      <c r="G397" s="2">
        <v>0.64811574697173602</v>
      </c>
      <c r="H397" s="3">
        <v>0</v>
      </c>
      <c r="I397" s="1">
        <v>45742</v>
      </c>
      <c r="J397" s="4" t="s">
        <v>18</v>
      </c>
      <c r="K397" s="4" t="s">
        <v>12</v>
      </c>
      <c r="L397" s="3">
        <v>1438.47</v>
      </c>
      <c r="M397" s="4" t="s">
        <v>1255</v>
      </c>
      <c r="N397" s="3">
        <v>-5591.58</v>
      </c>
    </row>
    <row r="398" spans="1:14" x14ac:dyDescent="0.35">
      <c r="A398">
        <v>1297</v>
      </c>
      <c r="B398" s="4" t="s">
        <v>170</v>
      </c>
      <c r="C398" s="4" t="s">
        <v>512</v>
      </c>
      <c r="D398" s="4" t="s">
        <v>10</v>
      </c>
      <c r="E398">
        <v>0</v>
      </c>
      <c r="F398" s="3">
        <v>4524.2</v>
      </c>
      <c r="G398" s="2">
        <v>0.64811574697173602</v>
      </c>
      <c r="H398" s="3">
        <v>0</v>
      </c>
      <c r="I398" s="1">
        <v>45506</v>
      </c>
      <c r="J398" s="4" t="s">
        <v>7</v>
      </c>
      <c r="K398" s="4" t="s">
        <v>8</v>
      </c>
      <c r="L398" s="3">
        <v>1637.33</v>
      </c>
      <c r="M398" s="4" t="s">
        <v>1255</v>
      </c>
      <c r="N398" s="3">
        <v>0</v>
      </c>
    </row>
    <row r="399" spans="1:14" x14ac:dyDescent="0.35">
      <c r="A399">
        <v>1298</v>
      </c>
      <c r="B399" s="4" t="s">
        <v>294</v>
      </c>
      <c r="C399" s="4" t="s">
        <v>513</v>
      </c>
      <c r="D399" s="4" t="s">
        <v>28</v>
      </c>
      <c r="E399">
        <v>0</v>
      </c>
      <c r="F399" s="3">
        <v>2680.9531000000002</v>
      </c>
      <c r="G399" s="2">
        <v>0.64811574697173602</v>
      </c>
      <c r="H399" s="3">
        <v>0</v>
      </c>
      <c r="I399" s="1">
        <v>45657</v>
      </c>
      <c r="J399" s="4" t="s">
        <v>9</v>
      </c>
      <c r="K399" s="4" t="s">
        <v>8</v>
      </c>
      <c r="L399" s="3">
        <v>2490.23</v>
      </c>
      <c r="M399" s="4" t="s">
        <v>1255</v>
      </c>
      <c r="N399" s="3">
        <v>0</v>
      </c>
    </row>
    <row r="400" spans="1:14" x14ac:dyDescent="0.35">
      <c r="A400">
        <v>1299</v>
      </c>
      <c r="B400" s="4" t="s">
        <v>93</v>
      </c>
      <c r="C400" s="4" t="s">
        <v>514</v>
      </c>
      <c r="D400" s="4" t="s">
        <v>30</v>
      </c>
      <c r="E400">
        <v>1</v>
      </c>
      <c r="F400" s="3">
        <v>1026.58</v>
      </c>
      <c r="G400" s="2">
        <v>0.64811574697173602</v>
      </c>
      <c r="H400" s="3">
        <v>0</v>
      </c>
      <c r="I400" s="1">
        <v>45591</v>
      </c>
      <c r="J400" s="4" t="s">
        <v>23</v>
      </c>
      <c r="K400" s="4" t="s">
        <v>8</v>
      </c>
      <c r="L400" s="3">
        <v>1178.3699999999999</v>
      </c>
      <c r="M400" s="4" t="s">
        <v>1255</v>
      </c>
      <c r="N400" s="3">
        <v>1026.58</v>
      </c>
    </row>
    <row r="401" spans="1:14" x14ac:dyDescent="0.35">
      <c r="A401">
        <v>1300</v>
      </c>
      <c r="B401" s="4" t="s">
        <v>515</v>
      </c>
      <c r="C401" s="4" t="s">
        <v>149</v>
      </c>
      <c r="D401" s="4" t="s">
        <v>6</v>
      </c>
      <c r="E401">
        <v>0</v>
      </c>
      <c r="F401" s="3">
        <v>4611.8999999999996</v>
      </c>
      <c r="G401" s="2">
        <v>0.64811574697173602</v>
      </c>
      <c r="H401" s="3">
        <v>0</v>
      </c>
      <c r="I401" s="1">
        <v>45772</v>
      </c>
      <c r="J401" s="4" t="s">
        <v>7</v>
      </c>
      <c r="K401" s="4" t="s">
        <v>12</v>
      </c>
      <c r="L401" s="3">
        <v>703.48</v>
      </c>
      <c r="M401" s="4" t="s">
        <v>1255</v>
      </c>
      <c r="N401" s="3">
        <v>0</v>
      </c>
    </row>
    <row r="402" spans="1:14" x14ac:dyDescent="0.35">
      <c r="A402">
        <v>1302</v>
      </c>
      <c r="B402" s="4" t="s">
        <v>276</v>
      </c>
      <c r="C402" s="4" t="s">
        <v>160</v>
      </c>
      <c r="D402" s="4" t="s">
        <v>32</v>
      </c>
      <c r="E402">
        <v>5</v>
      </c>
      <c r="F402" s="3">
        <v>2679.105</v>
      </c>
      <c r="G402" s="2">
        <v>0.09</v>
      </c>
      <c r="H402" s="3">
        <v>0</v>
      </c>
      <c r="I402" s="1">
        <v>45702</v>
      </c>
      <c r="J402" s="4" t="s">
        <v>9</v>
      </c>
      <c r="K402" s="4" t="s">
        <v>8</v>
      </c>
      <c r="L402" s="3">
        <v>339.17</v>
      </c>
      <c r="M402" s="4" t="s">
        <v>1255</v>
      </c>
      <c r="N402" s="3">
        <v>13395.525</v>
      </c>
    </row>
    <row r="403" spans="1:14" x14ac:dyDescent="0.35">
      <c r="A403">
        <v>1303</v>
      </c>
      <c r="B403" s="4" t="s">
        <v>81</v>
      </c>
      <c r="C403" s="4" t="s">
        <v>82</v>
      </c>
      <c r="D403" s="4" t="s">
        <v>21</v>
      </c>
      <c r="E403">
        <v>3</v>
      </c>
      <c r="F403" s="3">
        <v>1192.1600000000001</v>
      </c>
      <c r="G403" s="2">
        <v>0.64819163292847504</v>
      </c>
      <c r="H403" s="3">
        <v>0</v>
      </c>
      <c r="I403" s="1">
        <v>45702</v>
      </c>
      <c r="J403" s="4" t="s">
        <v>20</v>
      </c>
      <c r="K403" s="4" t="s">
        <v>12</v>
      </c>
      <c r="L403" s="3">
        <v>505.33</v>
      </c>
      <c r="M403" s="4" t="s">
        <v>1255</v>
      </c>
      <c r="N403" s="3">
        <v>3576.48</v>
      </c>
    </row>
    <row r="404" spans="1:14" hidden="1" x14ac:dyDescent="0.35">
      <c r="A404">
        <v>1305</v>
      </c>
      <c r="B404" s="4" t="s">
        <v>296</v>
      </c>
      <c r="C404" s="4" t="s">
        <v>516</v>
      </c>
      <c r="D404" s="4" t="s">
        <v>27</v>
      </c>
      <c r="E404">
        <v>3</v>
      </c>
      <c r="F404" s="3">
        <v>2680.4025000000001</v>
      </c>
      <c r="G404" s="2">
        <v>0.64819163292847504</v>
      </c>
      <c r="H404" s="3">
        <v>0</v>
      </c>
      <c r="I404" s="1">
        <v>45157</v>
      </c>
      <c r="J404" s="4" t="s">
        <v>7</v>
      </c>
      <c r="K404" s="4" t="s">
        <v>40</v>
      </c>
      <c r="L404" s="3">
        <v>2861.3</v>
      </c>
      <c r="M404" s="4" t="s">
        <v>1255</v>
      </c>
      <c r="N404" s="3">
        <v>8041.2075000000004</v>
      </c>
    </row>
    <row r="405" spans="1:14" hidden="1" x14ac:dyDescent="0.35">
      <c r="A405">
        <v>1306</v>
      </c>
      <c r="B405" s="4" t="s">
        <v>47</v>
      </c>
      <c r="C405" s="4" t="s">
        <v>149</v>
      </c>
      <c r="D405" s="4" t="s">
        <v>14</v>
      </c>
      <c r="E405">
        <v>4</v>
      </c>
      <c r="F405" s="3">
        <v>2679.9326000000001</v>
      </c>
      <c r="G405" s="2">
        <v>0.64819163292847504</v>
      </c>
      <c r="H405" s="3">
        <v>0</v>
      </c>
      <c r="I405" s="1">
        <v>45157</v>
      </c>
      <c r="J405" s="4" t="s">
        <v>9</v>
      </c>
      <c r="K405" s="4" t="s">
        <v>40</v>
      </c>
      <c r="L405" s="3">
        <v>99.1</v>
      </c>
      <c r="M405" s="4" t="s">
        <v>1255</v>
      </c>
      <c r="N405" s="3">
        <v>10719.7304</v>
      </c>
    </row>
    <row r="406" spans="1:14" x14ac:dyDescent="0.35">
      <c r="A406">
        <v>1307</v>
      </c>
      <c r="B406" s="4" t="s">
        <v>159</v>
      </c>
      <c r="C406" s="4" t="s">
        <v>349</v>
      </c>
      <c r="D406" s="4" t="s">
        <v>24</v>
      </c>
      <c r="E406">
        <v>2</v>
      </c>
      <c r="F406" s="3">
        <v>2648.43</v>
      </c>
      <c r="G406" s="2">
        <v>0.64819163292847504</v>
      </c>
      <c r="H406" s="3">
        <v>0</v>
      </c>
      <c r="I406" s="1">
        <v>45512</v>
      </c>
      <c r="J406" s="4" t="s">
        <v>9</v>
      </c>
      <c r="K406" s="4" t="s">
        <v>12</v>
      </c>
      <c r="L406" s="3">
        <v>642</v>
      </c>
      <c r="M406" s="4" t="s">
        <v>1255</v>
      </c>
      <c r="N406" s="3">
        <v>5296.86</v>
      </c>
    </row>
    <row r="407" spans="1:14" x14ac:dyDescent="0.35">
      <c r="A407">
        <v>1308</v>
      </c>
      <c r="B407" s="4" t="s">
        <v>121</v>
      </c>
      <c r="C407" s="4" t="s">
        <v>166</v>
      </c>
      <c r="D407" s="4" t="s">
        <v>31</v>
      </c>
      <c r="E407">
        <v>2</v>
      </c>
      <c r="F407" s="3">
        <v>4203.62</v>
      </c>
      <c r="G407" s="2">
        <v>0.64819163292847504</v>
      </c>
      <c r="H407" s="3">
        <v>0</v>
      </c>
      <c r="I407" s="1">
        <v>45755</v>
      </c>
      <c r="J407" s="4" t="s">
        <v>11</v>
      </c>
      <c r="K407" s="4" t="s">
        <v>12</v>
      </c>
      <c r="L407" s="3">
        <v>464.65</v>
      </c>
      <c r="M407" s="4" t="s">
        <v>1255</v>
      </c>
      <c r="N407" s="3">
        <v>8407.24</v>
      </c>
    </row>
    <row r="408" spans="1:14" x14ac:dyDescent="0.35">
      <c r="A408">
        <v>1309</v>
      </c>
      <c r="B408" s="4" t="s">
        <v>517</v>
      </c>
      <c r="C408" s="4" t="s">
        <v>329</v>
      </c>
      <c r="D408" s="4" t="s">
        <v>35</v>
      </c>
      <c r="E408">
        <v>0</v>
      </c>
      <c r="F408" s="3">
        <v>2679.9602</v>
      </c>
      <c r="G408" s="2">
        <v>0.64819163292847504</v>
      </c>
      <c r="H408" s="3">
        <v>0</v>
      </c>
      <c r="I408" s="1">
        <v>45719</v>
      </c>
      <c r="J408" s="4" t="s">
        <v>20</v>
      </c>
      <c r="K408" s="4" t="s">
        <v>12</v>
      </c>
      <c r="L408" s="3">
        <v>481.45</v>
      </c>
      <c r="M408" s="4" t="s">
        <v>1255</v>
      </c>
      <c r="N408" s="3">
        <v>0</v>
      </c>
    </row>
    <row r="409" spans="1:14" x14ac:dyDescent="0.35">
      <c r="A409">
        <v>1310</v>
      </c>
      <c r="B409" s="4" t="s">
        <v>50</v>
      </c>
      <c r="C409" s="4" t="s">
        <v>82</v>
      </c>
      <c r="D409" s="4" t="s">
        <v>24</v>
      </c>
      <c r="E409">
        <v>0</v>
      </c>
      <c r="F409" s="3">
        <v>2678.6271000000002</v>
      </c>
      <c r="G409" s="2">
        <v>0.64819163292847504</v>
      </c>
      <c r="H409" s="3">
        <v>0</v>
      </c>
      <c r="I409" s="1">
        <v>45720</v>
      </c>
      <c r="J409" s="4" t="s">
        <v>20</v>
      </c>
      <c r="K409" s="4" t="s">
        <v>12</v>
      </c>
      <c r="L409" s="3">
        <v>1516.35</v>
      </c>
      <c r="M409" s="4" t="s">
        <v>1255</v>
      </c>
      <c r="N409" s="3">
        <v>0</v>
      </c>
    </row>
    <row r="410" spans="1:14" x14ac:dyDescent="0.35">
      <c r="A410">
        <v>1311</v>
      </c>
      <c r="B410" s="4" t="s">
        <v>262</v>
      </c>
      <c r="C410" s="4" t="s">
        <v>518</v>
      </c>
      <c r="D410" s="4" t="s">
        <v>27</v>
      </c>
      <c r="E410">
        <v>3</v>
      </c>
      <c r="F410" s="3">
        <v>2678.6271000000002</v>
      </c>
      <c r="G410" s="2">
        <v>0.13</v>
      </c>
      <c r="H410" s="3">
        <v>0</v>
      </c>
      <c r="I410" s="1">
        <v>45272</v>
      </c>
      <c r="J410" s="4" t="s">
        <v>11</v>
      </c>
      <c r="K410" s="4" t="s">
        <v>12</v>
      </c>
      <c r="L410" s="3">
        <v>-109.19</v>
      </c>
      <c r="M410" s="4" t="s">
        <v>1255</v>
      </c>
      <c r="N410" s="3">
        <v>8035.8813</v>
      </c>
    </row>
    <row r="411" spans="1:14" x14ac:dyDescent="0.35">
      <c r="A411">
        <v>1312</v>
      </c>
      <c r="B411" s="4" t="s">
        <v>271</v>
      </c>
      <c r="C411" s="4" t="s">
        <v>293</v>
      </c>
      <c r="D411" s="4" t="s">
        <v>19</v>
      </c>
      <c r="E411">
        <v>0</v>
      </c>
      <c r="F411" s="3">
        <v>2678.6271000000002</v>
      </c>
      <c r="G411" s="2">
        <v>0.648891891891892</v>
      </c>
      <c r="H411" s="3">
        <v>0</v>
      </c>
      <c r="I411" s="1">
        <v>45806</v>
      </c>
      <c r="J411" s="4" t="s">
        <v>20</v>
      </c>
      <c r="K411" s="4" t="s">
        <v>12</v>
      </c>
      <c r="L411" s="3">
        <v>-646.16</v>
      </c>
      <c r="M411" s="4" t="s">
        <v>1255</v>
      </c>
      <c r="N411" s="3">
        <v>0</v>
      </c>
    </row>
    <row r="412" spans="1:14" x14ac:dyDescent="0.35">
      <c r="A412">
        <v>1313</v>
      </c>
      <c r="B412" s="4" t="s">
        <v>379</v>
      </c>
      <c r="C412" s="4" t="s">
        <v>519</v>
      </c>
      <c r="D412" s="4" t="s">
        <v>33</v>
      </c>
      <c r="E412">
        <v>0</v>
      </c>
      <c r="F412" s="3">
        <v>4763.45</v>
      </c>
      <c r="G412" s="2">
        <v>0.96</v>
      </c>
      <c r="H412" s="3">
        <v>0</v>
      </c>
      <c r="I412" s="1">
        <v>45284</v>
      </c>
      <c r="J412" s="4" t="s">
        <v>20</v>
      </c>
      <c r="K412" s="4" t="s">
        <v>8</v>
      </c>
      <c r="L412" s="3">
        <v>-581.35</v>
      </c>
      <c r="M412" s="4" t="s">
        <v>1255</v>
      </c>
      <c r="N412" s="3">
        <v>0</v>
      </c>
    </row>
    <row r="413" spans="1:14" x14ac:dyDescent="0.35">
      <c r="A413">
        <v>1314</v>
      </c>
      <c r="B413" s="4" t="s">
        <v>520</v>
      </c>
      <c r="C413" s="4" t="s">
        <v>521</v>
      </c>
      <c r="D413" s="4" t="s">
        <v>38</v>
      </c>
      <c r="E413">
        <v>-1</v>
      </c>
      <c r="F413" s="3">
        <v>2678.6271000000002</v>
      </c>
      <c r="G413" s="2">
        <v>0.64847090663058204</v>
      </c>
      <c r="H413" s="3">
        <v>0</v>
      </c>
      <c r="I413" s="1">
        <v>45626</v>
      </c>
      <c r="J413" s="4" t="s">
        <v>23</v>
      </c>
      <c r="K413" s="4" t="s">
        <v>8</v>
      </c>
      <c r="L413" s="3">
        <v>1148.06</v>
      </c>
      <c r="M413" s="4" t="s">
        <v>1255</v>
      </c>
      <c r="N413" s="3">
        <v>-2678.6271000000002</v>
      </c>
    </row>
    <row r="414" spans="1:14" hidden="1" x14ac:dyDescent="0.35">
      <c r="A414">
        <v>1315</v>
      </c>
      <c r="B414" s="4" t="s">
        <v>60</v>
      </c>
      <c r="C414" s="4" t="s">
        <v>337</v>
      </c>
      <c r="D414" s="4" t="s">
        <v>16</v>
      </c>
      <c r="E414">
        <v>-2</v>
      </c>
      <c r="F414" s="3">
        <v>515.04</v>
      </c>
      <c r="G414" s="2">
        <v>0.64847090663058204</v>
      </c>
      <c r="H414" s="3">
        <v>0</v>
      </c>
      <c r="I414" s="1">
        <v>45473</v>
      </c>
      <c r="J414" s="4" t="s">
        <v>18</v>
      </c>
      <c r="K414" s="4" t="s">
        <v>40</v>
      </c>
      <c r="L414" s="3">
        <v>-279.01</v>
      </c>
      <c r="M414" s="4" t="s">
        <v>1255</v>
      </c>
      <c r="N414" s="3">
        <v>-1030.08</v>
      </c>
    </row>
    <row r="415" spans="1:14" hidden="1" x14ac:dyDescent="0.35">
      <c r="A415">
        <v>1316</v>
      </c>
      <c r="B415" s="4" t="s">
        <v>522</v>
      </c>
      <c r="C415" s="4" t="s">
        <v>523</v>
      </c>
      <c r="D415" s="4" t="s">
        <v>15</v>
      </c>
      <c r="E415">
        <v>0</v>
      </c>
      <c r="F415" s="3">
        <v>1345.98</v>
      </c>
      <c r="G415" s="2">
        <v>0.64847090663058204</v>
      </c>
      <c r="H415" s="3">
        <v>0</v>
      </c>
      <c r="I415" s="1">
        <v>45769</v>
      </c>
      <c r="J415" s="4" t="s">
        <v>20</v>
      </c>
      <c r="K415" s="4" t="s">
        <v>40</v>
      </c>
      <c r="L415" s="3">
        <v>-177.6</v>
      </c>
      <c r="M415" s="4" t="s">
        <v>1255</v>
      </c>
      <c r="N415" s="3">
        <v>0</v>
      </c>
    </row>
    <row r="416" spans="1:14" x14ac:dyDescent="0.35">
      <c r="A416">
        <v>1317</v>
      </c>
      <c r="B416" s="4" t="s">
        <v>444</v>
      </c>
      <c r="C416" s="4" t="s">
        <v>158</v>
      </c>
      <c r="D416" s="4" t="s">
        <v>33</v>
      </c>
      <c r="E416">
        <v>0</v>
      </c>
      <c r="F416" s="3">
        <v>2678.6961999999999</v>
      </c>
      <c r="G416" s="2">
        <v>0.64847090663058204</v>
      </c>
      <c r="H416" s="3">
        <v>0</v>
      </c>
      <c r="I416" s="1">
        <v>45508</v>
      </c>
      <c r="J416" s="4" t="s">
        <v>11</v>
      </c>
      <c r="K416" s="4" t="s">
        <v>12</v>
      </c>
      <c r="L416" s="3">
        <v>-476.45</v>
      </c>
      <c r="M416" s="4" t="s">
        <v>1255</v>
      </c>
      <c r="N416" s="3">
        <v>0</v>
      </c>
    </row>
    <row r="417" spans="1:14" x14ac:dyDescent="0.35">
      <c r="A417">
        <v>1318</v>
      </c>
      <c r="B417" s="4" t="s">
        <v>524</v>
      </c>
      <c r="C417" s="4" t="s">
        <v>433</v>
      </c>
      <c r="D417" s="4" t="s">
        <v>14</v>
      </c>
      <c r="E417">
        <v>3</v>
      </c>
      <c r="F417" s="3">
        <v>2679.8652000000002</v>
      </c>
      <c r="G417" s="2">
        <v>0.64847090663058204</v>
      </c>
      <c r="H417" s="3">
        <v>0</v>
      </c>
      <c r="I417" s="1">
        <v>45508</v>
      </c>
      <c r="J417" s="4" t="s">
        <v>20</v>
      </c>
      <c r="K417" s="4" t="s">
        <v>8</v>
      </c>
      <c r="L417" s="3">
        <v>1830.14</v>
      </c>
      <c r="M417" s="4" t="s">
        <v>1255</v>
      </c>
      <c r="N417" s="3">
        <v>8039.5955999999996</v>
      </c>
    </row>
    <row r="418" spans="1:14" hidden="1" x14ac:dyDescent="0.35">
      <c r="A418">
        <v>1319</v>
      </c>
      <c r="B418" s="4" t="s">
        <v>392</v>
      </c>
      <c r="C418" s="4" t="s">
        <v>525</v>
      </c>
      <c r="D418" s="4" t="s">
        <v>31</v>
      </c>
      <c r="E418">
        <v>0</v>
      </c>
      <c r="F418" s="3">
        <v>2679.8652000000002</v>
      </c>
      <c r="G418" s="2">
        <v>0.64847090663058204</v>
      </c>
      <c r="H418" s="3">
        <v>0</v>
      </c>
      <c r="I418" s="1">
        <v>45358</v>
      </c>
      <c r="J418" s="4" t="s">
        <v>9</v>
      </c>
      <c r="K418" s="4" t="s">
        <v>40</v>
      </c>
      <c r="L418" s="3">
        <v>-66.17</v>
      </c>
      <c r="M418" s="4" t="s">
        <v>1255</v>
      </c>
      <c r="N418" s="3">
        <v>0</v>
      </c>
    </row>
    <row r="419" spans="1:14" x14ac:dyDescent="0.35">
      <c r="A419">
        <v>1320</v>
      </c>
      <c r="B419" s="4" t="s">
        <v>60</v>
      </c>
      <c r="C419" s="4" t="s">
        <v>526</v>
      </c>
      <c r="D419" s="4" t="s">
        <v>14</v>
      </c>
      <c r="E419">
        <v>4</v>
      </c>
      <c r="F419" s="3">
        <v>2679.8652000000002</v>
      </c>
      <c r="G419" s="2">
        <v>0.64847090663058204</v>
      </c>
      <c r="H419" s="3">
        <v>0</v>
      </c>
      <c r="I419" s="1">
        <v>45358</v>
      </c>
      <c r="J419" s="4" t="s">
        <v>7</v>
      </c>
      <c r="K419" s="4" t="s">
        <v>12</v>
      </c>
      <c r="L419" s="3">
        <v>2011.4</v>
      </c>
      <c r="M419" s="4" t="s">
        <v>1255</v>
      </c>
      <c r="N419" s="3">
        <v>10719.460800000001</v>
      </c>
    </row>
    <row r="420" spans="1:14" hidden="1" x14ac:dyDescent="0.35">
      <c r="A420">
        <v>1321</v>
      </c>
      <c r="B420" s="4" t="s">
        <v>121</v>
      </c>
      <c r="C420" s="4" t="s">
        <v>527</v>
      </c>
      <c r="D420" s="4" t="s">
        <v>34</v>
      </c>
      <c r="E420">
        <v>3</v>
      </c>
      <c r="F420" s="3">
        <v>2679.8652000000002</v>
      </c>
      <c r="G420" s="2">
        <v>1.02</v>
      </c>
      <c r="H420" s="3">
        <v>0</v>
      </c>
      <c r="I420" s="1">
        <v>45561</v>
      </c>
      <c r="J420" s="4" t="s">
        <v>7</v>
      </c>
      <c r="K420" s="4" t="s">
        <v>40</v>
      </c>
      <c r="L420" s="3">
        <v>632.23</v>
      </c>
      <c r="M420" s="4" t="s">
        <v>1255</v>
      </c>
      <c r="N420" s="3">
        <v>8039.5955999999996</v>
      </c>
    </row>
    <row r="421" spans="1:14" x14ac:dyDescent="0.35">
      <c r="A421">
        <v>1322</v>
      </c>
      <c r="B421" s="4" t="s">
        <v>312</v>
      </c>
      <c r="C421" s="4" t="s">
        <v>528</v>
      </c>
      <c r="D421" s="4" t="s">
        <v>26</v>
      </c>
      <c r="E421">
        <v>0</v>
      </c>
      <c r="F421" s="3">
        <v>2387.61</v>
      </c>
      <c r="G421" s="2">
        <v>0.64796747967479695</v>
      </c>
      <c r="H421" s="3">
        <v>0</v>
      </c>
      <c r="I421" s="1">
        <v>45628</v>
      </c>
      <c r="J421" s="4" t="s">
        <v>7</v>
      </c>
      <c r="K421" s="4" t="s">
        <v>8</v>
      </c>
      <c r="L421" s="3">
        <v>822.46</v>
      </c>
      <c r="M421" s="4" t="s">
        <v>1255</v>
      </c>
      <c r="N421" s="3">
        <v>0</v>
      </c>
    </row>
    <row r="422" spans="1:14" hidden="1" x14ac:dyDescent="0.35">
      <c r="A422">
        <v>1323</v>
      </c>
      <c r="B422" s="4" t="s">
        <v>219</v>
      </c>
      <c r="C422" s="4" t="s">
        <v>399</v>
      </c>
      <c r="D422" s="4" t="s">
        <v>10</v>
      </c>
      <c r="E422">
        <v>0</v>
      </c>
      <c r="F422" s="3">
        <v>2679.8652000000002</v>
      </c>
      <c r="G422" s="2">
        <v>1.1200000000000001</v>
      </c>
      <c r="H422" s="3">
        <v>0</v>
      </c>
      <c r="I422" s="1">
        <v>45412</v>
      </c>
      <c r="J422" s="4" t="s">
        <v>20</v>
      </c>
      <c r="K422" s="4" t="s">
        <v>40</v>
      </c>
      <c r="L422" s="3">
        <v>-96.6</v>
      </c>
      <c r="M422" s="4" t="s">
        <v>1255</v>
      </c>
      <c r="N422" s="3">
        <v>0</v>
      </c>
    </row>
    <row r="423" spans="1:14" x14ac:dyDescent="0.35">
      <c r="A423">
        <v>1324</v>
      </c>
      <c r="B423" s="4" t="s">
        <v>179</v>
      </c>
      <c r="C423" s="4" t="s">
        <v>529</v>
      </c>
      <c r="D423" s="4" t="s">
        <v>27</v>
      </c>
      <c r="E423">
        <v>0</v>
      </c>
      <c r="F423" s="3">
        <v>2680.1217999999999</v>
      </c>
      <c r="G423" s="2">
        <v>0.64732700135685195</v>
      </c>
      <c r="H423" s="3">
        <v>0</v>
      </c>
      <c r="I423" s="1">
        <v>45638</v>
      </c>
      <c r="J423" s="4" t="s">
        <v>11</v>
      </c>
      <c r="K423" s="4" t="s">
        <v>8</v>
      </c>
      <c r="L423" s="3">
        <v>-610.52</v>
      </c>
      <c r="M423" s="4" t="s">
        <v>1255</v>
      </c>
      <c r="N423" s="3">
        <v>0</v>
      </c>
    </row>
    <row r="424" spans="1:14" hidden="1" x14ac:dyDescent="0.35">
      <c r="A424">
        <v>1325</v>
      </c>
      <c r="B424" s="4" t="s">
        <v>254</v>
      </c>
      <c r="C424" s="4" t="s">
        <v>507</v>
      </c>
      <c r="D424" s="4" t="s">
        <v>32</v>
      </c>
      <c r="E424">
        <v>0</v>
      </c>
      <c r="F424" s="3">
        <v>1315.93</v>
      </c>
      <c r="G424" s="2">
        <v>0.64732700135685195</v>
      </c>
      <c r="H424" s="3">
        <v>0</v>
      </c>
      <c r="I424" s="1">
        <v>45844</v>
      </c>
      <c r="J424" s="4" t="s">
        <v>18</v>
      </c>
      <c r="K424" s="4" t="s">
        <v>40</v>
      </c>
      <c r="L424" s="3">
        <v>1435.03</v>
      </c>
      <c r="M424" s="4" t="s">
        <v>1255</v>
      </c>
      <c r="N424" s="3">
        <v>0</v>
      </c>
    </row>
    <row r="425" spans="1:14" hidden="1" x14ac:dyDescent="0.35">
      <c r="A425">
        <v>1326</v>
      </c>
      <c r="B425" s="4" t="s">
        <v>426</v>
      </c>
      <c r="C425" s="4" t="s">
        <v>114</v>
      </c>
      <c r="D425" s="4" t="s">
        <v>17</v>
      </c>
      <c r="E425">
        <v>0</v>
      </c>
      <c r="F425" s="3">
        <v>4104.3599999999997</v>
      </c>
      <c r="G425" s="2">
        <v>1.1100000000000001</v>
      </c>
      <c r="H425" s="3">
        <v>0</v>
      </c>
      <c r="I425" s="1">
        <v>45648</v>
      </c>
      <c r="J425" s="4" t="s">
        <v>11</v>
      </c>
      <c r="K425" s="4" t="s">
        <v>40</v>
      </c>
      <c r="L425" s="3">
        <v>1404.45</v>
      </c>
      <c r="M425" s="4" t="s">
        <v>1255</v>
      </c>
      <c r="N425" s="3">
        <v>0</v>
      </c>
    </row>
    <row r="426" spans="1:14" hidden="1" x14ac:dyDescent="0.35">
      <c r="A426">
        <v>1327</v>
      </c>
      <c r="B426" s="4" t="s">
        <v>56</v>
      </c>
      <c r="C426" s="4" t="s">
        <v>530</v>
      </c>
      <c r="D426" s="4" t="s">
        <v>38</v>
      </c>
      <c r="E426">
        <v>0</v>
      </c>
      <c r="F426" s="3">
        <v>2964.44</v>
      </c>
      <c r="G426" s="2">
        <v>0.64669836956521698</v>
      </c>
      <c r="H426" s="3">
        <v>0</v>
      </c>
      <c r="I426" s="1">
        <v>45144</v>
      </c>
      <c r="J426" s="4" t="s">
        <v>11</v>
      </c>
      <c r="K426" s="4" t="s">
        <v>40</v>
      </c>
      <c r="L426" s="3">
        <v>2021.54</v>
      </c>
      <c r="M426" s="4" t="s">
        <v>1255</v>
      </c>
      <c r="N426" s="3">
        <v>0</v>
      </c>
    </row>
    <row r="427" spans="1:14" x14ac:dyDescent="0.35">
      <c r="A427">
        <v>1328</v>
      </c>
      <c r="B427" s="4" t="s">
        <v>172</v>
      </c>
      <c r="C427" s="4" t="s">
        <v>454</v>
      </c>
      <c r="D427" s="4" t="s">
        <v>29</v>
      </c>
      <c r="E427">
        <v>4</v>
      </c>
      <c r="F427" s="3">
        <v>3250.24</v>
      </c>
      <c r="G427" s="2">
        <v>0.56000000000000005</v>
      </c>
      <c r="H427" s="3">
        <v>5720.42</v>
      </c>
      <c r="I427" s="1">
        <v>45804</v>
      </c>
      <c r="J427" s="4" t="s">
        <v>20</v>
      </c>
      <c r="K427" s="4" t="s">
        <v>12</v>
      </c>
      <c r="L427" s="3">
        <v>2269.54</v>
      </c>
      <c r="M427" s="4" t="s">
        <v>1256</v>
      </c>
      <c r="N427" s="3">
        <v>13000.96</v>
      </c>
    </row>
    <row r="428" spans="1:14" x14ac:dyDescent="0.35">
      <c r="A428">
        <v>1329</v>
      </c>
      <c r="B428" s="4" t="s">
        <v>212</v>
      </c>
      <c r="C428" s="4" t="s">
        <v>531</v>
      </c>
      <c r="D428" s="4" t="s">
        <v>28</v>
      </c>
      <c r="E428">
        <v>1</v>
      </c>
      <c r="F428" s="3">
        <v>2587.7800000000002</v>
      </c>
      <c r="G428" s="2">
        <v>0.64681632653061205</v>
      </c>
      <c r="H428" s="3">
        <v>0</v>
      </c>
      <c r="I428" s="1">
        <v>45285</v>
      </c>
      <c r="J428" s="4" t="s">
        <v>23</v>
      </c>
      <c r="K428" s="4" t="s">
        <v>8</v>
      </c>
      <c r="L428" s="3">
        <v>1667.02</v>
      </c>
      <c r="M428" s="4" t="s">
        <v>1255</v>
      </c>
      <c r="N428" s="3">
        <v>2587.7800000000002</v>
      </c>
    </row>
    <row r="429" spans="1:14" x14ac:dyDescent="0.35">
      <c r="A429">
        <v>1330</v>
      </c>
      <c r="B429" s="4" t="s">
        <v>166</v>
      </c>
      <c r="C429" s="4" t="s">
        <v>532</v>
      </c>
      <c r="D429" s="4" t="s">
        <v>24</v>
      </c>
      <c r="E429">
        <v>-2</v>
      </c>
      <c r="F429" s="3">
        <v>2679.3161</v>
      </c>
      <c r="G429" s="2">
        <v>0.64681632653061205</v>
      </c>
      <c r="H429" s="3">
        <v>0</v>
      </c>
      <c r="I429" s="1">
        <v>45656</v>
      </c>
      <c r="J429" s="4" t="s">
        <v>9</v>
      </c>
      <c r="K429" s="4" t="s">
        <v>8</v>
      </c>
      <c r="L429" s="3">
        <v>-587.38</v>
      </c>
      <c r="M429" s="4" t="s">
        <v>1255</v>
      </c>
      <c r="N429" s="3">
        <v>-5358.6322</v>
      </c>
    </row>
    <row r="430" spans="1:14" hidden="1" x14ac:dyDescent="0.35">
      <c r="A430">
        <v>1331</v>
      </c>
      <c r="B430" s="4" t="s">
        <v>533</v>
      </c>
      <c r="C430" s="4" t="s">
        <v>534</v>
      </c>
      <c r="D430" s="4" t="s">
        <v>14</v>
      </c>
      <c r="E430">
        <v>6</v>
      </c>
      <c r="F430" s="3">
        <v>2679.3968</v>
      </c>
      <c r="G430" s="2">
        <v>0.64681632653061205</v>
      </c>
      <c r="H430" s="3">
        <v>0</v>
      </c>
      <c r="I430" s="1">
        <v>45682</v>
      </c>
      <c r="J430" s="4" t="s">
        <v>18</v>
      </c>
      <c r="K430" s="4" t="s">
        <v>40</v>
      </c>
      <c r="L430" s="3">
        <v>1301.18</v>
      </c>
      <c r="M430" s="4" t="s">
        <v>1255</v>
      </c>
      <c r="N430" s="3">
        <v>16076.380800000001</v>
      </c>
    </row>
    <row r="431" spans="1:14" x14ac:dyDescent="0.35">
      <c r="A431">
        <v>1332</v>
      </c>
      <c r="B431" s="4" t="s">
        <v>535</v>
      </c>
      <c r="C431" s="4" t="s">
        <v>329</v>
      </c>
      <c r="D431" s="4" t="s">
        <v>28</v>
      </c>
      <c r="E431">
        <v>0</v>
      </c>
      <c r="F431" s="3">
        <v>2679.3968</v>
      </c>
      <c r="G431" s="2">
        <v>0</v>
      </c>
      <c r="H431" s="3">
        <v>0</v>
      </c>
      <c r="I431" s="1">
        <v>45788</v>
      </c>
      <c r="J431" s="4" t="s">
        <v>11</v>
      </c>
      <c r="K431" s="4" t="s">
        <v>8</v>
      </c>
      <c r="L431" s="3">
        <v>2301.09</v>
      </c>
      <c r="M431" s="4" t="s">
        <v>1255</v>
      </c>
      <c r="N431" s="3">
        <v>0</v>
      </c>
    </row>
    <row r="432" spans="1:14" hidden="1" x14ac:dyDescent="0.35">
      <c r="A432">
        <v>1334</v>
      </c>
      <c r="B432" s="4" t="s">
        <v>155</v>
      </c>
      <c r="C432" s="4" t="s">
        <v>320</v>
      </c>
      <c r="D432" s="4" t="s">
        <v>24</v>
      </c>
      <c r="E432">
        <v>6</v>
      </c>
      <c r="F432" s="3">
        <v>1454.69</v>
      </c>
      <c r="G432" s="2">
        <v>0.64769754768392396</v>
      </c>
      <c r="H432" s="3">
        <v>0</v>
      </c>
      <c r="I432" s="1">
        <v>45814</v>
      </c>
      <c r="J432" s="4" t="s">
        <v>7</v>
      </c>
      <c r="K432" s="4" t="s">
        <v>40</v>
      </c>
      <c r="L432" s="3">
        <v>652.87</v>
      </c>
      <c r="M432" s="4" t="s">
        <v>1255</v>
      </c>
      <c r="N432" s="3">
        <v>8728.14</v>
      </c>
    </row>
    <row r="433" spans="1:14" x14ac:dyDescent="0.35">
      <c r="A433">
        <v>1335</v>
      </c>
      <c r="B433" s="4" t="s">
        <v>536</v>
      </c>
      <c r="C433" s="4" t="s">
        <v>454</v>
      </c>
      <c r="D433" s="4" t="s">
        <v>38</v>
      </c>
      <c r="E433">
        <v>5</v>
      </c>
      <c r="F433" s="3">
        <v>2679.3968</v>
      </c>
      <c r="G433" s="2">
        <v>0.64769754768392396</v>
      </c>
      <c r="H433" s="3">
        <v>0</v>
      </c>
      <c r="I433" s="1">
        <v>45772</v>
      </c>
      <c r="J433" s="4" t="s">
        <v>23</v>
      </c>
      <c r="K433" s="4" t="s">
        <v>8</v>
      </c>
      <c r="L433" s="3">
        <v>-815.88</v>
      </c>
      <c r="M433" s="4" t="s">
        <v>1255</v>
      </c>
      <c r="N433" s="3">
        <v>13396.984</v>
      </c>
    </row>
    <row r="434" spans="1:14" x14ac:dyDescent="0.35">
      <c r="A434">
        <v>1336</v>
      </c>
      <c r="B434" s="4" t="s">
        <v>115</v>
      </c>
      <c r="C434" s="4" t="s">
        <v>329</v>
      </c>
      <c r="D434" s="4" t="s">
        <v>30</v>
      </c>
      <c r="E434">
        <v>0</v>
      </c>
      <c r="F434" s="3">
        <v>2680.4778000000001</v>
      </c>
      <c r="G434" s="2">
        <v>0.64769754768392396</v>
      </c>
      <c r="H434" s="3">
        <v>0</v>
      </c>
      <c r="I434" s="1">
        <v>45772</v>
      </c>
      <c r="J434" s="4" t="s">
        <v>7</v>
      </c>
      <c r="K434" s="4" t="s">
        <v>12</v>
      </c>
      <c r="L434" s="3">
        <v>2000.91</v>
      </c>
      <c r="M434" s="4" t="s">
        <v>1255</v>
      </c>
      <c r="N434" s="3">
        <v>0</v>
      </c>
    </row>
    <row r="435" spans="1:14" x14ac:dyDescent="0.35">
      <c r="A435">
        <v>1337</v>
      </c>
      <c r="B435" s="4" t="s">
        <v>264</v>
      </c>
      <c r="C435" s="4" t="s">
        <v>155</v>
      </c>
      <c r="D435" s="4" t="s">
        <v>30</v>
      </c>
      <c r="E435">
        <v>6</v>
      </c>
      <c r="F435" s="3">
        <v>2286.6799999999998</v>
      </c>
      <c r="G435" s="2">
        <v>1.27</v>
      </c>
      <c r="H435" s="3">
        <v>-3704.42</v>
      </c>
      <c r="I435" s="1">
        <v>45595</v>
      </c>
      <c r="J435" s="4" t="s">
        <v>23</v>
      </c>
      <c r="K435" s="4" t="s">
        <v>8</v>
      </c>
      <c r="L435" s="3">
        <v>716.16</v>
      </c>
      <c r="M435" s="4" t="s">
        <v>1255</v>
      </c>
      <c r="N435" s="3">
        <v>13720.08</v>
      </c>
    </row>
    <row r="436" spans="1:14" x14ac:dyDescent="0.35">
      <c r="A436">
        <v>1338</v>
      </c>
      <c r="B436" s="4" t="s">
        <v>421</v>
      </c>
      <c r="C436" s="4" t="s">
        <v>537</v>
      </c>
      <c r="D436" s="4" t="s">
        <v>28</v>
      </c>
      <c r="E436">
        <v>0</v>
      </c>
      <c r="F436" s="3">
        <v>2680.4778000000001</v>
      </c>
      <c r="G436" s="2">
        <v>0.64684856753069597</v>
      </c>
      <c r="H436" s="3">
        <v>0</v>
      </c>
      <c r="I436" s="1">
        <v>45617</v>
      </c>
      <c r="J436" s="4" t="s">
        <v>9</v>
      </c>
      <c r="K436" s="4" t="s">
        <v>12</v>
      </c>
      <c r="L436" s="3">
        <v>415.06</v>
      </c>
      <c r="M436" s="4" t="s">
        <v>1255</v>
      </c>
      <c r="N436" s="3">
        <v>0</v>
      </c>
    </row>
    <row r="437" spans="1:14" hidden="1" x14ac:dyDescent="0.35">
      <c r="A437">
        <v>1339</v>
      </c>
      <c r="B437" s="4" t="s">
        <v>538</v>
      </c>
      <c r="C437" s="4" t="s">
        <v>539</v>
      </c>
      <c r="D437" s="4" t="s">
        <v>24</v>
      </c>
      <c r="E437">
        <v>0</v>
      </c>
      <c r="F437" s="3">
        <v>4507.5</v>
      </c>
      <c r="G437" s="2">
        <v>0.64684856753069597</v>
      </c>
      <c r="H437" s="3">
        <v>0</v>
      </c>
      <c r="I437" s="1">
        <v>45839</v>
      </c>
      <c r="J437" s="4" t="s">
        <v>18</v>
      </c>
      <c r="K437" s="4" t="s">
        <v>40</v>
      </c>
      <c r="L437" s="3">
        <v>2552.65</v>
      </c>
      <c r="M437" s="4" t="s">
        <v>1255</v>
      </c>
      <c r="N437" s="3">
        <v>0</v>
      </c>
    </row>
    <row r="438" spans="1:14" hidden="1" x14ac:dyDescent="0.35">
      <c r="A438">
        <v>1340</v>
      </c>
      <c r="B438" s="4" t="s">
        <v>540</v>
      </c>
      <c r="C438" s="4" t="s">
        <v>376</v>
      </c>
      <c r="D438" s="4" t="s">
        <v>21</v>
      </c>
      <c r="E438">
        <v>0</v>
      </c>
      <c r="F438" s="3">
        <v>2680.8256000000001</v>
      </c>
      <c r="G438" s="2">
        <v>0.06</v>
      </c>
      <c r="H438" s="3">
        <v>0</v>
      </c>
      <c r="I438" s="1">
        <v>45826</v>
      </c>
      <c r="J438" s="4" t="s">
        <v>11</v>
      </c>
      <c r="K438" s="4" t="s">
        <v>40</v>
      </c>
      <c r="L438" s="3">
        <v>1282.27</v>
      </c>
      <c r="M438" s="4" t="s">
        <v>1255</v>
      </c>
      <c r="N438" s="3">
        <v>0</v>
      </c>
    </row>
    <row r="439" spans="1:14" hidden="1" x14ac:dyDescent="0.35">
      <c r="A439">
        <v>1341</v>
      </c>
      <c r="B439" s="4" t="s">
        <v>167</v>
      </c>
      <c r="C439" s="4" t="s">
        <v>236</v>
      </c>
      <c r="D439" s="4" t="s">
        <v>38</v>
      </c>
      <c r="E439">
        <v>-1</v>
      </c>
      <c r="F439" s="3">
        <v>3074.06</v>
      </c>
      <c r="G439" s="2">
        <v>1.24</v>
      </c>
      <c r="H439" s="3">
        <v>737.77</v>
      </c>
      <c r="I439" s="1">
        <v>45771</v>
      </c>
      <c r="J439" s="4" t="s">
        <v>9</v>
      </c>
      <c r="K439" s="4" t="s">
        <v>40</v>
      </c>
      <c r="L439" s="3">
        <v>2634.42</v>
      </c>
      <c r="M439" s="4" t="s">
        <v>1256</v>
      </c>
      <c r="N439" s="3">
        <v>-3074.06</v>
      </c>
    </row>
    <row r="440" spans="1:14" x14ac:dyDescent="0.35">
      <c r="A440">
        <v>1342</v>
      </c>
      <c r="B440" s="4" t="s">
        <v>541</v>
      </c>
      <c r="C440" s="4" t="s">
        <v>102</v>
      </c>
      <c r="D440" s="4" t="s">
        <v>25</v>
      </c>
      <c r="E440">
        <v>-1</v>
      </c>
      <c r="F440" s="3">
        <v>4707.2</v>
      </c>
      <c r="G440" s="2">
        <v>0.64683994528043798</v>
      </c>
      <c r="H440" s="3">
        <v>0</v>
      </c>
      <c r="I440" s="1">
        <v>45771</v>
      </c>
      <c r="J440" s="4" t="s">
        <v>20</v>
      </c>
      <c r="K440" s="4" t="s">
        <v>12</v>
      </c>
      <c r="L440" s="3">
        <v>1395.82</v>
      </c>
      <c r="M440" s="4" t="s">
        <v>1255</v>
      </c>
      <c r="N440" s="3">
        <v>-4707.2</v>
      </c>
    </row>
    <row r="441" spans="1:14" x14ac:dyDescent="0.35">
      <c r="A441">
        <v>1343</v>
      </c>
      <c r="B441" s="4" t="s">
        <v>153</v>
      </c>
      <c r="C441" s="4" t="s">
        <v>488</v>
      </c>
      <c r="D441" s="4" t="s">
        <v>32</v>
      </c>
      <c r="E441">
        <v>0</v>
      </c>
      <c r="F441" s="3">
        <v>4012.48</v>
      </c>
      <c r="G441" s="2">
        <v>0.64683994528043798</v>
      </c>
      <c r="H441" s="3">
        <v>0</v>
      </c>
      <c r="I441" s="1">
        <v>45859</v>
      </c>
      <c r="J441" s="4" t="s">
        <v>11</v>
      </c>
      <c r="K441" s="4" t="s">
        <v>8</v>
      </c>
      <c r="L441" s="3">
        <v>730.98</v>
      </c>
      <c r="M441" s="4" t="s">
        <v>1255</v>
      </c>
      <c r="N441" s="3">
        <v>0</v>
      </c>
    </row>
    <row r="442" spans="1:14" x14ac:dyDescent="0.35">
      <c r="A442">
        <v>1344</v>
      </c>
      <c r="B442" s="4" t="s">
        <v>351</v>
      </c>
      <c r="C442" s="4" t="s">
        <v>542</v>
      </c>
      <c r="D442" s="4" t="s">
        <v>21</v>
      </c>
      <c r="E442">
        <v>4</v>
      </c>
      <c r="F442" s="3">
        <v>3386.91</v>
      </c>
      <c r="G442" s="2">
        <v>0.64683994528043798</v>
      </c>
      <c r="H442" s="3">
        <v>0</v>
      </c>
      <c r="I442" s="1">
        <v>45859</v>
      </c>
      <c r="J442" s="4" t="s">
        <v>11</v>
      </c>
      <c r="K442" s="4" t="s">
        <v>8</v>
      </c>
      <c r="L442" s="3">
        <v>2006.17</v>
      </c>
      <c r="M442" s="4" t="s">
        <v>1255</v>
      </c>
      <c r="N442" s="3">
        <v>13547.64</v>
      </c>
    </row>
    <row r="443" spans="1:14" x14ac:dyDescent="0.35">
      <c r="A443">
        <v>1346</v>
      </c>
      <c r="B443" s="4" t="s">
        <v>543</v>
      </c>
      <c r="C443" s="4" t="s">
        <v>142</v>
      </c>
      <c r="D443" s="4" t="s">
        <v>38</v>
      </c>
      <c r="E443">
        <v>-2</v>
      </c>
      <c r="F443" s="3">
        <v>1622.65</v>
      </c>
      <c r="G443" s="2">
        <v>0.64747945205479496</v>
      </c>
      <c r="H443" s="3">
        <v>0</v>
      </c>
      <c r="I443" s="1">
        <v>45859</v>
      </c>
      <c r="J443" s="4" t="s">
        <v>11</v>
      </c>
      <c r="K443" s="4" t="s">
        <v>8</v>
      </c>
      <c r="L443" s="3">
        <v>-891.76</v>
      </c>
      <c r="M443" s="4" t="s">
        <v>1255</v>
      </c>
      <c r="N443" s="3">
        <v>-3245.3</v>
      </c>
    </row>
    <row r="444" spans="1:14" x14ac:dyDescent="0.35">
      <c r="A444">
        <v>1348</v>
      </c>
      <c r="B444" s="4" t="s">
        <v>544</v>
      </c>
      <c r="C444" s="4" t="s">
        <v>545</v>
      </c>
      <c r="D444" s="4" t="s">
        <v>26</v>
      </c>
      <c r="E444">
        <v>2</v>
      </c>
      <c r="F444" s="3">
        <v>1219.2</v>
      </c>
      <c r="G444" s="2">
        <v>1.17</v>
      </c>
      <c r="H444" s="3">
        <v>-414.53</v>
      </c>
      <c r="I444" s="1">
        <v>45604</v>
      </c>
      <c r="J444" s="4" t="s">
        <v>23</v>
      </c>
      <c r="K444" s="4" t="s">
        <v>12</v>
      </c>
      <c r="L444" s="3">
        <v>2694.39</v>
      </c>
      <c r="M444" s="4" t="s">
        <v>1255</v>
      </c>
      <c r="N444" s="3">
        <v>2438.4</v>
      </c>
    </row>
    <row r="445" spans="1:14" x14ac:dyDescent="0.35">
      <c r="A445">
        <v>1349</v>
      </c>
      <c r="B445" s="4" t="s">
        <v>85</v>
      </c>
      <c r="C445" s="4" t="s">
        <v>348</v>
      </c>
      <c r="D445" s="4" t="s">
        <v>34</v>
      </c>
      <c r="E445">
        <v>-2</v>
      </c>
      <c r="F445" s="3">
        <v>2676.5826000000002</v>
      </c>
      <c r="G445" s="2">
        <v>0.82</v>
      </c>
      <c r="H445" s="3">
        <v>0</v>
      </c>
      <c r="I445" s="1">
        <v>45705</v>
      </c>
      <c r="J445" s="4" t="s">
        <v>20</v>
      </c>
      <c r="K445" s="4" t="s">
        <v>12</v>
      </c>
      <c r="L445" s="3">
        <v>2085.75</v>
      </c>
      <c r="M445" s="4" t="s">
        <v>1255</v>
      </c>
      <c r="N445" s="3">
        <v>-5353.1652000000004</v>
      </c>
    </row>
    <row r="446" spans="1:14" x14ac:dyDescent="0.35">
      <c r="A446">
        <v>1351</v>
      </c>
      <c r="B446" s="4" t="s">
        <v>43</v>
      </c>
      <c r="C446" s="4" t="s">
        <v>199</v>
      </c>
      <c r="D446" s="4" t="s">
        <v>38</v>
      </c>
      <c r="E446">
        <v>0</v>
      </c>
      <c r="F446" s="3">
        <v>2677.8791999999999</v>
      </c>
      <c r="G446" s="2">
        <v>0.64576341127922998</v>
      </c>
      <c r="H446" s="3">
        <v>0</v>
      </c>
      <c r="I446" s="1">
        <v>45546</v>
      </c>
      <c r="J446" s="4" t="s">
        <v>23</v>
      </c>
      <c r="K446" s="4" t="s">
        <v>8</v>
      </c>
      <c r="L446" s="3">
        <v>2621.66</v>
      </c>
      <c r="M446" s="4" t="s">
        <v>1255</v>
      </c>
      <c r="N446" s="3">
        <v>0</v>
      </c>
    </row>
    <row r="447" spans="1:14" hidden="1" x14ac:dyDescent="0.35">
      <c r="A447">
        <v>1354</v>
      </c>
      <c r="B447" s="4" t="s">
        <v>477</v>
      </c>
      <c r="C447" s="4" t="s">
        <v>482</v>
      </c>
      <c r="D447" s="4" t="s">
        <v>21</v>
      </c>
      <c r="E447">
        <v>1</v>
      </c>
      <c r="F447" s="3">
        <v>2677.0275999999999</v>
      </c>
      <c r="G447" s="2">
        <v>0.64549586776859502</v>
      </c>
      <c r="H447" s="3">
        <v>0</v>
      </c>
      <c r="I447" s="1">
        <v>45789</v>
      </c>
      <c r="J447" s="4" t="s">
        <v>9</v>
      </c>
      <c r="K447" s="4" t="s">
        <v>40</v>
      </c>
      <c r="L447" s="3">
        <v>-678.38</v>
      </c>
      <c r="M447" s="4" t="s">
        <v>1255</v>
      </c>
      <c r="N447" s="3">
        <v>2677.0275999999999</v>
      </c>
    </row>
    <row r="448" spans="1:14" x14ac:dyDescent="0.35">
      <c r="A448">
        <v>1355</v>
      </c>
      <c r="B448" s="4" t="s">
        <v>116</v>
      </c>
      <c r="C448" s="4" t="s">
        <v>122</v>
      </c>
      <c r="D448" s="4" t="s">
        <v>31</v>
      </c>
      <c r="E448">
        <v>1</v>
      </c>
      <c r="F448" s="3">
        <v>1054.69</v>
      </c>
      <c r="G448" s="2">
        <v>0.18</v>
      </c>
      <c r="H448" s="3">
        <v>864.85</v>
      </c>
      <c r="I448" s="1">
        <v>45585</v>
      </c>
      <c r="J448" s="4" t="s">
        <v>11</v>
      </c>
      <c r="K448" s="4" t="s">
        <v>12</v>
      </c>
      <c r="L448" s="3">
        <v>698.05</v>
      </c>
      <c r="M448" s="4" t="s">
        <v>1256</v>
      </c>
      <c r="N448" s="3">
        <v>1054.69</v>
      </c>
    </row>
    <row r="449" spans="1:14" x14ac:dyDescent="0.35">
      <c r="A449">
        <v>1356</v>
      </c>
      <c r="B449" s="4" t="s">
        <v>546</v>
      </c>
      <c r="C449" s="4" t="s">
        <v>547</v>
      </c>
      <c r="D449" s="4" t="s">
        <v>30</v>
      </c>
      <c r="E449">
        <v>0</v>
      </c>
      <c r="F449" s="3">
        <v>2418.5500000000002</v>
      </c>
      <c r="G449" s="2">
        <v>0.88</v>
      </c>
      <c r="H449" s="3">
        <v>0</v>
      </c>
      <c r="I449" s="1">
        <v>45758</v>
      </c>
      <c r="J449" s="4" t="s">
        <v>9</v>
      </c>
      <c r="K449" s="4" t="s">
        <v>8</v>
      </c>
      <c r="L449" s="3">
        <v>428.96</v>
      </c>
      <c r="M449" s="4" t="s">
        <v>1255</v>
      </c>
      <c r="N449" s="3">
        <v>0</v>
      </c>
    </row>
    <row r="450" spans="1:14" hidden="1" x14ac:dyDescent="0.35">
      <c r="A450">
        <v>1357</v>
      </c>
      <c r="B450" s="4" t="s">
        <v>113</v>
      </c>
      <c r="C450" s="4" t="s">
        <v>548</v>
      </c>
      <c r="D450" s="4" t="s">
        <v>10</v>
      </c>
      <c r="E450">
        <v>0</v>
      </c>
      <c r="F450" s="3">
        <v>1128.57</v>
      </c>
      <c r="G450" s="2">
        <v>0.39</v>
      </c>
      <c r="H450" s="3">
        <v>0</v>
      </c>
      <c r="I450" s="1">
        <v>45678</v>
      </c>
      <c r="J450" s="4" t="s">
        <v>23</v>
      </c>
      <c r="K450" s="4" t="s">
        <v>40</v>
      </c>
      <c r="L450" s="3">
        <v>684.88</v>
      </c>
      <c r="M450" s="4" t="s">
        <v>1255</v>
      </c>
      <c r="N450" s="3">
        <v>0</v>
      </c>
    </row>
    <row r="451" spans="1:14" x14ac:dyDescent="0.35">
      <c r="A451">
        <v>1358</v>
      </c>
      <c r="B451" s="4" t="s">
        <v>228</v>
      </c>
      <c r="C451" s="4" t="s">
        <v>329</v>
      </c>
      <c r="D451" s="4" t="s">
        <v>19</v>
      </c>
      <c r="E451">
        <v>0</v>
      </c>
      <c r="F451" s="3">
        <v>2678.7069000000001</v>
      </c>
      <c r="G451" s="2">
        <v>1.23</v>
      </c>
      <c r="H451" s="3">
        <v>0</v>
      </c>
      <c r="I451" s="1">
        <v>45704</v>
      </c>
      <c r="J451" s="4" t="s">
        <v>18</v>
      </c>
      <c r="K451" s="4" t="s">
        <v>8</v>
      </c>
      <c r="L451" s="3">
        <v>1347.26</v>
      </c>
      <c r="M451" s="4" t="s">
        <v>1255</v>
      </c>
      <c r="N451" s="3">
        <v>0</v>
      </c>
    </row>
    <row r="452" spans="1:14" hidden="1" x14ac:dyDescent="0.35">
      <c r="A452">
        <v>1359</v>
      </c>
      <c r="B452" s="4" t="s">
        <v>224</v>
      </c>
      <c r="C452" s="4" t="s">
        <v>503</v>
      </c>
      <c r="D452" s="4" t="s">
        <v>15</v>
      </c>
      <c r="E452">
        <v>0</v>
      </c>
      <c r="F452" s="3">
        <v>4625.84</v>
      </c>
      <c r="G452" s="2">
        <v>0.64536011080332401</v>
      </c>
      <c r="H452" s="3">
        <v>0</v>
      </c>
      <c r="I452" s="1">
        <v>45704</v>
      </c>
      <c r="J452" s="4" t="s">
        <v>11</v>
      </c>
      <c r="K452" s="4" t="s">
        <v>40</v>
      </c>
      <c r="L452" s="3">
        <v>1663.88</v>
      </c>
      <c r="M452" s="4" t="s">
        <v>1255</v>
      </c>
      <c r="N452" s="3">
        <v>0</v>
      </c>
    </row>
    <row r="453" spans="1:14" hidden="1" x14ac:dyDescent="0.35">
      <c r="A453">
        <v>1360</v>
      </c>
      <c r="B453" s="4" t="s">
        <v>189</v>
      </c>
      <c r="C453" s="4" t="s">
        <v>142</v>
      </c>
      <c r="D453" s="4" t="s">
        <v>16</v>
      </c>
      <c r="E453">
        <v>0</v>
      </c>
      <c r="F453" s="3">
        <v>2680.0922</v>
      </c>
      <c r="G453" s="2">
        <v>1.1299999999999999</v>
      </c>
      <c r="H453" s="3">
        <v>0</v>
      </c>
      <c r="I453" s="1">
        <v>45692</v>
      </c>
      <c r="J453" s="4" t="s">
        <v>7</v>
      </c>
      <c r="K453" s="4" t="s">
        <v>40</v>
      </c>
      <c r="L453" s="3">
        <v>1316.73</v>
      </c>
      <c r="M453" s="4" t="s">
        <v>1255</v>
      </c>
      <c r="N453" s="3">
        <v>0</v>
      </c>
    </row>
    <row r="454" spans="1:14" x14ac:dyDescent="0.35">
      <c r="A454">
        <v>1361</v>
      </c>
      <c r="B454" s="4" t="s">
        <v>549</v>
      </c>
      <c r="C454" s="4" t="s">
        <v>550</v>
      </c>
      <c r="D454" s="4" t="s">
        <v>26</v>
      </c>
      <c r="E454">
        <v>0</v>
      </c>
      <c r="F454" s="3">
        <v>2678.3517999999999</v>
      </c>
      <c r="G454" s="2">
        <v>0.644687933425797</v>
      </c>
      <c r="H454" s="3">
        <v>0</v>
      </c>
      <c r="I454" s="1">
        <v>45660</v>
      </c>
      <c r="J454" s="4" t="s">
        <v>11</v>
      </c>
      <c r="K454" s="4" t="s">
        <v>8</v>
      </c>
      <c r="L454" s="3">
        <v>528.79999999999995</v>
      </c>
      <c r="M454" s="4" t="s">
        <v>1255</v>
      </c>
      <c r="N454" s="3">
        <v>0</v>
      </c>
    </row>
    <row r="455" spans="1:14" x14ac:dyDescent="0.35">
      <c r="A455">
        <v>1362</v>
      </c>
      <c r="B455" s="4" t="s">
        <v>551</v>
      </c>
      <c r="C455" s="4" t="s">
        <v>496</v>
      </c>
      <c r="D455" s="4" t="s">
        <v>26</v>
      </c>
      <c r="E455">
        <v>-1</v>
      </c>
      <c r="F455" s="3">
        <v>4953.0200000000004</v>
      </c>
      <c r="G455" s="2">
        <v>0.644687933425797</v>
      </c>
      <c r="H455" s="3">
        <v>0</v>
      </c>
      <c r="I455" s="1">
        <v>45633</v>
      </c>
      <c r="J455" s="4" t="s">
        <v>9</v>
      </c>
      <c r="K455" s="4" t="s">
        <v>8</v>
      </c>
      <c r="L455" s="3">
        <v>-499.33</v>
      </c>
      <c r="M455" s="4" t="s">
        <v>1255</v>
      </c>
      <c r="N455" s="3">
        <v>-4953.0200000000004</v>
      </c>
    </row>
    <row r="456" spans="1:14" x14ac:dyDescent="0.35">
      <c r="A456">
        <v>1363</v>
      </c>
      <c r="B456" s="4" t="s">
        <v>552</v>
      </c>
      <c r="C456" s="4" t="s">
        <v>553</v>
      </c>
      <c r="D456" s="4" t="s">
        <v>31</v>
      </c>
      <c r="E456">
        <v>6</v>
      </c>
      <c r="F456" s="3">
        <v>2678.3517999999999</v>
      </c>
      <c r="G456" s="2">
        <v>0.644687933425797</v>
      </c>
      <c r="H456" s="3">
        <v>0</v>
      </c>
      <c r="I456" s="1">
        <v>45633</v>
      </c>
      <c r="J456" s="4" t="s">
        <v>11</v>
      </c>
      <c r="K456" s="4" t="s">
        <v>12</v>
      </c>
      <c r="L456" s="3">
        <v>2143.4</v>
      </c>
      <c r="M456" s="4" t="s">
        <v>1255</v>
      </c>
      <c r="N456" s="3">
        <v>16070.1108</v>
      </c>
    </row>
    <row r="457" spans="1:14" x14ac:dyDescent="0.35">
      <c r="A457">
        <v>1364</v>
      </c>
      <c r="B457" s="4" t="s">
        <v>543</v>
      </c>
      <c r="C457" s="4" t="s">
        <v>554</v>
      </c>
      <c r="D457" s="4" t="s">
        <v>26</v>
      </c>
      <c r="E457">
        <v>0</v>
      </c>
      <c r="F457" s="3">
        <v>2676.3154</v>
      </c>
      <c r="G457" s="2">
        <v>0.01</v>
      </c>
      <c r="H457" s="3">
        <v>0</v>
      </c>
      <c r="I457" s="1">
        <v>45633</v>
      </c>
      <c r="J457" s="4" t="s">
        <v>9</v>
      </c>
      <c r="K457" s="4" t="s">
        <v>8</v>
      </c>
      <c r="L457" s="3">
        <v>1839.35</v>
      </c>
      <c r="M457" s="4" t="s">
        <v>1255</v>
      </c>
      <c r="N457" s="3">
        <v>0</v>
      </c>
    </row>
    <row r="458" spans="1:14" x14ac:dyDescent="0.35">
      <c r="A458">
        <v>1365</v>
      </c>
      <c r="B458" s="4" t="s">
        <v>555</v>
      </c>
      <c r="C458" s="4" t="s">
        <v>556</v>
      </c>
      <c r="D458" s="4" t="s">
        <v>24</v>
      </c>
      <c r="E458">
        <v>1</v>
      </c>
      <c r="F458" s="3">
        <v>776.52</v>
      </c>
      <c r="G458" s="2">
        <v>0.64556944444444397</v>
      </c>
      <c r="H458" s="3">
        <v>0</v>
      </c>
      <c r="I458" s="1">
        <v>45633</v>
      </c>
      <c r="J458" s="4" t="s">
        <v>7</v>
      </c>
      <c r="K458" s="4" t="s">
        <v>8</v>
      </c>
      <c r="L458" s="3">
        <v>2757.77</v>
      </c>
      <c r="M458" s="4" t="s">
        <v>1255</v>
      </c>
      <c r="N458" s="3">
        <v>776.52</v>
      </c>
    </row>
    <row r="459" spans="1:14" x14ac:dyDescent="0.35">
      <c r="A459">
        <v>1366</v>
      </c>
      <c r="B459" s="4" t="s">
        <v>292</v>
      </c>
      <c r="C459" s="4" t="s">
        <v>557</v>
      </c>
      <c r="D459" s="4" t="s">
        <v>31</v>
      </c>
      <c r="E459">
        <v>0</v>
      </c>
      <c r="F459" s="3">
        <v>1927.12</v>
      </c>
      <c r="G459" s="2">
        <v>0.44</v>
      </c>
      <c r="H459" s="3">
        <v>0</v>
      </c>
      <c r="I459" s="1">
        <v>45517</v>
      </c>
      <c r="J459" s="4" t="s">
        <v>18</v>
      </c>
      <c r="K459" s="4" t="s">
        <v>8</v>
      </c>
      <c r="L459" s="3">
        <v>928.57</v>
      </c>
      <c r="M459" s="4" t="s">
        <v>1255</v>
      </c>
      <c r="N459" s="3">
        <v>0</v>
      </c>
    </row>
    <row r="460" spans="1:14" x14ac:dyDescent="0.35">
      <c r="A460">
        <v>1367</v>
      </c>
      <c r="B460" s="4" t="s">
        <v>81</v>
      </c>
      <c r="C460" s="4" t="s">
        <v>149</v>
      </c>
      <c r="D460" s="4" t="s">
        <v>35</v>
      </c>
      <c r="E460">
        <v>0</v>
      </c>
      <c r="F460" s="3">
        <v>573.79999999999995</v>
      </c>
      <c r="G460" s="2">
        <v>0.64585535465924904</v>
      </c>
      <c r="H460" s="3">
        <v>0</v>
      </c>
      <c r="I460" s="1">
        <v>45680</v>
      </c>
      <c r="J460" s="4" t="s">
        <v>9</v>
      </c>
      <c r="K460" s="4" t="s">
        <v>12</v>
      </c>
      <c r="L460" s="3">
        <v>2546.35</v>
      </c>
      <c r="M460" s="4" t="s">
        <v>1255</v>
      </c>
      <c r="N460" s="3">
        <v>0</v>
      </c>
    </row>
    <row r="461" spans="1:14" x14ac:dyDescent="0.35">
      <c r="A461">
        <v>1368</v>
      </c>
      <c r="B461" s="4" t="s">
        <v>210</v>
      </c>
      <c r="C461" s="4" t="s">
        <v>558</v>
      </c>
      <c r="D461" s="4" t="s">
        <v>26</v>
      </c>
      <c r="E461">
        <v>4</v>
      </c>
      <c r="F461" s="3">
        <v>4032.95</v>
      </c>
      <c r="G461" s="2">
        <v>0.64585535465924904</v>
      </c>
      <c r="H461" s="3">
        <v>0</v>
      </c>
      <c r="I461" s="1">
        <v>45680</v>
      </c>
      <c r="J461" s="4" t="s">
        <v>9</v>
      </c>
      <c r="K461" s="4" t="s">
        <v>8</v>
      </c>
      <c r="L461" s="3">
        <v>-20.09</v>
      </c>
      <c r="M461" s="4" t="s">
        <v>1255</v>
      </c>
      <c r="N461" s="3">
        <v>16131.8</v>
      </c>
    </row>
    <row r="462" spans="1:14" hidden="1" x14ac:dyDescent="0.35">
      <c r="A462">
        <v>1369</v>
      </c>
      <c r="B462" s="4" t="s">
        <v>559</v>
      </c>
      <c r="C462" s="4" t="s">
        <v>560</v>
      </c>
      <c r="D462" s="4" t="s">
        <v>35</v>
      </c>
      <c r="E462">
        <v>0</v>
      </c>
      <c r="F462" s="3">
        <v>2680.5805999999998</v>
      </c>
      <c r="G462" s="2">
        <v>1.1000000000000001</v>
      </c>
      <c r="H462" s="3">
        <v>0</v>
      </c>
      <c r="I462" s="1">
        <v>45818</v>
      </c>
      <c r="J462" s="4" t="s">
        <v>23</v>
      </c>
      <c r="K462" s="4" t="s">
        <v>40</v>
      </c>
      <c r="L462" s="3">
        <v>-844.78</v>
      </c>
      <c r="M462" s="4" t="s">
        <v>1255</v>
      </c>
      <c r="N462" s="3">
        <v>0</v>
      </c>
    </row>
    <row r="463" spans="1:14" x14ac:dyDescent="0.35">
      <c r="A463">
        <v>1370</v>
      </c>
      <c r="B463" s="4" t="s">
        <v>304</v>
      </c>
      <c r="C463" s="4" t="s">
        <v>61</v>
      </c>
      <c r="D463" s="4" t="s">
        <v>31</v>
      </c>
      <c r="E463">
        <v>-2</v>
      </c>
      <c r="F463" s="3">
        <v>2345.4899999999998</v>
      </c>
      <c r="G463" s="2">
        <v>1.18</v>
      </c>
      <c r="H463" s="3">
        <v>844.38</v>
      </c>
      <c r="I463" s="1">
        <v>45620</v>
      </c>
      <c r="J463" s="4" t="s">
        <v>23</v>
      </c>
      <c r="K463" s="4" t="s">
        <v>12</v>
      </c>
      <c r="L463" s="3">
        <v>212.66</v>
      </c>
      <c r="M463" s="4" t="s">
        <v>1256</v>
      </c>
      <c r="N463" s="3">
        <v>-4690.9799999999996</v>
      </c>
    </row>
    <row r="464" spans="1:14" x14ac:dyDescent="0.35">
      <c r="A464">
        <v>1371</v>
      </c>
      <c r="B464" s="4" t="s">
        <v>65</v>
      </c>
      <c r="C464" s="4" t="s">
        <v>95</v>
      </c>
      <c r="D464" s="4" t="s">
        <v>32</v>
      </c>
      <c r="E464">
        <v>0</v>
      </c>
      <c r="F464" s="3">
        <v>2679.3656000000001</v>
      </c>
      <c r="G464" s="2">
        <v>0.64447698744769899</v>
      </c>
      <c r="H464" s="3">
        <v>0</v>
      </c>
      <c r="I464" s="1">
        <v>45620</v>
      </c>
      <c r="J464" s="4" t="s">
        <v>11</v>
      </c>
      <c r="K464" s="4" t="s">
        <v>12</v>
      </c>
      <c r="L464" s="3">
        <v>72.959999999999994</v>
      </c>
      <c r="M464" s="4" t="s">
        <v>1255</v>
      </c>
      <c r="N464" s="3">
        <v>0</v>
      </c>
    </row>
    <row r="465" spans="1:14" hidden="1" x14ac:dyDescent="0.35">
      <c r="A465">
        <v>1372</v>
      </c>
      <c r="B465" s="4" t="s">
        <v>116</v>
      </c>
      <c r="C465" s="4" t="s">
        <v>142</v>
      </c>
      <c r="D465" s="4" t="s">
        <v>19</v>
      </c>
      <c r="E465">
        <v>1</v>
      </c>
      <c r="F465" s="3">
        <v>2679.6658000000002</v>
      </c>
      <c r="G465" s="2">
        <v>0.19</v>
      </c>
      <c r="H465" s="3">
        <v>0</v>
      </c>
      <c r="I465" s="1">
        <v>45652</v>
      </c>
      <c r="J465" s="4" t="s">
        <v>7</v>
      </c>
      <c r="K465" s="4" t="s">
        <v>40</v>
      </c>
      <c r="L465" s="3">
        <v>418.89</v>
      </c>
      <c r="M465" s="4" t="s">
        <v>1255</v>
      </c>
      <c r="N465" s="3">
        <v>2679.6658000000002</v>
      </c>
    </row>
    <row r="466" spans="1:14" hidden="1" x14ac:dyDescent="0.35">
      <c r="A466">
        <v>1373</v>
      </c>
      <c r="B466" s="4" t="s">
        <v>85</v>
      </c>
      <c r="C466" s="4" t="s">
        <v>561</v>
      </c>
      <c r="D466" s="4" t="s">
        <v>34</v>
      </c>
      <c r="E466">
        <v>-2</v>
      </c>
      <c r="F466" s="3">
        <v>3523.43</v>
      </c>
      <c r="G466" s="2">
        <v>0.19</v>
      </c>
      <c r="H466" s="3">
        <v>-5707.96</v>
      </c>
      <c r="I466" s="1">
        <v>45652</v>
      </c>
      <c r="J466" s="4" t="s">
        <v>7</v>
      </c>
      <c r="K466" s="4" t="s">
        <v>40</v>
      </c>
      <c r="L466" s="3">
        <v>-892.76</v>
      </c>
      <c r="M466" s="4" t="s">
        <v>1255</v>
      </c>
      <c r="N466" s="3">
        <v>-7046.86</v>
      </c>
    </row>
    <row r="467" spans="1:14" hidden="1" x14ac:dyDescent="0.35">
      <c r="A467">
        <v>1374</v>
      </c>
      <c r="B467" s="4" t="s">
        <v>110</v>
      </c>
      <c r="C467" s="4" t="s">
        <v>349</v>
      </c>
      <c r="D467" s="4" t="s">
        <v>26</v>
      </c>
      <c r="E467">
        <v>1</v>
      </c>
      <c r="F467" s="3">
        <v>2679.6658000000002</v>
      </c>
      <c r="G467" s="2">
        <v>0.64574825174825201</v>
      </c>
      <c r="H467" s="3">
        <v>0</v>
      </c>
      <c r="I467" s="1">
        <v>45335</v>
      </c>
      <c r="J467" s="4" t="s">
        <v>18</v>
      </c>
      <c r="K467" s="4" t="s">
        <v>40</v>
      </c>
      <c r="L467" s="3">
        <v>2519.16</v>
      </c>
      <c r="M467" s="4" t="s">
        <v>1255</v>
      </c>
      <c r="N467" s="3">
        <v>2679.6658000000002</v>
      </c>
    </row>
    <row r="468" spans="1:14" hidden="1" x14ac:dyDescent="0.35">
      <c r="A468">
        <v>1375</v>
      </c>
      <c r="B468" s="4" t="s">
        <v>494</v>
      </c>
      <c r="C468" s="4" t="s">
        <v>562</v>
      </c>
      <c r="D468" s="4" t="s">
        <v>21</v>
      </c>
      <c r="E468">
        <v>3</v>
      </c>
      <c r="F468" s="3">
        <v>420.42</v>
      </c>
      <c r="G468" s="2">
        <v>0.64574825174825201</v>
      </c>
      <c r="H468" s="3">
        <v>0</v>
      </c>
      <c r="I468" s="1">
        <v>45335</v>
      </c>
      <c r="J468" s="4" t="s">
        <v>23</v>
      </c>
      <c r="K468" s="4" t="s">
        <v>40</v>
      </c>
      <c r="L468" s="3">
        <v>1318.19</v>
      </c>
      <c r="M468" s="4" t="s">
        <v>1255</v>
      </c>
      <c r="N468" s="3">
        <v>1261.26</v>
      </c>
    </row>
    <row r="469" spans="1:14" x14ac:dyDescent="0.35">
      <c r="A469">
        <v>1376</v>
      </c>
      <c r="B469" s="4" t="s">
        <v>563</v>
      </c>
      <c r="C469" s="4" t="s">
        <v>82</v>
      </c>
      <c r="D469" s="4" t="s">
        <v>35</v>
      </c>
      <c r="E469">
        <v>4</v>
      </c>
      <c r="F469" s="3">
        <v>1447.28</v>
      </c>
      <c r="G469" s="2">
        <v>0.64574825174825201</v>
      </c>
      <c r="H469" s="3">
        <v>0</v>
      </c>
      <c r="I469" s="1">
        <v>45500</v>
      </c>
      <c r="J469" s="4" t="s">
        <v>23</v>
      </c>
      <c r="K469" s="4" t="s">
        <v>12</v>
      </c>
      <c r="L469" s="3">
        <v>175.33</v>
      </c>
      <c r="M469" s="4" t="s">
        <v>1255</v>
      </c>
      <c r="N469" s="3">
        <v>5789.12</v>
      </c>
    </row>
    <row r="470" spans="1:14" x14ac:dyDescent="0.35">
      <c r="A470">
        <v>1377</v>
      </c>
      <c r="B470" s="4" t="s">
        <v>60</v>
      </c>
      <c r="C470" s="4" t="s">
        <v>564</v>
      </c>
      <c r="D470" s="4" t="s">
        <v>30</v>
      </c>
      <c r="E470">
        <v>0</v>
      </c>
      <c r="F470" s="3">
        <v>2680.9409999999998</v>
      </c>
      <c r="G470" s="2">
        <v>0.65</v>
      </c>
      <c r="H470" s="3">
        <v>0</v>
      </c>
      <c r="I470" s="1">
        <v>45500</v>
      </c>
      <c r="J470" s="4" t="s">
        <v>18</v>
      </c>
      <c r="K470" s="4" t="s">
        <v>12</v>
      </c>
      <c r="L470" s="3">
        <v>2229.9499999999998</v>
      </c>
      <c r="M470" s="4" t="s">
        <v>1255</v>
      </c>
      <c r="N470" s="3">
        <v>0</v>
      </c>
    </row>
    <row r="471" spans="1:14" hidden="1" x14ac:dyDescent="0.35">
      <c r="A471">
        <v>1378</v>
      </c>
      <c r="B471" s="4" t="s">
        <v>359</v>
      </c>
      <c r="C471" s="4" t="s">
        <v>565</v>
      </c>
      <c r="D471" s="4" t="s">
        <v>10</v>
      </c>
      <c r="E471">
        <v>5</v>
      </c>
      <c r="F471" s="3">
        <v>4581.26</v>
      </c>
      <c r="G471" s="2">
        <v>1.18</v>
      </c>
      <c r="H471" s="3">
        <v>-4123.13</v>
      </c>
      <c r="I471" s="1">
        <v>45679</v>
      </c>
      <c r="J471" s="4" t="s">
        <v>18</v>
      </c>
      <c r="K471" s="4" t="s">
        <v>40</v>
      </c>
      <c r="L471" s="3">
        <v>-345.1</v>
      </c>
      <c r="M471" s="4" t="s">
        <v>1255</v>
      </c>
      <c r="N471" s="3">
        <v>22906.3</v>
      </c>
    </row>
    <row r="472" spans="1:14" x14ac:dyDescent="0.35">
      <c r="A472">
        <v>1380</v>
      </c>
      <c r="B472" s="4" t="s">
        <v>566</v>
      </c>
      <c r="C472" s="4" t="s">
        <v>567</v>
      </c>
      <c r="D472" s="4" t="s">
        <v>31</v>
      </c>
      <c r="E472">
        <v>2</v>
      </c>
      <c r="F472" s="3">
        <v>2680.3393000000001</v>
      </c>
      <c r="G472" s="2">
        <v>0.64499298737727895</v>
      </c>
      <c r="H472" s="3">
        <v>0</v>
      </c>
      <c r="I472" s="1">
        <v>45574</v>
      </c>
      <c r="J472" s="4" t="s">
        <v>7</v>
      </c>
      <c r="K472" s="4" t="s">
        <v>12</v>
      </c>
      <c r="L472" s="3">
        <v>-475.94</v>
      </c>
      <c r="M472" s="4" t="s">
        <v>1255</v>
      </c>
      <c r="N472" s="3">
        <v>5360.6786000000002</v>
      </c>
    </row>
    <row r="473" spans="1:14" x14ac:dyDescent="0.35">
      <c r="A473">
        <v>1381</v>
      </c>
      <c r="B473" s="4" t="s">
        <v>43</v>
      </c>
      <c r="C473" s="4" t="s">
        <v>323</v>
      </c>
      <c r="D473" s="4" t="s">
        <v>32</v>
      </c>
      <c r="E473">
        <v>1</v>
      </c>
      <c r="F473" s="3">
        <v>2680.3393000000001</v>
      </c>
      <c r="G473" s="2">
        <v>1.07</v>
      </c>
      <c r="H473" s="3">
        <v>0</v>
      </c>
      <c r="I473" s="1">
        <v>45486</v>
      </c>
      <c r="J473" s="4" t="s">
        <v>18</v>
      </c>
      <c r="K473" s="4" t="s">
        <v>8</v>
      </c>
      <c r="L473" s="3">
        <v>-136.30000000000001</v>
      </c>
      <c r="M473" s="4" t="s">
        <v>1255</v>
      </c>
      <c r="N473" s="3">
        <v>2680.3393000000001</v>
      </c>
    </row>
    <row r="474" spans="1:14" x14ac:dyDescent="0.35">
      <c r="A474">
        <v>1382</v>
      </c>
      <c r="B474" s="4" t="s">
        <v>568</v>
      </c>
      <c r="C474" s="4" t="s">
        <v>418</v>
      </c>
      <c r="D474" s="4" t="s">
        <v>16</v>
      </c>
      <c r="E474">
        <v>-2</v>
      </c>
      <c r="F474" s="3">
        <v>2680.3393000000001</v>
      </c>
      <c r="G474" s="2">
        <v>0.64439606741572997</v>
      </c>
      <c r="H474" s="3">
        <v>0</v>
      </c>
      <c r="I474" s="1">
        <v>45549</v>
      </c>
      <c r="J474" s="4" t="s">
        <v>18</v>
      </c>
      <c r="K474" s="4" t="s">
        <v>12</v>
      </c>
      <c r="L474" s="3">
        <v>-165.59</v>
      </c>
      <c r="M474" s="4" t="s">
        <v>1255</v>
      </c>
      <c r="N474" s="3">
        <v>-5360.6786000000002</v>
      </c>
    </row>
    <row r="475" spans="1:14" x14ac:dyDescent="0.35">
      <c r="A475">
        <v>1383</v>
      </c>
      <c r="B475" s="4" t="s">
        <v>569</v>
      </c>
      <c r="C475" s="4" t="s">
        <v>570</v>
      </c>
      <c r="D475" s="4" t="s">
        <v>24</v>
      </c>
      <c r="E475">
        <v>5</v>
      </c>
      <c r="F475" s="3">
        <v>2409.13</v>
      </c>
      <c r="G475" s="2">
        <v>0.64439606741572997</v>
      </c>
      <c r="H475" s="3">
        <v>0</v>
      </c>
      <c r="I475" s="1">
        <v>45841</v>
      </c>
      <c r="J475" s="4" t="s">
        <v>20</v>
      </c>
      <c r="K475" s="4" t="s">
        <v>8</v>
      </c>
      <c r="L475" s="3">
        <v>127.63</v>
      </c>
      <c r="M475" s="4" t="s">
        <v>1255</v>
      </c>
      <c r="N475" s="3">
        <v>12045.65</v>
      </c>
    </row>
    <row r="476" spans="1:14" x14ac:dyDescent="0.35">
      <c r="A476">
        <v>1385</v>
      </c>
      <c r="B476" s="4" t="s">
        <v>546</v>
      </c>
      <c r="C476" s="4" t="s">
        <v>197</v>
      </c>
      <c r="D476" s="4" t="s">
        <v>25</v>
      </c>
      <c r="E476">
        <v>1</v>
      </c>
      <c r="F476" s="3">
        <v>2680.5843</v>
      </c>
      <c r="G476" s="2">
        <v>0.64439606741572997</v>
      </c>
      <c r="H476" s="3">
        <v>0</v>
      </c>
      <c r="I476" s="1">
        <v>45657</v>
      </c>
      <c r="J476" s="4" t="s">
        <v>18</v>
      </c>
      <c r="K476" s="4" t="s">
        <v>8</v>
      </c>
      <c r="L476" s="3">
        <v>2744.77</v>
      </c>
      <c r="M476" s="4" t="s">
        <v>1255</v>
      </c>
      <c r="N476" s="3">
        <v>2680.5843</v>
      </c>
    </row>
    <row r="477" spans="1:14" x14ac:dyDescent="0.35">
      <c r="A477">
        <v>1386</v>
      </c>
      <c r="B477" s="4" t="s">
        <v>419</v>
      </c>
      <c r="C477" s="4" t="s">
        <v>161</v>
      </c>
      <c r="D477" s="4" t="s">
        <v>29</v>
      </c>
      <c r="E477">
        <v>5</v>
      </c>
      <c r="F477" s="3">
        <v>4439.8100000000004</v>
      </c>
      <c r="G477" s="2">
        <v>1.1000000000000001</v>
      </c>
      <c r="H477" s="3">
        <v>-2219.91</v>
      </c>
      <c r="I477" s="1">
        <v>45608</v>
      </c>
      <c r="J477" s="4" t="s">
        <v>7</v>
      </c>
      <c r="K477" s="4" t="s">
        <v>12</v>
      </c>
      <c r="L477" s="3">
        <v>1669.09</v>
      </c>
      <c r="M477" s="4" t="s">
        <v>1255</v>
      </c>
      <c r="N477" s="3">
        <v>22199.05</v>
      </c>
    </row>
    <row r="478" spans="1:14" hidden="1" x14ac:dyDescent="0.35">
      <c r="A478">
        <v>1387</v>
      </c>
      <c r="B478" s="4" t="s">
        <v>121</v>
      </c>
      <c r="C478" s="4" t="s">
        <v>236</v>
      </c>
      <c r="D478" s="4" t="s">
        <v>10</v>
      </c>
      <c r="E478">
        <v>3</v>
      </c>
      <c r="F478" s="3">
        <v>2680.5843</v>
      </c>
      <c r="G478" s="2">
        <v>0.64375527426160395</v>
      </c>
      <c r="H478" s="3">
        <v>0</v>
      </c>
      <c r="I478" s="1">
        <v>45507</v>
      </c>
      <c r="J478" s="4" t="s">
        <v>20</v>
      </c>
      <c r="K478" s="4" t="s">
        <v>40</v>
      </c>
      <c r="L478" s="3">
        <v>-505.47</v>
      </c>
      <c r="M478" s="4" t="s">
        <v>1255</v>
      </c>
      <c r="N478" s="3">
        <v>8041.7529000000004</v>
      </c>
    </row>
    <row r="479" spans="1:14" x14ac:dyDescent="0.35">
      <c r="A479">
        <v>1388</v>
      </c>
      <c r="B479" s="4" t="s">
        <v>121</v>
      </c>
      <c r="C479" s="4" t="s">
        <v>571</v>
      </c>
      <c r="D479" s="4" t="s">
        <v>17</v>
      </c>
      <c r="E479">
        <v>4</v>
      </c>
      <c r="F479" s="3">
        <v>2678.9937</v>
      </c>
      <c r="G479" s="2">
        <v>0.64375527426160395</v>
      </c>
      <c r="H479" s="3">
        <v>0</v>
      </c>
      <c r="I479" s="1">
        <v>45433</v>
      </c>
      <c r="J479" s="4" t="s">
        <v>7</v>
      </c>
      <c r="K479" s="4" t="s">
        <v>8</v>
      </c>
      <c r="L479" s="3">
        <v>475.79</v>
      </c>
      <c r="M479" s="4" t="s">
        <v>1255</v>
      </c>
      <c r="N479" s="3">
        <v>10715.9748</v>
      </c>
    </row>
    <row r="480" spans="1:14" hidden="1" x14ac:dyDescent="0.35">
      <c r="A480">
        <v>1389</v>
      </c>
      <c r="B480" s="4" t="s">
        <v>572</v>
      </c>
      <c r="C480" s="4" t="s">
        <v>205</v>
      </c>
      <c r="D480" s="4" t="s">
        <v>25</v>
      </c>
      <c r="E480">
        <v>2</v>
      </c>
      <c r="F480" s="3">
        <v>2742.38</v>
      </c>
      <c r="G480" s="2">
        <v>0.64375527426160395</v>
      </c>
      <c r="H480" s="3">
        <v>0</v>
      </c>
      <c r="I480" s="1">
        <v>45132</v>
      </c>
      <c r="J480" s="4" t="s">
        <v>9</v>
      </c>
      <c r="K480" s="4" t="s">
        <v>40</v>
      </c>
      <c r="L480" s="3">
        <v>1987.46</v>
      </c>
      <c r="M480" s="4" t="s">
        <v>1255</v>
      </c>
      <c r="N480" s="3">
        <v>5484.76</v>
      </c>
    </row>
    <row r="481" spans="1:14" hidden="1" x14ac:dyDescent="0.35">
      <c r="A481">
        <v>1390</v>
      </c>
      <c r="B481" s="4" t="s">
        <v>573</v>
      </c>
      <c r="C481" s="4" t="s">
        <v>76</v>
      </c>
      <c r="D481" s="4" t="s">
        <v>6</v>
      </c>
      <c r="E481">
        <v>4</v>
      </c>
      <c r="F481" s="3">
        <v>2678.9937</v>
      </c>
      <c r="G481" s="2">
        <v>0.64375527426160395</v>
      </c>
      <c r="H481" s="3">
        <v>0</v>
      </c>
      <c r="I481" s="1">
        <v>45132</v>
      </c>
      <c r="J481" s="4" t="s">
        <v>20</v>
      </c>
      <c r="K481" s="4" t="s">
        <v>40</v>
      </c>
      <c r="L481" s="3">
        <v>1789.75</v>
      </c>
      <c r="M481" s="4" t="s">
        <v>1255</v>
      </c>
      <c r="N481" s="3">
        <v>10715.9748</v>
      </c>
    </row>
    <row r="482" spans="1:14" hidden="1" x14ac:dyDescent="0.35">
      <c r="A482">
        <v>1391</v>
      </c>
      <c r="B482" s="4" t="s">
        <v>122</v>
      </c>
      <c r="C482" s="4" t="s">
        <v>574</v>
      </c>
      <c r="D482" s="4" t="s">
        <v>38</v>
      </c>
      <c r="E482">
        <v>0</v>
      </c>
      <c r="F482" s="3">
        <v>2213.79</v>
      </c>
      <c r="G482" s="2">
        <v>0.01</v>
      </c>
      <c r="H482" s="3">
        <v>0</v>
      </c>
      <c r="I482" s="1">
        <v>45738</v>
      </c>
      <c r="J482" s="4" t="s">
        <v>23</v>
      </c>
      <c r="K482" s="4" t="s">
        <v>40</v>
      </c>
      <c r="L482" s="3">
        <v>418.24</v>
      </c>
      <c r="M482" s="4" t="s">
        <v>1255</v>
      </c>
      <c r="N482" s="3">
        <v>0</v>
      </c>
    </row>
    <row r="483" spans="1:14" x14ac:dyDescent="0.35">
      <c r="A483">
        <v>1393</v>
      </c>
      <c r="B483" s="4" t="s">
        <v>575</v>
      </c>
      <c r="C483" s="4" t="s">
        <v>74</v>
      </c>
      <c r="D483" s="4" t="s">
        <v>27</v>
      </c>
      <c r="E483">
        <v>6</v>
      </c>
      <c r="F483" s="3">
        <v>2679.3577</v>
      </c>
      <c r="G483" s="2">
        <v>0.64464788732394396</v>
      </c>
      <c r="H483" s="3">
        <v>0</v>
      </c>
      <c r="I483" s="1">
        <v>45693</v>
      </c>
      <c r="J483" s="4" t="s">
        <v>23</v>
      </c>
      <c r="K483" s="4" t="s">
        <v>8</v>
      </c>
      <c r="L483" s="3">
        <v>2001.24</v>
      </c>
      <c r="M483" s="4" t="s">
        <v>1255</v>
      </c>
      <c r="N483" s="3">
        <v>16076.146199999999</v>
      </c>
    </row>
    <row r="484" spans="1:14" x14ac:dyDescent="0.35">
      <c r="A484">
        <v>1394</v>
      </c>
      <c r="B484" s="4" t="s">
        <v>576</v>
      </c>
      <c r="C484" s="4" t="s">
        <v>577</v>
      </c>
      <c r="D484" s="4" t="s">
        <v>27</v>
      </c>
      <c r="E484">
        <v>0</v>
      </c>
      <c r="F484" s="3">
        <v>1218.6500000000001</v>
      </c>
      <c r="G484" s="2">
        <v>0.64464788732394396</v>
      </c>
      <c r="H484" s="3">
        <v>0</v>
      </c>
      <c r="I484" s="1">
        <v>45806</v>
      </c>
      <c r="J484" s="4" t="s">
        <v>23</v>
      </c>
      <c r="K484" s="4" t="s">
        <v>8</v>
      </c>
      <c r="L484" s="3">
        <v>2538.59</v>
      </c>
      <c r="M484" s="4" t="s">
        <v>1255</v>
      </c>
      <c r="N484" s="3">
        <v>0</v>
      </c>
    </row>
    <row r="485" spans="1:14" x14ac:dyDescent="0.35">
      <c r="A485">
        <v>1395</v>
      </c>
      <c r="B485" s="4" t="s">
        <v>79</v>
      </c>
      <c r="C485" s="4" t="s">
        <v>194</v>
      </c>
      <c r="D485" s="4" t="s">
        <v>25</v>
      </c>
      <c r="E485">
        <v>0</v>
      </c>
      <c r="F485" s="3">
        <v>2681.076</v>
      </c>
      <c r="G485" s="2">
        <v>0.64464788732394396</v>
      </c>
      <c r="H485" s="3">
        <v>0</v>
      </c>
      <c r="I485" s="1">
        <v>45393</v>
      </c>
      <c r="J485" s="4" t="s">
        <v>11</v>
      </c>
      <c r="K485" s="4" t="s">
        <v>12</v>
      </c>
      <c r="L485" s="3">
        <v>-357.08</v>
      </c>
      <c r="M485" s="4" t="s">
        <v>1255</v>
      </c>
      <c r="N485" s="3">
        <v>0</v>
      </c>
    </row>
    <row r="486" spans="1:14" x14ac:dyDescent="0.35">
      <c r="A486">
        <v>1396</v>
      </c>
      <c r="B486" s="4" t="s">
        <v>122</v>
      </c>
      <c r="C486" s="4" t="s">
        <v>578</v>
      </c>
      <c r="D486" s="4" t="s">
        <v>21</v>
      </c>
      <c r="E486">
        <v>2</v>
      </c>
      <c r="F486" s="3">
        <v>3663.65</v>
      </c>
      <c r="G486" s="2">
        <v>0.26</v>
      </c>
      <c r="H486" s="3">
        <v>5422.2</v>
      </c>
      <c r="I486" s="1">
        <v>45393</v>
      </c>
      <c r="J486" s="4" t="s">
        <v>9</v>
      </c>
      <c r="K486" s="4" t="s">
        <v>12</v>
      </c>
      <c r="L486" s="3">
        <v>1553.44</v>
      </c>
      <c r="M486" s="4" t="s">
        <v>1256</v>
      </c>
      <c r="N486" s="3">
        <v>7327.3</v>
      </c>
    </row>
    <row r="487" spans="1:14" x14ac:dyDescent="0.35">
      <c r="A487">
        <v>1397</v>
      </c>
      <c r="B487" s="4" t="s">
        <v>579</v>
      </c>
      <c r="C487" s="4" t="s">
        <v>142</v>
      </c>
      <c r="D487" s="4" t="s">
        <v>34</v>
      </c>
      <c r="E487">
        <v>0</v>
      </c>
      <c r="F487" s="3">
        <v>2682.4029999999998</v>
      </c>
      <c r="G487" s="2">
        <v>0.64519040902679803</v>
      </c>
      <c r="H487" s="3">
        <v>0</v>
      </c>
      <c r="I487" s="1">
        <v>45723</v>
      </c>
      <c r="J487" s="4" t="s">
        <v>18</v>
      </c>
      <c r="K487" s="4" t="s">
        <v>8</v>
      </c>
      <c r="L487" s="3">
        <v>1239.6199999999999</v>
      </c>
      <c r="M487" s="4" t="s">
        <v>1255</v>
      </c>
      <c r="N487" s="3">
        <v>0</v>
      </c>
    </row>
    <row r="488" spans="1:14" hidden="1" x14ac:dyDescent="0.35">
      <c r="A488">
        <v>1398</v>
      </c>
      <c r="B488" s="4" t="s">
        <v>47</v>
      </c>
      <c r="C488" s="4" t="s">
        <v>241</v>
      </c>
      <c r="D488" s="4" t="s">
        <v>17</v>
      </c>
      <c r="E488">
        <v>0</v>
      </c>
      <c r="F488" s="3">
        <v>2681.5118000000002</v>
      </c>
      <c r="G488" s="2">
        <v>0.64519040902679803</v>
      </c>
      <c r="H488" s="3">
        <v>0</v>
      </c>
      <c r="I488" s="1">
        <v>45744</v>
      </c>
      <c r="J488" s="4" t="s">
        <v>23</v>
      </c>
      <c r="K488" s="4" t="s">
        <v>40</v>
      </c>
      <c r="L488" s="3">
        <v>-43.7</v>
      </c>
      <c r="M488" s="4" t="s">
        <v>1255</v>
      </c>
      <c r="N488" s="3">
        <v>0</v>
      </c>
    </row>
    <row r="489" spans="1:14" x14ac:dyDescent="0.35">
      <c r="A489">
        <v>1399</v>
      </c>
      <c r="B489" s="4" t="s">
        <v>342</v>
      </c>
      <c r="C489" s="4" t="s">
        <v>349</v>
      </c>
      <c r="D489" s="4" t="s">
        <v>30</v>
      </c>
      <c r="E489">
        <v>4</v>
      </c>
      <c r="F489" s="3">
        <v>2681.5118000000002</v>
      </c>
      <c r="G489" s="2">
        <v>0.35</v>
      </c>
      <c r="H489" s="3">
        <v>0</v>
      </c>
      <c r="I489" s="1">
        <v>45596</v>
      </c>
      <c r="J489" s="4" t="s">
        <v>7</v>
      </c>
      <c r="K489" s="4" t="s">
        <v>8</v>
      </c>
      <c r="L489" s="3">
        <v>-444.08</v>
      </c>
      <c r="M489" s="4" t="s">
        <v>1255</v>
      </c>
      <c r="N489" s="3">
        <v>10726.047200000001</v>
      </c>
    </row>
    <row r="490" spans="1:14" hidden="1" x14ac:dyDescent="0.35">
      <c r="A490">
        <v>1400</v>
      </c>
      <c r="B490" s="4" t="s">
        <v>93</v>
      </c>
      <c r="C490" s="4" t="s">
        <v>580</v>
      </c>
      <c r="D490" s="4" t="s">
        <v>26</v>
      </c>
      <c r="E490">
        <v>0</v>
      </c>
      <c r="F490" s="3">
        <v>2681.5118000000002</v>
      </c>
      <c r="G490" s="2">
        <v>0.64560734463276803</v>
      </c>
      <c r="H490" s="3">
        <v>0</v>
      </c>
      <c r="I490" s="1">
        <v>45715</v>
      </c>
      <c r="J490" s="4" t="s">
        <v>7</v>
      </c>
      <c r="K490" s="4" t="s">
        <v>40</v>
      </c>
      <c r="L490" s="3">
        <v>1385.55</v>
      </c>
      <c r="M490" s="4" t="s">
        <v>1255</v>
      </c>
      <c r="N490" s="3">
        <v>0</v>
      </c>
    </row>
    <row r="491" spans="1:14" hidden="1" x14ac:dyDescent="0.35">
      <c r="A491">
        <v>1401</v>
      </c>
      <c r="B491" s="4" t="s">
        <v>328</v>
      </c>
      <c r="C491" s="4" t="s">
        <v>95</v>
      </c>
      <c r="D491" s="4" t="s">
        <v>26</v>
      </c>
      <c r="E491">
        <v>-2</v>
      </c>
      <c r="F491" s="3">
        <v>2681.5118000000002</v>
      </c>
      <c r="G491" s="2">
        <v>0.64560734463276803</v>
      </c>
      <c r="H491" s="3">
        <v>0</v>
      </c>
      <c r="I491" s="1">
        <v>45570</v>
      </c>
      <c r="J491" s="4" t="s">
        <v>23</v>
      </c>
      <c r="K491" s="4" t="s">
        <v>40</v>
      </c>
      <c r="L491" s="3">
        <v>-751.05</v>
      </c>
      <c r="M491" s="4" t="s">
        <v>1255</v>
      </c>
      <c r="N491" s="3">
        <v>-5363.0236000000004</v>
      </c>
    </row>
    <row r="492" spans="1:14" x14ac:dyDescent="0.35">
      <c r="A492">
        <v>1402</v>
      </c>
      <c r="B492" s="4" t="s">
        <v>328</v>
      </c>
      <c r="C492" s="4" t="s">
        <v>74</v>
      </c>
      <c r="D492" s="4" t="s">
        <v>33</v>
      </c>
      <c r="E492">
        <v>0</v>
      </c>
      <c r="F492" s="3">
        <v>603.51</v>
      </c>
      <c r="G492" s="2">
        <v>1.23</v>
      </c>
      <c r="H492" s="3">
        <v>0</v>
      </c>
      <c r="I492" s="1">
        <v>45673</v>
      </c>
      <c r="J492" s="4" t="s">
        <v>23</v>
      </c>
      <c r="K492" s="4" t="s">
        <v>8</v>
      </c>
      <c r="L492" s="3">
        <v>982.01</v>
      </c>
      <c r="M492" s="4" t="s">
        <v>1255</v>
      </c>
      <c r="N492" s="3">
        <v>0</v>
      </c>
    </row>
    <row r="493" spans="1:14" hidden="1" x14ac:dyDescent="0.35">
      <c r="A493">
        <v>1403</v>
      </c>
      <c r="B493" s="4" t="s">
        <v>93</v>
      </c>
      <c r="C493" s="4" t="s">
        <v>316</v>
      </c>
      <c r="D493" s="4" t="s">
        <v>15</v>
      </c>
      <c r="E493">
        <v>0</v>
      </c>
      <c r="F493" s="3">
        <v>2681.5118000000002</v>
      </c>
      <c r="G493" s="2">
        <v>0.64478076379066496</v>
      </c>
      <c r="H493" s="3">
        <v>0</v>
      </c>
      <c r="I493" s="1">
        <v>45828</v>
      </c>
      <c r="J493" s="4" t="s">
        <v>23</v>
      </c>
      <c r="K493" s="4" t="s">
        <v>40</v>
      </c>
      <c r="L493" s="3">
        <v>2210.0700000000002</v>
      </c>
      <c r="M493" s="4" t="s">
        <v>1255</v>
      </c>
      <c r="N493" s="3">
        <v>0</v>
      </c>
    </row>
    <row r="494" spans="1:14" x14ac:dyDescent="0.35">
      <c r="A494">
        <v>1404</v>
      </c>
      <c r="B494" s="4" t="s">
        <v>549</v>
      </c>
      <c r="C494" s="4" t="s">
        <v>242</v>
      </c>
      <c r="D494" s="4" t="s">
        <v>33</v>
      </c>
      <c r="E494">
        <v>0</v>
      </c>
      <c r="F494" s="3">
        <v>3074.59</v>
      </c>
      <c r="G494" s="2">
        <v>0.64478076379066496</v>
      </c>
      <c r="H494" s="3">
        <v>0</v>
      </c>
      <c r="I494" s="1">
        <v>45828</v>
      </c>
      <c r="J494" s="4" t="s">
        <v>18</v>
      </c>
      <c r="K494" s="4" t="s">
        <v>8</v>
      </c>
      <c r="L494" s="3">
        <v>1979.07</v>
      </c>
      <c r="M494" s="4" t="s">
        <v>1255</v>
      </c>
      <c r="N494" s="3">
        <v>0</v>
      </c>
    </row>
    <row r="495" spans="1:14" x14ac:dyDescent="0.35">
      <c r="A495">
        <v>1405</v>
      </c>
      <c r="B495" s="4" t="s">
        <v>581</v>
      </c>
      <c r="C495" s="4" t="s">
        <v>247</v>
      </c>
      <c r="D495" s="4" t="s">
        <v>24</v>
      </c>
      <c r="E495">
        <v>0</v>
      </c>
      <c r="F495" s="3">
        <v>2683.4009000000001</v>
      </c>
      <c r="G495" s="2">
        <v>0.56000000000000005</v>
      </c>
      <c r="H495" s="3">
        <v>0</v>
      </c>
      <c r="I495" s="1">
        <v>45417</v>
      </c>
      <c r="J495" s="4" t="s">
        <v>11</v>
      </c>
      <c r="K495" s="4" t="s">
        <v>8</v>
      </c>
      <c r="L495" s="3">
        <v>2345.6799999999998</v>
      </c>
      <c r="M495" s="4" t="s">
        <v>1255</v>
      </c>
      <c r="N495" s="3">
        <v>0</v>
      </c>
    </row>
    <row r="496" spans="1:14" hidden="1" x14ac:dyDescent="0.35">
      <c r="A496">
        <v>1406</v>
      </c>
      <c r="B496" s="4" t="s">
        <v>582</v>
      </c>
      <c r="C496" s="4" t="s">
        <v>149</v>
      </c>
      <c r="D496" s="4" t="s">
        <v>24</v>
      </c>
      <c r="E496">
        <v>0</v>
      </c>
      <c r="F496" s="3">
        <v>2683.0448999999999</v>
      </c>
      <c r="G496" s="2">
        <v>0.64490084985835705</v>
      </c>
      <c r="H496" s="3">
        <v>0</v>
      </c>
      <c r="I496" s="1">
        <v>45675</v>
      </c>
      <c r="J496" s="4" t="s">
        <v>18</v>
      </c>
      <c r="K496" s="4" t="s">
        <v>40</v>
      </c>
      <c r="L496" s="3">
        <v>-863.17</v>
      </c>
      <c r="M496" s="4" t="s">
        <v>1255</v>
      </c>
      <c r="N496" s="3">
        <v>0</v>
      </c>
    </row>
    <row r="497" spans="1:14" x14ac:dyDescent="0.35">
      <c r="A497">
        <v>1407</v>
      </c>
      <c r="B497" s="4" t="s">
        <v>166</v>
      </c>
      <c r="C497" s="4" t="s">
        <v>364</v>
      </c>
      <c r="D497" s="4" t="s">
        <v>28</v>
      </c>
      <c r="E497">
        <v>0</v>
      </c>
      <c r="F497" s="3">
        <v>4977.8100000000004</v>
      </c>
      <c r="G497" s="2">
        <v>0.64490084985835705</v>
      </c>
      <c r="H497" s="3">
        <v>0</v>
      </c>
      <c r="I497" s="1">
        <v>45823</v>
      </c>
      <c r="J497" s="4" t="s">
        <v>9</v>
      </c>
      <c r="K497" s="4" t="s">
        <v>12</v>
      </c>
      <c r="L497" s="3">
        <v>2041.12</v>
      </c>
      <c r="M497" s="4" t="s">
        <v>1255</v>
      </c>
      <c r="N497" s="3">
        <v>0</v>
      </c>
    </row>
    <row r="498" spans="1:14" x14ac:dyDescent="0.35">
      <c r="A498">
        <v>1408</v>
      </c>
      <c r="B498" s="4" t="s">
        <v>167</v>
      </c>
      <c r="C498" s="4" t="s">
        <v>583</v>
      </c>
      <c r="D498" s="4" t="s">
        <v>29</v>
      </c>
      <c r="E498">
        <v>0</v>
      </c>
      <c r="F498" s="3">
        <v>2683.0448999999999</v>
      </c>
      <c r="G498" s="2">
        <v>0.64490084985835705</v>
      </c>
      <c r="H498" s="3">
        <v>0</v>
      </c>
      <c r="I498" s="1">
        <v>45539</v>
      </c>
      <c r="J498" s="4" t="s">
        <v>11</v>
      </c>
      <c r="K498" s="4" t="s">
        <v>12</v>
      </c>
      <c r="L498" s="3">
        <v>2305.3200000000002</v>
      </c>
      <c r="M498" s="4" t="s">
        <v>1255</v>
      </c>
      <c r="N498" s="3">
        <v>0</v>
      </c>
    </row>
    <row r="499" spans="1:14" x14ac:dyDescent="0.35">
      <c r="A499">
        <v>1409</v>
      </c>
      <c r="B499" s="4" t="s">
        <v>71</v>
      </c>
      <c r="C499" s="4" t="s">
        <v>584</v>
      </c>
      <c r="D499" s="4" t="s">
        <v>35</v>
      </c>
      <c r="E499">
        <v>6</v>
      </c>
      <c r="F499" s="3">
        <v>2680.9549999999999</v>
      </c>
      <c r="G499" s="2">
        <v>0.64490084985835705</v>
      </c>
      <c r="H499" s="3">
        <v>0</v>
      </c>
      <c r="I499" s="1">
        <v>45539</v>
      </c>
      <c r="J499" s="4" t="s">
        <v>20</v>
      </c>
      <c r="K499" s="4" t="s">
        <v>8</v>
      </c>
      <c r="L499" s="3">
        <v>-941.44</v>
      </c>
      <c r="M499" s="4" t="s">
        <v>1255</v>
      </c>
      <c r="N499" s="3">
        <v>16085.73</v>
      </c>
    </row>
    <row r="500" spans="1:14" hidden="1" x14ac:dyDescent="0.35">
      <c r="A500">
        <v>1410</v>
      </c>
      <c r="B500" s="4" t="s">
        <v>366</v>
      </c>
      <c r="C500" s="4" t="s">
        <v>585</v>
      </c>
      <c r="D500" s="4" t="s">
        <v>32</v>
      </c>
      <c r="E500">
        <v>6</v>
      </c>
      <c r="F500" s="3">
        <v>4445.8100000000004</v>
      </c>
      <c r="G500" s="2">
        <v>0.64490084985835705</v>
      </c>
      <c r="H500" s="3">
        <v>0</v>
      </c>
      <c r="I500" s="1">
        <v>45539</v>
      </c>
      <c r="J500" s="4" t="s">
        <v>7</v>
      </c>
      <c r="K500" s="4" t="s">
        <v>40</v>
      </c>
      <c r="L500" s="3">
        <v>-654.59</v>
      </c>
      <c r="M500" s="4" t="s">
        <v>1255</v>
      </c>
      <c r="N500" s="3">
        <v>26674.86</v>
      </c>
    </row>
    <row r="501" spans="1:14" hidden="1" x14ac:dyDescent="0.35">
      <c r="A501">
        <v>1411</v>
      </c>
      <c r="B501" s="4" t="s">
        <v>121</v>
      </c>
      <c r="C501" s="4" t="s">
        <v>586</v>
      </c>
      <c r="D501" s="4" t="s">
        <v>25</v>
      </c>
      <c r="E501">
        <v>0</v>
      </c>
      <c r="F501" s="3">
        <v>4946.7700000000004</v>
      </c>
      <c r="G501" s="2">
        <v>0.64490084985835705</v>
      </c>
      <c r="H501" s="3">
        <v>0</v>
      </c>
      <c r="I501" s="1">
        <v>45539</v>
      </c>
      <c r="J501" s="4" t="s">
        <v>11</v>
      </c>
      <c r="K501" s="4" t="s">
        <v>40</v>
      </c>
      <c r="L501" s="3">
        <v>1520.19</v>
      </c>
      <c r="M501" s="4" t="s">
        <v>1255</v>
      </c>
      <c r="N501" s="3">
        <v>0</v>
      </c>
    </row>
    <row r="502" spans="1:14" x14ac:dyDescent="0.35">
      <c r="A502">
        <v>1412</v>
      </c>
      <c r="B502" s="4" t="s">
        <v>587</v>
      </c>
      <c r="C502" s="4" t="s">
        <v>588</v>
      </c>
      <c r="D502" s="4" t="s">
        <v>38</v>
      </c>
      <c r="E502">
        <v>0</v>
      </c>
      <c r="F502" s="3">
        <v>2679.3462</v>
      </c>
      <c r="G502" s="2">
        <v>0.64490084985835705</v>
      </c>
      <c r="H502" s="3">
        <v>0</v>
      </c>
      <c r="I502" s="1">
        <v>45533</v>
      </c>
      <c r="J502" s="4" t="s">
        <v>23</v>
      </c>
      <c r="K502" s="4" t="s">
        <v>8</v>
      </c>
      <c r="L502" s="3">
        <v>2314.9299999999998</v>
      </c>
      <c r="M502" s="4" t="s">
        <v>1255</v>
      </c>
      <c r="N502" s="3">
        <v>0</v>
      </c>
    </row>
    <row r="503" spans="1:14" x14ac:dyDescent="0.35">
      <c r="A503">
        <v>1413</v>
      </c>
      <c r="B503" s="4" t="s">
        <v>121</v>
      </c>
      <c r="C503" s="4" t="s">
        <v>92</v>
      </c>
      <c r="D503" s="4" t="s">
        <v>24</v>
      </c>
      <c r="E503">
        <v>1</v>
      </c>
      <c r="F503" s="3">
        <v>2677.2773999999999</v>
      </c>
      <c r="G503" s="2">
        <v>0.17</v>
      </c>
      <c r="H503" s="3">
        <v>0</v>
      </c>
      <c r="I503" s="1">
        <v>45812</v>
      </c>
      <c r="J503" s="4" t="s">
        <v>9</v>
      </c>
      <c r="K503" s="4" t="s">
        <v>8</v>
      </c>
      <c r="L503" s="3">
        <v>1539.28</v>
      </c>
      <c r="M503" s="4" t="s">
        <v>1255</v>
      </c>
      <c r="N503" s="3">
        <v>2677.2773999999999</v>
      </c>
    </row>
    <row r="504" spans="1:14" hidden="1" x14ac:dyDescent="0.35">
      <c r="A504">
        <v>1414</v>
      </c>
      <c r="B504" s="4" t="s">
        <v>185</v>
      </c>
      <c r="C504" s="4" t="s">
        <v>589</v>
      </c>
      <c r="D504" s="4" t="s">
        <v>37</v>
      </c>
      <c r="E504">
        <v>0</v>
      </c>
      <c r="F504" s="3">
        <v>2677.2773999999999</v>
      </c>
      <c r="G504" s="2">
        <v>0.64557446808510599</v>
      </c>
      <c r="H504" s="3">
        <v>0</v>
      </c>
      <c r="I504" s="1">
        <v>45846</v>
      </c>
      <c r="J504" s="4" t="s">
        <v>9</v>
      </c>
      <c r="K504" s="4" t="s">
        <v>40</v>
      </c>
      <c r="L504" s="3">
        <v>2843.55</v>
      </c>
      <c r="M504" s="4" t="s">
        <v>1255</v>
      </c>
      <c r="N504" s="3">
        <v>0</v>
      </c>
    </row>
    <row r="505" spans="1:14" hidden="1" x14ac:dyDescent="0.35">
      <c r="A505">
        <v>1415</v>
      </c>
      <c r="B505" s="4" t="s">
        <v>590</v>
      </c>
      <c r="C505" s="4" t="s">
        <v>49</v>
      </c>
      <c r="D505" s="4" t="s">
        <v>10</v>
      </c>
      <c r="E505">
        <v>0</v>
      </c>
      <c r="F505" s="3">
        <v>3149</v>
      </c>
      <c r="G505" s="2">
        <v>0.64557446808510599</v>
      </c>
      <c r="H505" s="3">
        <v>0</v>
      </c>
      <c r="I505" s="1">
        <v>45846</v>
      </c>
      <c r="J505" s="4" t="s">
        <v>18</v>
      </c>
      <c r="K505" s="4" t="s">
        <v>40</v>
      </c>
      <c r="L505" s="3">
        <v>2661.23</v>
      </c>
      <c r="M505" s="4" t="s">
        <v>1255</v>
      </c>
      <c r="N505" s="3">
        <v>0</v>
      </c>
    </row>
    <row r="506" spans="1:14" hidden="1" x14ac:dyDescent="0.35">
      <c r="A506">
        <v>1416</v>
      </c>
      <c r="B506" s="4" t="s">
        <v>134</v>
      </c>
      <c r="C506" s="4" t="s">
        <v>149</v>
      </c>
      <c r="D506" s="4" t="s">
        <v>33</v>
      </c>
      <c r="E506">
        <v>0</v>
      </c>
      <c r="F506" s="3">
        <v>3527.15</v>
      </c>
      <c r="G506" s="2">
        <v>0.64557446808510599</v>
      </c>
      <c r="H506" s="3">
        <v>0</v>
      </c>
      <c r="I506" s="1">
        <v>45253</v>
      </c>
      <c r="J506" s="4" t="s">
        <v>23</v>
      </c>
      <c r="K506" s="4" t="s">
        <v>40</v>
      </c>
      <c r="L506" s="3">
        <v>2286.48</v>
      </c>
      <c r="M506" s="4" t="s">
        <v>1255</v>
      </c>
      <c r="N506" s="3">
        <v>0</v>
      </c>
    </row>
    <row r="507" spans="1:14" x14ac:dyDescent="0.35">
      <c r="A507">
        <v>1417</v>
      </c>
      <c r="B507" s="4" t="s">
        <v>110</v>
      </c>
      <c r="C507" s="4" t="s">
        <v>591</v>
      </c>
      <c r="D507" s="4" t="s">
        <v>25</v>
      </c>
      <c r="E507">
        <v>0</v>
      </c>
      <c r="F507" s="3">
        <v>2676.8465999999999</v>
      </c>
      <c r="G507" s="2">
        <v>0.64557446808510599</v>
      </c>
      <c r="H507" s="3">
        <v>0</v>
      </c>
      <c r="I507" s="1">
        <v>45515</v>
      </c>
      <c r="J507" s="4" t="s">
        <v>18</v>
      </c>
      <c r="K507" s="4" t="s">
        <v>12</v>
      </c>
      <c r="L507" s="3">
        <v>888.59</v>
      </c>
      <c r="M507" s="4" t="s">
        <v>1255</v>
      </c>
      <c r="N507" s="3">
        <v>0</v>
      </c>
    </row>
    <row r="508" spans="1:14" x14ac:dyDescent="0.35">
      <c r="A508">
        <v>1418</v>
      </c>
      <c r="B508" s="4" t="s">
        <v>65</v>
      </c>
      <c r="C508" s="4" t="s">
        <v>203</v>
      </c>
      <c r="D508" s="4" t="s">
        <v>31</v>
      </c>
      <c r="E508">
        <v>0</v>
      </c>
      <c r="F508" s="3">
        <v>2676.0693000000001</v>
      </c>
      <c r="G508" s="2">
        <v>0.13</v>
      </c>
      <c r="H508" s="3">
        <v>0</v>
      </c>
      <c r="I508" s="1">
        <v>45507</v>
      </c>
      <c r="J508" s="4" t="s">
        <v>18</v>
      </c>
      <c r="K508" s="4" t="s">
        <v>12</v>
      </c>
      <c r="L508" s="3">
        <v>1403.76</v>
      </c>
      <c r="M508" s="4" t="s">
        <v>1255</v>
      </c>
      <c r="N508" s="3">
        <v>0</v>
      </c>
    </row>
    <row r="509" spans="1:14" x14ac:dyDescent="0.35">
      <c r="A509">
        <v>1419</v>
      </c>
      <c r="B509" s="4" t="s">
        <v>566</v>
      </c>
      <c r="C509" s="4" t="s">
        <v>443</v>
      </c>
      <c r="D509" s="4" t="s">
        <v>27</v>
      </c>
      <c r="E509">
        <v>2</v>
      </c>
      <c r="F509" s="3">
        <v>2676.0693000000001</v>
      </c>
      <c r="G509" s="2">
        <v>0.64630681818181801</v>
      </c>
      <c r="H509" s="3">
        <v>0</v>
      </c>
      <c r="I509" s="1">
        <v>45580</v>
      </c>
      <c r="J509" s="4" t="s">
        <v>23</v>
      </c>
      <c r="K509" s="4" t="s">
        <v>12</v>
      </c>
      <c r="L509" s="3">
        <v>-565.16999999999996</v>
      </c>
      <c r="M509" s="4" t="s">
        <v>1255</v>
      </c>
      <c r="N509" s="3">
        <v>5352.1386000000002</v>
      </c>
    </row>
    <row r="510" spans="1:14" x14ac:dyDescent="0.35">
      <c r="A510">
        <v>1420</v>
      </c>
      <c r="B510" s="4" t="s">
        <v>122</v>
      </c>
      <c r="C510" s="4" t="s">
        <v>592</v>
      </c>
      <c r="D510" s="4" t="s">
        <v>13</v>
      </c>
      <c r="E510">
        <v>0</v>
      </c>
      <c r="F510" s="3">
        <v>2676.0693000000001</v>
      </c>
      <c r="G510" s="2">
        <v>0.96</v>
      </c>
      <c r="H510" s="3">
        <v>0</v>
      </c>
      <c r="I510" s="1">
        <v>45814</v>
      </c>
      <c r="J510" s="4" t="s">
        <v>9</v>
      </c>
      <c r="K510" s="4" t="s">
        <v>12</v>
      </c>
      <c r="L510" s="3">
        <v>2790.42</v>
      </c>
      <c r="M510" s="4" t="s">
        <v>1255</v>
      </c>
      <c r="N510" s="3">
        <v>0</v>
      </c>
    </row>
    <row r="511" spans="1:14" hidden="1" x14ac:dyDescent="0.35">
      <c r="A511">
        <v>1421</v>
      </c>
      <c r="B511" s="4" t="s">
        <v>91</v>
      </c>
      <c r="C511" s="4" t="s">
        <v>345</v>
      </c>
      <c r="D511" s="4" t="s">
        <v>26</v>
      </c>
      <c r="E511">
        <v>0</v>
      </c>
      <c r="F511" s="3">
        <v>2676.0693000000001</v>
      </c>
      <c r="G511" s="2">
        <v>0.64586059743954505</v>
      </c>
      <c r="H511" s="3">
        <v>0</v>
      </c>
      <c r="I511" s="1">
        <v>45853</v>
      </c>
      <c r="J511" s="4" t="s">
        <v>9</v>
      </c>
      <c r="K511" s="4" t="s">
        <v>40</v>
      </c>
      <c r="L511" s="3">
        <v>575.19000000000005</v>
      </c>
      <c r="M511" s="4" t="s">
        <v>1255</v>
      </c>
      <c r="N511" s="3">
        <v>0</v>
      </c>
    </row>
    <row r="512" spans="1:14" x14ac:dyDescent="0.35">
      <c r="A512">
        <v>1422</v>
      </c>
      <c r="B512" s="4" t="s">
        <v>593</v>
      </c>
      <c r="C512" s="4" t="s">
        <v>191</v>
      </c>
      <c r="D512" s="4" t="s">
        <v>16</v>
      </c>
      <c r="E512">
        <v>0</v>
      </c>
      <c r="F512" s="3">
        <v>4466.49</v>
      </c>
      <c r="G512" s="2">
        <v>0.64586059743954505</v>
      </c>
      <c r="H512" s="3">
        <v>0</v>
      </c>
      <c r="I512" s="1">
        <v>45726</v>
      </c>
      <c r="J512" s="4" t="s">
        <v>9</v>
      </c>
      <c r="K512" s="4" t="s">
        <v>12</v>
      </c>
      <c r="L512" s="3">
        <v>2168.7800000000002</v>
      </c>
      <c r="M512" s="4" t="s">
        <v>1255</v>
      </c>
      <c r="N512" s="3">
        <v>0</v>
      </c>
    </row>
    <row r="513" spans="1:14" hidden="1" x14ac:dyDescent="0.35">
      <c r="A513">
        <v>1423</v>
      </c>
      <c r="B513" s="4" t="s">
        <v>65</v>
      </c>
      <c r="C513" s="4" t="s">
        <v>594</v>
      </c>
      <c r="D513" s="4" t="s">
        <v>34</v>
      </c>
      <c r="E513">
        <v>0</v>
      </c>
      <c r="F513" s="3">
        <v>2676.0693000000001</v>
      </c>
      <c r="G513" s="2">
        <v>0.64586059743954505</v>
      </c>
      <c r="H513" s="3">
        <v>0</v>
      </c>
      <c r="I513" s="1">
        <v>45710</v>
      </c>
      <c r="J513" s="4" t="s">
        <v>23</v>
      </c>
      <c r="K513" s="4" t="s">
        <v>40</v>
      </c>
      <c r="L513" s="3">
        <v>1302.05</v>
      </c>
      <c r="M513" s="4" t="s">
        <v>1255</v>
      </c>
      <c r="N513" s="3">
        <v>0</v>
      </c>
    </row>
    <row r="514" spans="1:14" hidden="1" x14ac:dyDescent="0.35">
      <c r="A514">
        <v>1424</v>
      </c>
      <c r="B514" s="4" t="s">
        <v>262</v>
      </c>
      <c r="C514" s="4" t="s">
        <v>595</v>
      </c>
      <c r="D514" s="4" t="s">
        <v>26</v>
      </c>
      <c r="E514">
        <v>-1</v>
      </c>
      <c r="F514" s="3">
        <v>538.6</v>
      </c>
      <c r="G514" s="2">
        <v>1.18</v>
      </c>
      <c r="H514" s="3">
        <v>96.95</v>
      </c>
      <c r="I514" s="1">
        <v>45661</v>
      </c>
      <c r="J514" s="4" t="s">
        <v>23</v>
      </c>
      <c r="K514" s="4" t="s">
        <v>40</v>
      </c>
      <c r="L514" s="3">
        <v>752.81</v>
      </c>
      <c r="M514" s="4" t="s">
        <v>1256</v>
      </c>
      <c r="N514" s="3">
        <v>-538.6</v>
      </c>
    </row>
    <row r="515" spans="1:14" x14ac:dyDescent="0.35">
      <c r="A515">
        <v>1425</v>
      </c>
      <c r="B515" s="4" t="s">
        <v>596</v>
      </c>
      <c r="C515" s="4" t="s">
        <v>597</v>
      </c>
      <c r="D515" s="4" t="s">
        <v>35</v>
      </c>
      <c r="E515">
        <v>0</v>
      </c>
      <c r="F515" s="3">
        <v>1133.73</v>
      </c>
      <c r="G515" s="2">
        <v>0.64509971509971498</v>
      </c>
      <c r="H515" s="3">
        <v>0</v>
      </c>
      <c r="I515" s="1">
        <v>45656</v>
      </c>
      <c r="J515" s="4" t="s">
        <v>20</v>
      </c>
      <c r="K515" s="4" t="s">
        <v>12</v>
      </c>
      <c r="L515" s="3">
        <v>2604.14</v>
      </c>
      <c r="M515" s="4" t="s">
        <v>1255</v>
      </c>
      <c r="N515" s="3">
        <v>0</v>
      </c>
    </row>
    <row r="516" spans="1:14" x14ac:dyDescent="0.35">
      <c r="A516">
        <v>1426</v>
      </c>
      <c r="B516" s="4" t="s">
        <v>160</v>
      </c>
      <c r="C516" s="4" t="s">
        <v>378</v>
      </c>
      <c r="D516" s="4" t="s">
        <v>32</v>
      </c>
      <c r="E516">
        <v>-2</v>
      </c>
      <c r="F516" s="3">
        <v>3175.17</v>
      </c>
      <c r="G516" s="2">
        <v>0.86</v>
      </c>
      <c r="H516" s="3">
        <v>-889.05</v>
      </c>
      <c r="I516" s="1">
        <v>45656</v>
      </c>
      <c r="J516" s="4" t="s">
        <v>23</v>
      </c>
      <c r="K516" s="4" t="s">
        <v>12</v>
      </c>
      <c r="L516" s="3">
        <v>2860.99</v>
      </c>
      <c r="M516" s="4" t="s">
        <v>1255</v>
      </c>
      <c r="N516" s="3">
        <v>-6350.34</v>
      </c>
    </row>
    <row r="517" spans="1:14" x14ac:dyDescent="0.35">
      <c r="A517">
        <v>1427</v>
      </c>
      <c r="B517" s="4" t="s">
        <v>274</v>
      </c>
      <c r="C517" s="4" t="s">
        <v>505</v>
      </c>
      <c r="D517" s="4" t="s">
        <v>29</v>
      </c>
      <c r="E517">
        <v>0</v>
      </c>
      <c r="F517" s="3">
        <v>2677.8011000000001</v>
      </c>
      <c r="G517" s="2">
        <v>0.64479315263908699</v>
      </c>
      <c r="H517" s="3">
        <v>0</v>
      </c>
      <c r="I517" s="1">
        <v>45826</v>
      </c>
      <c r="J517" s="4" t="s">
        <v>11</v>
      </c>
      <c r="K517" s="4" t="s">
        <v>8</v>
      </c>
      <c r="L517" s="3">
        <v>2795.17</v>
      </c>
      <c r="M517" s="4" t="s">
        <v>1255</v>
      </c>
      <c r="N517" s="3">
        <v>0</v>
      </c>
    </row>
    <row r="518" spans="1:14" x14ac:dyDescent="0.35">
      <c r="A518">
        <v>1429</v>
      </c>
      <c r="B518" s="4" t="s">
        <v>49</v>
      </c>
      <c r="C518" s="4" t="s">
        <v>186</v>
      </c>
      <c r="D518" s="4" t="s">
        <v>31</v>
      </c>
      <c r="E518">
        <v>0</v>
      </c>
      <c r="F518" s="3">
        <v>3292.01</v>
      </c>
      <c r="G518" s="2">
        <v>0.64479315263908699</v>
      </c>
      <c r="H518" s="3">
        <v>0</v>
      </c>
      <c r="I518" s="1">
        <v>45568</v>
      </c>
      <c r="J518" s="4" t="s">
        <v>7</v>
      </c>
      <c r="K518" s="4" t="s">
        <v>12</v>
      </c>
      <c r="L518" s="3">
        <v>-358.22</v>
      </c>
      <c r="M518" s="4" t="s">
        <v>1255</v>
      </c>
      <c r="N518" s="3">
        <v>0</v>
      </c>
    </row>
    <row r="519" spans="1:14" x14ac:dyDescent="0.35">
      <c r="A519">
        <v>1430</v>
      </c>
      <c r="B519" s="4" t="s">
        <v>598</v>
      </c>
      <c r="C519" s="4" t="s">
        <v>127</v>
      </c>
      <c r="D519" s="4" t="s">
        <v>21</v>
      </c>
      <c r="E519">
        <v>-2</v>
      </c>
      <c r="F519" s="3">
        <v>2677.3447999999999</v>
      </c>
      <c r="G519" s="2">
        <v>0.67</v>
      </c>
      <c r="H519" s="3">
        <v>0</v>
      </c>
      <c r="I519" s="1">
        <v>45789</v>
      </c>
      <c r="J519" s="4" t="s">
        <v>20</v>
      </c>
      <c r="K519" s="4" t="s">
        <v>8</v>
      </c>
      <c r="L519" s="3">
        <v>2045.56</v>
      </c>
      <c r="M519" s="4" t="s">
        <v>1255</v>
      </c>
      <c r="N519" s="3">
        <v>-5354.6895999999997</v>
      </c>
    </row>
    <row r="520" spans="1:14" x14ac:dyDescent="0.35">
      <c r="A520">
        <v>1431</v>
      </c>
      <c r="B520" s="4" t="s">
        <v>262</v>
      </c>
      <c r="C520" s="4" t="s">
        <v>599</v>
      </c>
      <c r="D520" s="4" t="s">
        <v>33</v>
      </c>
      <c r="E520">
        <v>0</v>
      </c>
      <c r="F520" s="3">
        <v>2676.7804000000001</v>
      </c>
      <c r="G520" s="2">
        <v>0.64475714285714303</v>
      </c>
      <c r="H520" s="3">
        <v>0</v>
      </c>
      <c r="I520" s="1">
        <v>45776</v>
      </c>
      <c r="J520" s="4" t="s">
        <v>7</v>
      </c>
      <c r="K520" s="4" t="s">
        <v>12</v>
      </c>
      <c r="L520" s="3">
        <v>2191.02</v>
      </c>
      <c r="M520" s="4" t="s">
        <v>1255</v>
      </c>
      <c r="N520" s="3">
        <v>0</v>
      </c>
    </row>
    <row r="521" spans="1:14" x14ac:dyDescent="0.35">
      <c r="A521">
        <v>1432</v>
      </c>
      <c r="B521" s="4" t="s">
        <v>375</v>
      </c>
      <c r="C521" s="4" t="s">
        <v>197</v>
      </c>
      <c r="D521" s="4" t="s">
        <v>22</v>
      </c>
      <c r="E521">
        <v>0</v>
      </c>
      <c r="F521" s="3">
        <v>2676.7804000000001</v>
      </c>
      <c r="G521" s="2">
        <v>0.64475714285714303</v>
      </c>
      <c r="H521" s="3">
        <v>0</v>
      </c>
      <c r="I521" s="1">
        <v>45445</v>
      </c>
      <c r="J521" s="4" t="s">
        <v>9</v>
      </c>
      <c r="K521" s="4" t="s">
        <v>12</v>
      </c>
      <c r="L521" s="3">
        <v>-849.15</v>
      </c>
      <c r="M521" s="4" t="s">
        <v>1255</v>
      </c>
      <c r="N521" s="3">
        <v>0</v>
      </c>
    </row>
    <row r="522" spans="1:14" x14ac:dyDescent="0.35">
      <c r="A522">
        <v>1433</v>
      </c>
      <c r="B522" s="4" t="s">
        <v>600</v>
      </c>
      <c r="C522" s="4" t="s">
        <v>601</v>
      </c>
      <c r="D522" s="4" t="s">
        <v>37</v>
      </c>
      <c r="E522">
        <v>2</v>
      </c>
      <c r="F522" s="3">
        <v>2676.7804000000001</v>
      </c>
      <c r="G522" s="2">
        <v>0.7</v>
      </c>
      <c r="H522" s="3">
        <v>0</v>
      </c>
      <c r="I522" s="1">
        <v>45661</v>
      </c>
      <c r="J522" s="4" t="s">
        <v>11</v>
      </c>
      <c r="K522" s="4" t="s">
        <v>12</v>
      </c>
      <c r="L522" s="3">
        <v>-878.85</v>
      </c>
      <c r="M522" s="4" t="s">
        <v>1255</v>
      </c>
      <c r="N522" s="3">
        <v>5353.5608000000002</v>
      </c>
    </row>
    <row r="523" spans="1:14" x14ac:dyDescent="0.35">
      <c r="A523">
        <v>1434</v>
      </c>
      <c r="B523" s="4" t="s">
        <v>98</v>
      </c>
      <c r="C523" s="4" t="s">
        <v>470</v>
      </c>
      <c r="D523" s="4" t="s">
        <v>16</v>
      </c>
      <c r="E523">
        <v>0</v>
      </c>
      <c r="F523" s="3">
        <v>476.2</v>
      </c>
      <c r="G523" s="2">
        <v>1.03</v>
      </c>
      <c r="H523" s="3">
        <v>0</v>
      </c>
      <c r="I523" s="1">
        <v>45512</v>
      </c>
      <c r="J523" s="4" t="s">
        <v>23</v>
      </c>
      <c r="K523" s="4" t="s">
        <v>8</v>
      </c>
      <c r="L523" s="3">
        <v>-310.8</v>
      </c>
      <c r="M523" s="4" t="s">
        <v>1255</v>
      </c>
      <c r="N523" s="3">
        <v>0</v>
      </c>
    </row>
    <row r="524" spans="1:14" x14ac:dyDescent="0.35">
      <c r="A524">
        <v>1435</v>
      </c>
      <c r="B524" s="4" t="s">
        <v>335</v>
      </c>
      <c r="C524" s="4" t="s">
        <v>266</v>
      </c>
      <c r="D524" s="4" t="s">
        <v>26</v>
      </c>
      <c r="E524">
        <v>3</v>
      </c>
      <c r="F524" s="3">
        <v>2676.7804000000001</v>
      </c>
      <c r="G524" s="2">
        <v>0.64412607449856696</v>
      </c>
      <c r="H524" s="3">
        <v>0</v>
      </c>
      <c r="I524" s="1">
        <v>45763</v>
      </c>
      <c r="J524" s="4" t="s">
        <v>23</v>
      </c>
      <c r="K524" s="4" t="s">
        <v>12</v>
      </c>
      <c r="L524" s="3">
        <v>904.65</v>
      </c>
      <c r="M524" s="4" t="s">
        <v>1255</v>
      </c>
      <c r="N524" s="3">
        <v>8030.3411999999998</v>
      </c>
    </row>
    <row r="525" spans="1:14" x14ac:dyDescent="0.35">
      <c r="A525">
        <v>1436</v>
      </c>
      <c r="B525" s="4" t="s">
        <v>358</v>
      </c>
      <c r="C525" s="4" t="s">
        <v>602</v>
      </c>
      <c r="D525" s="4" t="s">
        <v>26</v>
      </c>
      <c r="E525">
        <v>0</v>
      </c>
      <c r="F525" s="3">
        <v>2678.8029999999999</v>
      </c>
      <c r="G525" s="2">
        <v>1.26</v>
      </c>
      <c r="H525" s="3">
        <v>0</v>
      </c>
      <c r="I525" s="1">
        <v>45517</v>
      </c>
      <c r="J525" s="4" t="s">
        <v>9</v>
      </c>
      <c r="K525" s="4" t="s">
        <v>8</v>
      </c>
      <c r="L525" s="3">
        <v>1445.93</v>
      </c>
      <c r="M525" s="4" t="s">
        <v>1255</v>
      </c>
      <c r="N525" s="3">
        <v>0</v>
      </c>
    </row>
    <row r="526" spans="1:14" x14ac:dyDescent="0.35">
      <c r="A526">
        <v>1437</v>
      </c>
      <c r="B526" s="4" t="s">
        <v>569</v>
      </c>
      <c r="C526" s="4" t="s">
        <v>603</v>
      </c>
      <c r="D526" s="4" t="s">
        <v>16</v>
      </c>
      <c r="E526">
        <v>0</v>
      </c>
      <c r="F526" s="3">
        <v>3886.3</v>
      </c>
      <c r="G526" s="2">
        <v>0.34</v>
      </c>
      <c r="H526" s="3">
        <v>0</v>
      </c>
      <c r="I526" s="1">
        <v>45703</v>
      </c>
      <c r="J526" s="4" t="s">
        <v>7</v>
      </c>
      <c r="K526" s="4" t="s">
        <v>8</v>
      </c>
      <c r="L526" s="3">
        <v>131.47999999999999</v>
      </c>
      <c r="M526" s="4" t="s">
        <v>1255</v>
      </c>
      <c r="N526" s="3">
        <v>0</v>
      </c>
    </row>
    <row r="527" spans="1:14" hidden="1" x14ac:dyDescent="0.35">
      <c r="A527">
        <v>1438</v>
      </c>
      <c r="B527" s="4" t="s">
        <v>254</v>
      </c>
      <c r="C527" s="4" t="s">
        <v>604</v>
      </c>
      <c r="D527" s="4" t="s">
        <v>25</v>
      </c>
      <c r="E527">
        <v>0</v>
      </c>
      <c r="F527" s="3">
        <v>2663.97</v>
      </c>
      <c r="G527" s="2">
        <v>0.84</v>
      </c>
      <c r="H527" s="3">
        <v>0</v>
      </c>
      <c r="I527" s="1">
        <v>45186</v>
      </c>
      <c r="J527" s="4" t="s">
        <v>20</v>
      </c>
      <c r="K527" s="4" t="s">
        <v>40</v>
      </c>
      <c r="L527" s="3">
        <v>1014.29</v>
      </c>
      <c r="M527" s="4" t="s">
        <v>1255</v>
      </c>
      <c r="N527" s="3">
        <v>0</v>
      </c>
    </row>
    <row r="528" spans="1:14" x14ac:dyDescent="0.35">
      <c r="A528">
        <v>1439</v>
      </c>
      <c r="B528" s="4" t="s">
        <v>605</v>
      </c>
      <c r="C528" s="4" t="s">
        <v>203</v>
      </c>
      <c r="D528" s="4" t="s">
        <v>28</v>
      </c>
      <c r="E528">
        <v>0</v>
      </c>
      <c r="F528" s="3">
        <v>2677.6921000000002</v>
      </c>
      <c r="G528" s="2">
        <v>0.64339568345323706</v>
      </c>
      <c r="H528" s="3">
        <v>0</v>
      </c>
      <c r="I528" s="1">
        <v>45186</v>
      </c>
      <c r="J528" s="4" t="s">
        <v>9</v>
      </c>
      <c r="K528" s="4" t="s">
        <v>12</v>
      </c>
      <c r="L528" s="3">
        <v>726.42</v>
      </c>
      <c r="M528" s="4" t="s">
        <v>1255</v>
      </c>
      <c r="N528" s="3">
        <v>0</v>
      </c>
    </row>
    <row r="529" spans="1:14" x14ac:dyDescent="0.35">
      <c r="A529">
        <v>1440</v>
      </c>
      <c r="B529" s="4" t="s">
        <v>606</v>
      </c>
      <c r="C529" s="4" t="s">
        <v>82</v>
      </c>
      <c r="D529" s="4" t="s">
        <v>31</v>
      </c>
      <c r="E529">
        <v>0</v>
      </c>
      <c r="F529" s="3">
        <v>635.12</v>
      </c>
      <c r="G529" s="2">
        <v>0.32</v>
      </c>
      <c r="H529" s="3">
        <v>0</v>
      </c>
      <c r="I529" s="1">
        <v>45860</v>
      </c>
      <c r="J529" s="4" t="s">
        <v>23</v>
      </c>
      <c r="K529" s="4" t="s">
        <v>8</v>
      </c>
      <c r="L529" s="3">
        <v>-476.72</v>
      </c>
      <c r="M529" s="4" t="s">
        <v>1255</v>
      </c>
      <c r="N529" s="3">
        <v>0</v>
      </c>
    </row>
    <row r="530" spans="1:14" hidden="1" x14ac:dyDescent="0.35">
      <c r="A530">
        <v>1441</v>
      </c>
      <c r="B530" s="4" t="s">
        <v>264</v>
      </c>
      <c r="C530" s="4" t="s">
        <v>607</v>
      </c>
      <c r="D530" s="4" t="s">
        <v>6</v>
      </c>
      <c r="E530">
        <v>0</v>
      </c>
      <c r="F530" s="3">
        <v>2677.7048</v>
      </c>
      <c r="G530" s="2">
        <v>0.64386167146974005</v>
      </c>
      <c r="H530" s="3">
        <v>0</v>
      </c>
      <c r="I530" s="1">
        <v>45860</v>
      </c>
      <c r="J530" s="4" t="s">
        <v>18</v>
      </c>
      <c r="K530" s="4" t="s">
        <v>40</v>
      </c>
      <c r="L530" s="3">
        <v>-316.51</v>
      </c>
      <c r="M530" s="4" t="s">
        <v>1255</v>
      </c>
      <c r="N530" s="3">
        <v>0</v>
      </c>
    </row>
    <row r="531" spans="1:14" x14ac:dyDescent="0.35">
      <c r="A531">
        <v>1442</v>
      </c>
      <c r="B531" s="4" t="s">
        <v>608</v>
      </c>
      <c r="C531" s="4" t="s">
        <v>247</v>
      </c>
      <c r="D531" s="4" t="s">
        <v>38</v>
      </c>
      <c r="E531">
        <v>0</v>
      </c>
      <c r="F531" s="3">
        <v>3001.28</v>
      </c>
      <c r="G531" s="2">
        <v>0.64386167146974005</v>
      </c>
      <c r="H531" s="3">
        <v>0</v>
      </c>
      <c r="I531" s="1">
        <v>45479</v>
      </c>
      <c r="J531" s="4" t="s">
        <v>7</v>
      </c>
      <c r="K531" s="4" t="s">
        <v>8</v>
      </c>
      <c r="L531" s="3">
        <v>1218.28</v>
      </c>
      <c r="M531" s="4" t="s">
        <v>1255</v>
      </c>
      <c r="N531" s="3">
        <v>0</v>
      </c>
    </row>
    <row r="532" spans="1:14" hidden="1" x14ac:dyDescent="0.35">
      <c r="A532">
        <v>1443</v>
      </c>
      <c r="B532" s="4" t="s">
        <v>363</v>
      </c>
      <c r="C532" s="4" t="s">
        <v>609</v>
      </c>
      <c r="D532" s="4" t="s">
        <v>15</v>
      </c>
      <c r="E532">
        <v>0</v>
      </c>
      <c r="F532" s="3">
        <v>2679.5873000000001</v>
      </c>
      <c r="G532" s="2">
        <v>0.64386167146974005</v>
      </c>
      <c r="H532" s="3">
        <v>0</v>
      </c>
      <c r="I532" s="1">
        <v>45484</v>
      </c>
      <c r="J532" s="4" t="s">
        <v>18</v>
      </c>
      <c r="K532" s="4" t="s">
        <v>40</v>
      </c>
      <c r="L532" s="3">
        <v>2962.6</v>
      </c>
      <c r="M532" s="4" t="s">
        <v>1255</v>
      </c>
      <c r="N532" s="3">
        <v>0</v>
      </c>
    </row>
    <row r="533" spans="1:14" hidden="1" x14ac:dyDescent="0.35">
      <c r="A533">
        <v>1444</v>
      </c>
      <c r="B533" s="4" t="s">
        <v>610</v>
      </c>
      <c r="C533" s="4" t="s">
        <v>611</v>
      </c>
      <c r="D533" s="4" t="s">
        <v>33</v>
      </c>
      <c r="E533">
        <v>3</v>
      </c>
      <c r="F533" s="3">
        <v>3452.16</v>
      </c>
      <c r="G533" s="2">
        <v>0.64386167146974005</v>
      </c>
      <c r="H533" s="3">
        <v>0</v>
      </c>
      <c r="I533" s="1">
        <v>45484</v>
      </c>
      <c r="J533" s="4" t="s">
        <v>11</v>
      </c>
      <c r="K533" s="4" t="s">
        <v>40</v>
      </c>
      <c r="L533" s="3">
        <v>810.8</v>
      </c>
      <c r="M533" s="4" t="s">
        <v>1255</v>
      </c>
      <c r="N533" s="3">
        <v>10356.48</v>
      </c>
    </row>
    <row r="534" spans="1:14" x14ac:dyDescent="0.35">
      <c r="A534">
        <v>1445</v>
      </c>
      <c r="B534" s="4" t="s">
        <v>96</v>
      </c>
      <c r="C534" s="4" t="s">
        <v>322</v>
      </c>
      <c r="D534" s="4" t="s">
        <v>27</v>
      </c>
      <c r="E534">
        <v>0</v>
      </c>
      <c r="F534" s="3">
        <v>1370.36</v>
      </c>
      <c r="G534" s="2">
        <v>0.54</v>
      </c>
      <c r="H534" s="3">
        <v>0</v>
      </c>
      <c r="I534" s="1">
        <v>45827</v>
      </c>
      <c r="J534" s="4" t="s">
        <v>11</v>
      </c>
      <c r="K534" s="4" t="s">
        <v>8</v>
      </c>
      <c r="L534" s="3">
        <v>2846.13</v>
      </c>
      <c r="M534" s="4" t="s">
        <v>1255</v>
      </c>
      <c r="N534" s="3">
        <v>0</v>
      </c>
    </row>
    <row r="535" spans="1:14" hidden="1" x14ac:dyDescent="0.35">
      <c r="A535">
        <v>1446</v>
      </c>
      <c r="B535" s="4" t="s">
        <v>296</v>
      </c>
      <c r="C535" s="4" t="s">
        <v>496</v>
      </c>
      <c r="D535" s="4" t="s">
        <v>13</v>
      </c>
      <c r="E535">
        <v>0</v>
      </c>
      <c r="F535" s="3">
        <v>2827.68</v>
      </c>
      <c r="G535" s="2">
        <v>0.86</v>
      </c>
      <c r="H535" s="3">
        <v>0</v>
      </c>
      <c r="I535" s="1">
        <v>45519</v>
      </c>
      <c r="J535" s="4" t="s">
        <v>7</v>
      </c>
      <c r="K535" s="4" t="s">
        <v>40</v>
      </c>
      <c r="L535" s="3">
        <v>-602.57000000000005</v>
      </c>
      <c r="M535" s="4" t="s">
        <v>1255</v>
      </c>
      <c r="N535" s="3">
        <v>0</v>
      </c>
    </row>
    <row r="536" spans="1:14" x14ac:dyDescent="0.35">
      <c r="A536">
        <v>1448</v>
      </c>
      <c r="B536" s="4" t="s">
        <v>304</v>
      </c>
      <c r="C536" s="4" t="s">
        <v>489</v>
      </c>
      <c r="D536" s="4" t="s">
        <v>6</v>
      </c>
      <c r="E536">
        <v>0</v>
      </c>
      <c r="F536" s="3">
        <v>1657.95</v>
      </c>
      <c r="G536" s="2">
        <v>0.64369942196531804</v>
      </c>
      <c r="H536" s="3">
        <v>0</v>
      </c>
      <c r="I536" s="1">
        <v>45269</v>
      </c>
      <c r="J536" s="4" t="s">
        <v>20</v>
      </c>
      <c r="K536" s="4" t="s">
        <v>12</v>
      </c>
      <c r="L536" s="3">
        <v>1948.49</v>
      </c>
      <c r="M536" s="4" t="s">
        <v>1255</v>
      </c>
      <c r="N536" s="3">
        <v>0</v>
      </c>
    </row>
    <row r="537" spans="1:14" x14ac:dyDescent="0.35">
      <c r="A537">
        <v>1449</v>
      </c>
      <c r="B537" s="4" t="s">
        <v>264</v>
      </c>
      <c r="C537" s="4" t="s">
        <v>221</v>
      </c>
      <c r="D537" s="4" t="s">
        <v>21</v>
      </c>
      <c r="E537">
        <v>0</v>
      </c>
      <c r="F537" s="3">
        <v>2855.53</v>
      </c>
      <c r="G537" s="2">
        <v>0.55000000000000004</v>
      </c>
      <c r="H537" s="3">
        <v>0</v>
      </c>
      <c r="I537" s="1">
        <v>45707</v>
      </c>
      <c r="J537" s="4" t="s">
        <v>9</v>
      </c>
      <c r="K537" s="4" t="s">
        <v>8</v>
      </c>
      <c r="L537" s="3">
        <v>2598.7399999999998</v>
      </c>
      <c r="M537" s="4" t="s">
        <v>1255</v>
      </c>
      <c r="N537" s="3">
        <v>0</v>
      </c>
    </row>
    <row r="538" spans="1:14" hidden="1" x14ac:dyDescent="0.35">
      <c r="A538">
        <v>1451</v>
      </c>
      <c r="B538" s="4" t="s">
        <v>189</v>
      </c>
      <c r="C538" s="4" t="s">
        <v>184</v>
      </c>
      <c r="D538" s="4" t="s">
        <v>38</v>
      </c>
      <c r="E538">
        <v>0</v>
      </c>
      <c r="F538" s="3">
        <v>620.64</v>
      </c>
      <c r="G538" s="2">
        <v>0.64383502170767004</v>
      </c>
      <c r="H538" s="3">
        <v>0</v>
      </c>
      <c r="I538" s="1">
        <v>45801</v>
      </c>
      <c r="J538" s="4" t="s">
        <v>23</v>
      </c>
      <c r="K538" s="4" t="s">
        <v>40</v>
      </c>
      <c r="L538" s="3">
        <v>1553.39</v>
      </c>
      <c r="M538" s="4" t="s">
        <v>1255</v>
      </c>
      <c r="N538" s="3">
        <v>0</v>
      </c>
    </row>
    <row r="539" spans="1:14" x14ac:dyDescent="0.35">
      <c r="A539">
        <v>1452</v>
      </c>
      <c r="B539" s="4" t="s">
        <v>612</v>
      </c>
      <c r="C539" s="4" t="s">
        <v>613</v>
      </c>
      <c r="D539" s="4" t="s">
        <v>19</v>
      </c>
      <c r="E539">
        <v>-2</v>
      </c>
      <c r="F539" s="3">
        <v>2660.28</v>
      </c>
      <c r="G539" s="2">
        <v>0.34</v>
      </c>
      <c r="H539" s="3">
        <v>-3511.57</v>
      </c>
      <c r="I539" s="1">
        <v>45801</v>
      </c>
      <c r="J539" s="4" t="s">
        <v>7</v>
      </c>
      <c r="K539" s="4" t="s">
        <v>8</v>
      </c>
      <c r="L539" s="3">
        <v>918.54</v>
      </c>
      <c r="M539" s="4" t="s">
        <v>1255</v>
      </c>
      <c r="N539" s="3">
        <v>-5320.56</v>
      </c>
    </row>
    <row r="540" spans="1:14" x14ac:dyDescent="0.35">
      <c r="A540">
        <v>1453</v>
      </c>
      <c r="B540" s="4" t="s">
        <v>544</v>
      </c>
      <c r="C540" s="4" t="s">
        <v>614</v>
      </c>
      <c r="D540" s="4" t="s">
        <v>21</v>
      </c>
      <c r="E540">
        <v>0</v>
      </c>
      <c r="F540" s="3">
        <v>2681.3134</v>
      </c>
      <c r="G540" s="2">
        <v>0.18</v>
      </c>
      <c r="H540" s="3">
        <v>0</v>
      </c>
      <c r="I540" s="1">
        <v>45633</v>
      </c>
      <c r="J540" s="4" t="s">
        <v>18</v>
      </c>
      <c r="K540" s="4" t="s">
        <v>12</v>
      </c>
      <c r="L540" s="3">
        <v>1465.97</v>
      </c>
      <c r="M540" s="4" t="s">
        <v>1255</v>
      </c>
      <c r="N540" s="3">
        <v>0</v>
      </c>
    </row>
    <row r="541" spans="1:14" hidden="1" x14ac:dyDescent="0.35">
      <c r="A541">
        <v>1454</v>
      </c>
      <c r="B541" s="4" t="s">
        <v>544</v>
      </c>
      <c r="C541" s="4" t="s">
        <v>615</v>
      </c>
      <c r="D541" s="4" t="s">
        <v>19</v>
      </c>
      <c r="E541">
        <v>0</v>
      </c>
      <c r="F541" s="3">
        <v>4523.58</v>
      </c>
      <c r="G541" s="2">
        <v>0.64494920174165404</v>
      </c>
      <c r="H541" s="3">
        <v>0</v>
      </c>
      <c r="I541" s="1">
        <v>45495</v>
      </c>
      <c r="J541" s="4" t="s">
        <v>20</v>
      </c>
      <c r="K541" s="4" t="s">
        <v>40</v>
      </c>
      <c r="L541" s="3">
        <v>2424.44</v>
      </c>
      <c r="M541" s="4" t="s">
        <v>1255</v>
      </c>
      <c r="N541" s="3">
        <v>0</v>
      </c>
    </row>
    <row r="542" spans="1:14" hidden="1" x14ac:dyDescent="0.35">
      <c r="A542">
        <v>1455</v>
      </c>
      <c r="B542" s="4" t="s">
        <v>616</v>
      </c>
      <c r="C542" s="4" t="s">
        <v>50</v>
      </c>
      <c r="D542" s="4" t="s">
        <v>26</v>
      </c>
      <c r="E542">
        <v>0</v>
      </c>
      <c r="F542" s="3">
        <v>2681.3330000000001</v>
      </c>
      <c r="G542" s="2">
        <v>0.64494920174165404</v>
      </c>
      <c r="H542" s="3">
        <v>0</v>
      </c>
      <c r="I542" s="1">
        <v>45629</v>
      </c>
      <c r="J542" s="4" t="s">
        <v>7</v>
      </c>
      <c r="K542" s="4" t="s">
        <v>40</v>
      </c>
      <c r="L542" s="3">
        <v>743.47</v>
      </c>
      <c r="M542" s="4" t="s">
        <v>1255</v>
      </c>
      <c r="N542" s="3">
        <v>0</v>
      </c>
    </row>
    <row r="543" spans="1:14" x14ac:dyDescent="0.35">
      <c r="A543">
        <v>1456</v>
      </c>
      <c r="B543" s="4" t="s">
        <v>617</v>
      </c>
      <c r="C543" s="4" t="s">
        <v>618</v>
      </c>
      <c r="D543" s="4" t="s">
        <v>28</v>
      </c>
      <c r="E543">
        <v>2</v>
      </c>
      <c r="F543" s="3">
        <v>2679.6192999999998</v>
      </c>
      <c r="G543" s="2">
        <v>0.64494920174165404</v>
      </c>
      <c r="H543" s="3">
        <v>0</v>
      </c>
      <c r="I543" s="1">
        <v>45702</v>
      </c>
      <c r="J543" s="4" t="s">
        <v>18</v>
      </c>
      <c r="K543" s="4" t="s">
        <v>8</v>
      </c>
      <c r="L543" s="3">
        <v>1350.12</v>
      </c>
      <c r="M543" s="4" t="s">
        <v>1255</v>
      </c>
      <c r="N543" s="3">
        <v>5359.2385999999997</v>
      </c>
    </row>
    <row r="544" spans="1:14" x14ac:dyDescent="0.35">
      <c r="A544">
        <v>1457</v>
      </c>
      <c r="B544" s="4" t="s">
        <v>363</v>
      </c>
      <c r="C544" s="4" t="s">
        <v>151</v>
      </c>
      <c r="D544" s="4" t="s">
        <v>33</v>
      </c>
      <c r="E544">
        <v>0</v>
      </c>
      <c r="F544" s="3">
        <v>2342.25</v>
      </c>
      <c r="G544" s="2">
        <v>0.64494920174165404</v>
      </c>
      <c r="H544" s="3">
        <v>0</v>
      </c>
      <c r="I544" s="1">
        <v>45702</v>
      </c>
      <c r="J544" s="4" t="s">
        <v>18</v>
      </c>
      <c r="K544" s="4" t="s">
        <v>12</v>
      </c>
      <c r="L544" s="3">
        <v>750.64</v>
      </c>
      <c r="M544" s="4" t="s">
        <v>1255</v>
      </c>
      <c r="N544" s="3">
        <v>0</v>
      </c>
    </row>
    <row r="545" spans="1:14" hidden="1" x14ac:dyDescent="0.35">
      <c r="A545">
        <v>1458</v>
      </c>
      <c r="B545" s="4" t="s">
        <v>569</v>
      </c>
      <c r="C545" s="4" t="s">
        <v>619</v>
      </c>
      <c r="D545" s="4" t="s">
        <v>10</v>
      </c>
      <c r="E545">
        <v>6</v>
      </c>
      <c r="F545" s="3">
        <v>2679.6192999999998</v>
      </c>
      <c r="G545" s="2">
        <v>0.27</v>
      </c>
      <c r="H545" s="3">
        <v>0</v>
      </c>
      <c r="I545" s="1">
        <v>45702</v>
      </c>
      <c r="J545" s="4" t="s">
        <v>11</v>
      </c>
      <c r="K545" s="4" t="s">
        <v>40</v>
      </c>
      <c r="L545" s="3">
        <v>1877.22</v>
      </c>
      <c r="M545" s="4" t="s">
        <v>1255</v>
      </c>
      <c r="N545" s="3">
        <v>16077.7158</v>
      </c>
    </row>
    <row r="546" spans="1:14" hidden="1" x14ac:dyDescent="0.35">
      <c r="A546">
        <v>1459</v>
      </c>
      <c r="B546" s="4" t="s">
        <v>306</v>
      </c>
      <c r="C546" s="4" t="s">
        <v>438</v>
      </c>
      <c r="D546" s="4" t="s">
        <v>19</v>
      </c>
      <c r="E546">
        <v>0</v>
      </c>
      <c r="F546" s="3">
        <v>2494.9899999999998</v>
      </c>
      <c r="G546" s="2">
        <v>0.98</v>
      </c>
      <c r="H546" s="3">
        <v>0</v>
      </c>
      <c r="I546" s="1">
        <v>45308</v>
      </c>
      <c r="J546" s="4" t="s">
        <v>20</v>
      </c>
      <c r="K546" s="4" t="s">
        <v>40</v>
      </c>
      <c r="L546" s="3">
        <v>2959.95</v>
      </c>
      <c r="M546" s="4" t="s">
        <v>1255</v>
      </c>
      <c r="N546" s="3">
        <v>0</v>
      </c>
    </row>
    <row r="547" spans="1:14" x14ac:dyDescent="0.35">
      <c r="A547">
        <v>1460</v>
      </c>
      <c r="B547" s="4" t="s">
        <v>543</v>
      </c>
      <c r="C547" s="4" t="s">
        <v>620</v>
      </c>
      <c r="D547" s="4" t="s">
        <v>34</v>
      </c>
      <c r="E547">
        <v>0</v>
      </c>
      <c r="F547" s="3">
        <v>4264.16</v>
      </c>
      <c r="G547" s="2">
        <v>0.64500727802037805</v>
      </c>
      <c r="H547" s="3">
        <v>0</v>
      </c>
      <c r="I547" s="1">
        <v>45577</v>
      </c>
      <c r="J547" s="4" t="s">
        <v>7</v>
      </c>
      <c r="K547" s="4" t="s">
        <v>12</v>
      </c>
      <c r="L547" s="3">
        <v>921.96</v>
      </c>
      <c r="M547" s="4" t="s">
        <v>1255</v>
      </c>
      <c r="N547" s="3">
        <v>0</v>
      </c>
    </row>
    <row r="548" spans="1:14" x14ac:dyDescent="0.35">
      <c r="A548">
        <v>1461</v>
      </c>
      <c r="B548" s="4" t="s">
        <v>189</v>
      </c>
      <c r="C548" s="4" t="s">
        <v>621</v>
      </c>
      <c r="D548" s="4" t="s">
        <v>17</v>
      </c>
      <c r="E548">
        <v>0</v>
      </c>
      <c r="F548" s="3">
        <v>2708.35</v>
      </c>
      <c r="G548" s="2">
        <v>1.06</v>
      </c>
      <c r="H548" s="3">
        <v>0</v>
      </c>
      <c r="I548" s="1">
        <v>45577</v>
      </c>
      <c r="J548" s="4" t="s">
        <v>23</v>
      </c>
      <c r="K548" s="4" t="s">
        <v>8</v>
      </c>
      <c r="L548" s="3">
        <v>941.87</v>
      </c>
      <c r="M548" s="4" t="s">
        <v>1255</v>
      </c>
      <c r="N548" s="3">
        <v>0</v>
      </c>
    </row>
    <row r="549" spans="1:14" x14ac:dyDescent="0.35">
      <c r="A549">
        <v>1462</v>
      </c>
      <c r="B549" s="4" t="s">
        <v>355</v>
      </c>
      <c r="C549" s="4" t="s">
        <v>622</v>
      </c>
      <c r="D549" s="4" t="s">
        <v>10</v>
      </c>
      <c r="E549">
        <v>-1</v>
      </c>
      <c r="F549" s="3">
        <v>2678.6280999999999</v>
      </c>
      <c r="G549" s="2">
        <v>0.64440233236151601</v>
      </c>
      <c r="H549" s="3">
        <v>0</v>
      </c>
      <c r="I549" s="1">
        <v>45725</v>
      </c>
      <c r="J549" s="4" t="s">
        <v>7</v>
      </c>
      <c r="K549" s="4" t="s">
        <v>8</v>
      </c>
      <c r="L549" s="3">
        <v>372.63</v>
      </c>
      <c r="M549" s="4" t="s">
        <v>1255</v>
      </c>
      <c r="N549" s="3">
        <v>-2678.6280999999999</v>
      </c>
    </row>
    <row r="550" spans="1:14" x14ac:dyDescent="0.35">
      <c r="A550">
        <v>1463</v>
      </c>
      <c r="B550" s="4" t="s">
        <v>363</v>
      </c>
      <c r="C550" s="4" t="s">
        <v>337</v>
      </c>
      <c r="D550" s="4" t="s">
        <v>25</v>
      </c>
      <c r="E550">
        <v>1</v>
      </c>
      <c r="F550" s="3">
        <v>4606.09</v>
      </c>
      <c r="G550" s="2">
        <v>1.1200000000000001</v>
      </c>
      <c r="H550" s="3">
        <v>-552.73</v>
      </c>
      <c r="I550" s="1">
        <v>45825</v>
      </c>
      <c r="J550" s="4" t="s">
        <v>7</v>
      </c>
      <c r="K550" s="4" t="s">
        <v>12</v>
      </c>
      <c r="L550" s="3">
        <v>-877.13</v>
      </c>
      <c r="M550" s="4" t="s">
        <v>1255</v>
      </c>
      <c r="N550" s="3">
        <v>4606.09</v>
      </c>
    </row>
    <row r="551" spans="1:14" x14ac:dyDescent="0.35">
      <c r="A551">
        <v>1464</v>
      </c>
      <c r="B551" s="4" t="s">
        <v>623</v>
      </c>
      <c r="C551" s="4" t="s">
        <v>149</v>
      </c>
      <c r="D551" s="4" t="s">
        <v>25</v>
      </c>
      <c r="E551">
        <v>0</v>
      </c>
      <c r="F551" s="3">
        <v>2678.6003000000001</v>
      </c>
      <c r="G551" s="2">
        <v>0.64370802919708003</v>
      </c>
      <c r="H551" s="3">
        <v>0</v>
      </c>
      <c r="I551" s="1">
        <v>45783</v>
      </c>
      <c r="J551" s="4" t="s">
        <v>18</v>
      </c>
      <c r="K551" s="4" t="s">
        <v>8</v>
      </c>
      <c r="L551" s="3">
        <v>837.3</v>
      </c>
      <c r="M551" s="4" t="s">
        <v>1255</v>
      </c>
      <c r="N551" s="3">
        <v>0</v>
      </c>
    </row>
    <row r="552" spans="1:14" hidden="1" x14ac:dyDescent="0.35">
      <c r="A552">
        <v>1465</v>
      </c>
      <c r="B552" s="4" t="s">
        <v>167</v>
      </c>
      <c r="C552" s="4" t="s">
        <v>624</v>
      </c>
      <c r="D552" s="4" t="s">
        <v>14</v>
      </c>
      <c r="E552">
        <v>-2</v>
      </c>
      <c r="F552" s="3">
        <v>2215.4</v>
      </c>
      <c r="G552" s="2">
        <v>0.96</v>
      </c>
      <c r="H552" s="3">
        <v>-177.23</v>
      </c>
      <c r="I552" s="1">
        <v>45708</v>
      </c>
      <c r="J552" s="4" t="s">
        <v>23</v>
      </c>
      <c r="K552" s="4" t="s">
        <v>40</v>
      </c>
      <c r="L552" s="3">
        <v>-85.73</v>
      </c>
      <c r="M552" s="4" t="s">
        <v>1255</v>
      </c>
      <c r="N552" s="3">
        <v>-4430.8</v>
      </c>
    </row>
    <row r="553" spans="1:14" hidden="1" x14ac:dyDescent="0.35">
      <c r="A553">
        <v>1468</v>
      </c>
      <c r="B553" s="4" t="s">
        <v>230</v>
      </c>
      <c r="C553" s="4" t="s">
        <v>625</v>
      </c>
      <c r="D553" s="4" t="s">
        <v>28</v>
      </c>
      <c r="E553">
        <v>0</v>
      </c>
      <c r="F553" s="3">
        <v>3332.84</v>
      </c>
      <c r="G553" s="2">
        <v>0.27</v>
      </c>
      <c r="H553" s="3">
        <v>0</v>
      </c>
      <c r="I553" s="1">
        <v>45153</v>
      </c>
      <c r="J553" s="4" t="s">
        <v>9</v>
      </c>
      <c r="K553" s="4" t="s">
        <v>40</v>
      </c>
      <c r="L553" s="3">
        <v>733.66</v>
      </c>
      <c r="M553" s="4" t="s">
        <v>1255</v>
      </c>
      <c r="N553" s="3">
        <v>0</v>
      </c>
    </row>
    <row r="554" spans="1:14" x14ac:dyDescent="0.35">
      <c r="A554">
        <v>1469</v>
      </c>
      <c r="B554" s="4" t="s">
        <v>280</v>
      </c>
      <c r="C554" s="4" t="s">
        <v>626</v>
      </c>
      <c r="D554" s="4" t="s">
        <v>25</v>
      </c>
      <c r="E554">
        <v>0</v>
      </c>
      <c r="F554" s="3">
        <v>2665.7</v>
      </c>
      <c r="G554" s="2">
        <v>0.49</v>
      </c>
      <c r="H554" s="3">
        <v>0</v>
      </c>
      <c r="I554" s="1">
        <v>45682</v>
      </c>
      <c r="J554" s="4" t="s">
        <v>18</v>
      </c>
      <c r="K554" s="4" t="s">
        <v>12</v>
      </c>
      <c r="L554" s="3">
        <v>1644.72</v>
      </c>
      <c r="M554" s="4" t="s">
        <v>1255</v>
      </c>
      <c r="N554" s="3">
        <v>0</v>
      </c>
    </row>
    <row r="555" spans="1:14" hidden="1" x14ac:dyDescent="0.35">
      <c r="A555">
        <v>1470</v>
      </c>
      <c r="B555" s="4" t="s">
        <v>627</v>
      </c>
      <c r="C555" s="4" t="s">
        <v>628</v>
      </c>
      <c r="D555" s="4" t="s">
        <v>37</v>
      </c>
      <c r="E555">
        <v>-1</v>
      </c>
      <c r="F555" s="3">
        <v>1376.54</v>
      </c>
      <c r="G555" s="2">
        <v>0.64483113069016096</v>
      </c>
      <c r="H555" s="3">
        <v>0</v>
      </c>
      <c r="I555" s="1">
        <v>45682</v>
      </c>
      <c r="J555" s="4" t="s">
        <v>23</v>
      </c>
      <c r="K555" s="4" t="s">
        <v>40</v>
      </c>
      <c r="L555" s="3">
        <v>0.59</v>
      </c>
      <c r="M555" s="4" t="s">
        <v>1255</v>
      </c>
      <c r="N555" s="3">
        <v>-1376.54</v>
      </c>
    </row>
    <row r="556" spans="1:14" x14ac:dyDescent="0.35">
      <c r="A556">
        <v>1471</v>
      </c>
      <c r="B556" s="4" t="s">
        <v>62</v>
      </c>
      <c r="C556" s="4" t="s">
        <v>149</v>
      </c>
      <c r="D556" s="4" t="s">
        <v>14</v>
      </c>
      <c r="E556">
        <v>-2</v>
      </c>
      <c r="F556" s="3">
        <v>4882.03</v>
      </c>
      <c r="G556" s="2">
        <v>0.23</v>
      </c>
      <c r="H556" s="3">
        <v>-7518.33</v>
      </c>
      <c r="I556" s="1">
        <v>45159</v>
      </c>
      <c r="J556" s="4" t="s">
        <v>23</v>
      </c>
      <c r="K556" s="4" t="s">
        <v>8</v>
      </c>
      <c r="L556" s="3">
        <v>-605.66999999999996</v>
      </c>
      <c r="M556" s="4" t="s">
        <v>1255</v>
      </c>
      <c r="N556" s="3">
        <v>-9764.06</v>
      </c>
    </row>
    <row r="557" spans="1:14" x14ac:dyDescent="0.35">
      <c r="A557">
        <v>1472</v>
      </c>
      <c r="B557" s="4" t="s">
        <v>167</v>
      </c>
      <c r="C557" s="4" t="s">
        <v>629</v>
      </c>
      <c r="D557" s="4" t="s">
        <v>14</v>
      </c>
      <c r="E557">
        <v>0</v>
      </c>
      <c r="F557" s="3">
        <v>2676.7132000000001</v>
      </c>
      <c r="G557" s="2">
        <v>1.01</v>
      </c>
      <c r="H557" s="3">
        <v>0</v>
      </c>
      <c r="I557" s="1">
        <v>45591</v>
      </c>
      <c r="J557" s="4" t="s">
        <v>11</v>
      </c>
      <c r="K557" s="4" t="s">
        <v>8</v>
      </c>
      <c r="L557" s="3">
        <v>-69.28</v>
      </c>
      <c r="M557" s="4" t="s">
        <v>1255</v>
      </c>
      <c r="N557" s="3">
        <v>0</v>
      </c>
    </row>
    <row r="558" spans="1:14" x14ac:dyDescent="0.35">
      <c r="A558">
        <v>1473</v>
      </c>
      <c r="B558" s="4" t="s">
        <v>434</v>
      </c>
      <c r="C558" s="4" t="s">
        <v>433</v>
      </c>
      <c r="D558" s="4" t="s">
        <v>28</v>
      </c>
      <c r="E558">
        <v>0</v>
      </c>
      <c r="F558" s="3">
        <v>2674.6386000000002</v>
      </c>
      <c r="G558" s="2">
        <v>0.08</v>
      </c>
      <c r="H558" s="3">
        <v>0</v>
      </c>
      <c r="I558" s="1">
        <v>45591</v>
      </c>
      <c r="J558" s="4" t="s">
        <v>18</v>
      </c>
      <c r="K558" s="4" t="s">
        <v>8</v>
      </c>
      <c r="L558" s="3">
        <v>1769.11</v>
      </c>
      <c r="M558" s="4" t="s">
        <v>1255</v>
      </c>
      <c r="N558" s="3">
        <v>0</v>
      </c>
    </row>
    <row r="559" spans="1:14" x14ac:dyDescent="0.35">
      <c r="A559">
        <v>1474</v>
      </c>
      <c r="B559" s="4" t="s">
        <v>569</v>
      </c>
      <c r="C559" s="4" t="s">
        <v>609</v>
      </c>
      <c r="D559" s="4" t="s">
        <v>30</v>
      </c>
      <c r="E559">
        <v>4</v>
      </c>
      <c r="F559" s="3">
        <v>2674.6386000000002</v>
      </c>
      <c r="G559" s="2">
        <v>0.64573746312684399</v>
      </c>
      <c r="H559" s="3">
        <v>0</v>
      </c>
      <c r="I559" s="1">
        <v>45681</v>
      </c>
      <c r="J559" s="4" t="s">
        <v>18</v>
      </c>
      <c r="K559" s="4" t="s">
        <v>8</v>
      </c>
      <c r="L559" s="3">
        <v>1791.38</v>
      </c>
      <c r="M559" s="4" t="s">
        <v>1255</v>
      </c>
      <c r="N559" s="3">
        <v>10698.554400000001</v>
      </c>
    </row>
    <row r="560" spans="1:14" x14ac:dyDescent="0.35">
      <c r="A560">
        <v>1475</v>
      </c>
      <c r="B560" s="4" t="s">
        <v>193</v>
      </c>
      <c r="C560" s="4" t="s">
        <v>122</v>
      </c>
      <c r="D560" s="4" t="s">
        <v>37</v>
      </c>
      <c r="E560">
        <v>-2</v>
      </c>
      <c r="F560" s="3">
        <v>3692.25</v>
      </c>
      <c r="G560" s="2">
        <v>0.64573746312684399</v>
      </c>
      <c r="H560" s="3">
        <v>0</v>
      </c>
      <c r="I560" s="1">
        <v>45607</v>
      </c>
      <c r="J560" s="4" t="s">
        <v>11</v>
      </c>
      <c r="K560" s="4" t="s">
        <v>8</v>
      </c>
      <c r="L560" s="3">
        <v>433.87</v>
      </c>
      <c r="M560" s="4" t="s">
        <v>1255</v>
      </c>
      <c r="N560" s="3">
        <v>-7384.5</v>
      </c>
    </row>
    <row r="561" spans="1:14" x14ac:dyDescent="0.35">
      <c r="A561">
        <v>1476</v>
      </c>
      <c r="B561" s="4" t="s">
        <v>630</v>
      </c>
      <c r="C561" s="4" t="s">
        <v>142</v>
      </c>
      <c r="D561" s="4" t="s">
        <v>32</v>
      </c>
      <c r="E561">
        <v>5</v>
      </c>
      <c r="F561" s="3">
        <v>2674.6386000000002</v>
      </c>
      <c r="G561" s="2">
        <v>0.56999999999999995</v>
      </c>
      <c r="H561" s="3">
        <v>0</v>
      </c>
      <c r="I561" s="1">
        <v>45859</v>
      </c>
      <c r="J561" s="4" t="s">
        <v>18</v>
      </c>
      <c r="K561" s="4" t="s">
        <v>8</v>
      </c>
      <c r="L561" s="3">
        <v>1476.41</v>
      </c>
      <c r="M561" s="4" t="s">
        <v>1255</v>
      </c>
      <c r="N561" s="3">
        <v>13373.192999999999</v>
      </c>
    </row>
    <row r="562" spans="1:14" hidden="1" x14ac:dyDescent="0.35">
      <c r="A562">
        <v>1477</v>
      </c>
      <c r="B562" s="4" t="s">
        <v>569</v>
      </c>
      <c r="C562" s="4" t="s">
        <v>307</v>
      </c>
      <c r="D562" s="4" t="s">
        <v>31</v>
      </c>
      <c r="E562">
        <v>0</v>
      </c>
      <c r="F562" s="3">
        <v>2277.1999999999998</v>
      </c>
      <c r="G562" s="2">
        <v>0.64584933530280597</v>
      </c>
      <c r="H562" s="3">
        <v>0</v>
      </c>
      <c r="I562" s="1">
        <v>45749</v>
      </c>
      <c r="J562" s="4" t="s">
        <v>23</v>
      </c>
      <c r="K562" s="4" t="s">
        <v>40</v>
      </c>
      <c r="L562" s="3">
        <v>1295.82</v>
      </c>
      <c r="M562" s="4" t="s">
        <v>1255</v>
      </c>
      <c r="N562" s="3">
        <v>0</v>
      </c>
    </row>
    <row r="563" spans="1:14" hidden="1" x14ac:dyDescent="0.35">
      <c r="A563">
        <v>1478</v>
      </c>
      <c r="B563" s="4" t="s">
        <v>631</v>
      </c>
      <c r="C563" s="4" t="s">
        <v>632</v>
      </c>
      <c r="D563" s="4" t="s">
        <v>30</v>
      </c>
      <c r="E563">
        <v>0</v>
      </c>
      <c r="F563" s="3">
        <v>2277.41</v>
      </c>
      <c r="G563" s="2">
        <v>0.64584933530280597</v>
      </c>
      <c r="H563" s="3">
        <v>0</v>
      </c>
      <c r="I563" s="1">
        <v>45491</v>
      </c>
      <c r="J563" s="4" t="s">
        <v>9</v>
      </c>
      <c r="K563" s="4" t="s">
        <v>40</v>
      </c>
      <c r="L563" s="3">
        <v>-584.69000000000005</v>
      </c>
      <c r="M563" s="4" t="s">
        <v>1255</v>
      </c>
      <c r="N563" s="3">
        <v>0</v>
      </c>
    </row>
    <row r="564" spans="1:14" x14ac:dyDescent="0.35">
      <c r="A564">
        <v>1479</v>
      </c>
      <c r="B564" s="4" t="s">
        <v>382</v>
      </c>
      <c r="C564" s="4" t="s">
        <v>633</v>
      </c>
      <c r="D564" s="4" t="s">
        <v>24</v>
      </c>
      <c r="E564">
        <v>1</v>
      </c>
      <c r="F564" s="3">
        <v>2674.0540999999998</v>
      </c>
      <c r="G564" s="2">
        <v>0.64584933530280597</v>
      </c>
      <c r="H564" s="3">
        <v>0</v>
      </c>
      <c r="I564" s="1">
        <v>45491</v>
      </c>
      <c r="J564" s="4" t="s">
        <v>9</v>
      </c>
      <c r="K564" s="4" t="s">
        <v>8</v>
      </c>
      <c r="L564" s="3">
        <v>-575.87</v>
      </c>
      <c r="M564" s="4" t="s">
        <v>1255</v>
      </c>
      <c r="N564" s="3">
        <v>2674.0540999999998</v>
      </c>
    </row>
    <row r="565" spans="1:14" hidden="1" x14ac:dyDescent="0.35">
      <c r="A565">
        <v>1480</v>
      </c>
      <c r="B565" s="4" t="s">
        <v>634</v>
      </c>
      <c r="C565" s="4" t="s">
        <v>493</v>
      </c>
      <c r="D565" s="4" t="s">
        <v>30</v>
      </c>
      <c r="E565">
        <v>0</v>
      </c>
      <c r="F565" s="3">
        <v>755.42</v>
      </c>
      <c r="G565" s="2">
        <v>0.64584933530280597</v>
      </c>
      <c r="H565" s="3">
        <v>0</v>
      </c>
      <c r="I565" s="1">
        <v>45420</v>
      </c>
      <c r="J565" s="4" t="s">
        <v>20</v>
      </c>
      <c r="K565" s="4" t="s">
        <v>40</v>
      </c>
      <c r="L565" s="3">
        <v>2956.26</v>
      </c>
      <c r="M565" s="4" t="s">
        <v>1255</v>
      </c>
      <c r="N565" s="3">
        <v>0</v>
      </c>
    </row>
    <row r="566" spans="1:14" x14ac:dyDescent="0.35">
      <c r="A566">
        <v>1481</v>
      </c>
      <c r="B566" s="4" t="s">
        <v>164</v>
      </c>
      <c r="C566" s="4" t="s">
        <v>76</v>
      </c>
      <c r="D566" s="4" t="s">
        <v>33</v>
      </c>
      <c r="E566">
        <v>0</v>
      </c>
      <c r="F566" s="3">
        <v>2674.4281999999998</v>
      </c>
      <c r="G566" s="2">
        <v>0.97</v>
      </c>
      <c r="H566" s="3">
        <v>0</v>
      </c>
      <c r="I566" s="1">
        <v>45420</v>
      </c>
      <c r="J566" s="4" t="s">
        <v>7</v>
      </c>
      <c r="K566" s="4" t="s">
        <v>8</v>
      </c>
      <c r="L566" s="3">
        <v>375</v>
      </c>
      <c r="M566" s="4" t="s">
        <v>1255</v>
      </c>
      <c r="N566" s="3">
        <v>0</v>
      </c>
    </row>
    <row r="567" spans="1:14" x14ac:dyDescent="0.35">
      <c r="A567">
        <v>1482</v>
      </c>
      <c r="B567" s="4" t="s">
        <v>536</v>
      </c>
      <c r="C567" s="4" t="s">
        <v>635</v>
      </c>
      <c r="D567" s="4" t="s">
        <v>38</v>
      </c>
      <c r="E567">
        <v>0</v>
      </c>
      <c r="F567" s="3">
        <v>1269.51</v>
      </c>
      <c r="G567" s="2">
        <v>0.64536982248520702</v>
      </c>
      <c r="H567" s="3">
        <v>0</v>
      </c>
      <c r="I567" s="1">
        <v>45742</v>
      </c>
      <c r="J567" s="4" t="s">
        <v>9</v>
      </c>
      <c r="K567" s="4" t="s">
        <v>8</v>
      </c>
      <c r="L567" s="3">
        <v>480.43</v>
      </c>
      <c r="M567" s="4" t="s">
        <v>1255</v>
      </c>
      <c r="N567" s="3">
        <v>0</v>
      </c>
    </row>
    <row r="568" spans="1:14" hidden="1" x14ac:dyDescent="0.35">
      <c r="A568">
        <v>1483</v>
      </c>
      <c r="B568" s="4" t="s">
        <v>91</v>
      </c>
      <c r="C568" s="4" t="s">
        <v>636</v>
      </c>
      <c r="D568" s="4" t="s">
        <v>37</v>
      </c>
      <c r="E568">
        <v>0</v>
      </c>
      <c r="F568" s="3">
        <v>2347.19</v>
      </c>
      <c r="G568" s="2">
        <v>0.64536982248520702</v>
      </c>
      <c r="H568" s="3">
        <v>0</v>
      </c>
      <c r="I568" s="1">
        <v>45577</v>
      </c>
      <c r="J568" s="4" t="s">
        <v>18</v>
      </c>
      <c r="K568" s="4" t="s">
        <v>40</v>
      </c>
      <c r="L568" s="3">
        <v>2870.3</v>
      </c>
      <c r="M568" s="4" t="s">
        <v>1255</v>
      </c>
      <c r="N568" s="3">
        <v>0</v>
      </c>
    </row>
    <row r="569" spans="1:14" hidden="1" x14ac:dyDescent="0.35">
      <c r="A569">
        <v>1484</v>
      </c>
      <c r="B569" s="4" t="s">
        <v>637</v>
      </c>
      <c r="C569" s="4" t="s">
        <v>149</v>
      </c>
      <c r="D569" s="4" t="s">
        <v>27</v>
      </c>
      <c r="E569">
        <v>2</v>
      </c>
      <c r="F569" s="3">
        <v>818.68</v>
      </c>
      <c r="G569" s="2">
        <v>0.64536982248520702</v>
      </c>
      <c r="H569" s="3">
        <v>0</v>
      </c>
      <c r="I569" s="1">
        <v>45289</v>
      </c>
      <c r="J569" s="4" t="s">
        <v>11</v>
      </c>
      <c r="K569" s="4" t="s">
        <v>40</v>
      </c>
      <c r="L569" s="3">
        <v>2357.7399999999998</v>
      </c>
      <c r="M569" s="4" t="s">
        <v>1255</v>
      </c>
      <c r="N569" s="3">
        <v>1637.36</v>
      </c>
    </row>
    <row r="570" spans="1:14" x14ac:dyDescent="0.35">
      <c r="A570">
        <v>1485</v>
      </c>
      <c r="B570" s="4" t="s">
        <v>105</v>
      </c>
      <c r="C570" s="4" t="s">
        <v>61</v>
      </c>
      <c r="D570" s="4" t="s">
        <v>22</v>
      </c>
      <c r="E570">
        <v>0</v>
      </c>
      <c r="F570" s="3">
        <v>2677.8825000000002</v>
      </c>
      <c r="G570" s="2">
        <v>0.64536982248520702</v>
      </c>
      <c r="H570" s="3">
        <v>0</v>
      </c>
      <c r="I570" s="1">
        <v>45510</v>
      </c>
      <c r="J570" s="4" t="s">
        <v>23</v>
      </c>
      <c r="K570" s="4" t="s">
        <v>12</v>
      </c>
      <c r="L570" s="3">
        <v>672.88</v>
      </c>
      <c r="M570" s="4" t="s">
        <v>1255</v>
      </c>
      <c r="N570" s="3">
        <v>0</v>
      </c>
    </row>
    <row r="571" spans="1:14" x14ac:dyDescent="0.35">
      <c r="A571">
        <v>1486</v>
      </c>
      <c r="B571" s="4" t="s">
        <v>487</v>
      </c>
      <c r="C571" s="4" t="s">
        <v>638</v>
      </c>
      <c r="D571" s="4" t="s">
        <v>32</v>
      </c>
      <c r="E571">
        <v>6</v>
      </c>
      <c r="F571" s="3">
        <v>2679.6430999999998</v>
      </c>
      <c r="G571" s="2">
        <v>0.64536982248520702</v>
      </c>
      <c r="H571" s="3">
        <v>0</v>
      </c>
      <c r="I571" s="1">
        <v>45510</v>
      </c>
      <c r="J571" s="4" t="s">
        <v>11</v>
      </c>
      <c r="K571" s="4" t="s">
        <v>12</v>
      </c>
      <c r="L571" s="3">
        <v>2745.83</v>
      </c>
      <c r="M571" s="4" t="s">
        <v>1255</v>
      </c>
      <c r="N571" s="3">
        <v>16077.8586</v>
      </c>
    </row>
    <row r="572" spans="1:14" x14ac:dyDescent="0.35">
      <c r="A572">
        <v>1487</v>
      </c>
      <c r="B572" s="4" t="s">
        <v>193</v>
      </c>
      <c r="C572" s="4" t="s">
        <v>197</v>
      </c>
      <c r="D572" s="4" t="s">
        <v>19</v>
      </c>
      <c r="E572">
        <v>6</v>
      </c>
      <c r="F572" s="3">
        <v>1234.08</v>
      </c>
      <c r="G572" s="2">
        <v>0.71</v>
      </c>
      <c r="H572" s="3">
        <v>2147.3000000000002</v>
      </c>
      <c r="I572" s="1">
        <v>45366</v>
      </c>
      <c r="J572" s="4" t="s">
        <v>7</v>
      </c>
      <c r="K572" s="4" t="s">
        <v>8</v>
      </c>
      <c r="L572" s="3">
        <v>-849.81</v>
      </c>
      <c r="M572" s="4" t="s">
        <v>1256</v>
      </c>
      <c r="N572" s="3">
        <v>7404.48</v>
      </c>
    </row>
    <row r="573" spans="1:14" x14ac:dyDescent="0.35">
      <c r="A573">
        <v>1488</v>
      </c>
      <c r="B573" s="4" t="s">
        <v>262</v>
      </c>
      <c r="C573" s="4" t="s">
        <v>138</v>
      </c>
      <c r="D573" s="4" t="s">
        <v>35</v>
      </c>
      <c r="E573">
        <v>0</v>
      </c>
      <c r="F573" s="3">
        <v>4925.93</v>
      </c>
      <c r="G573" s="2">
        <v>0.645274074074074</v>
      </c>
      <c r="H573" s="3">
        <v>0</v>
      </c>
      <c r="I573" s="1">
        <v>45774</v>
      </c>
      <c r="J573" s="4" t="s">
        <v>18</v>
      </c>
      <c r="K573" s="4" t="s">
        <v>8</v>
      </c>
      <c r="L573" s="3">
        <v>2121.1999999999998</v>
      </c>
      <c r="M573" s="4" t="s">
        <v>1255</v>
      </c>
      <c r="N573" s="3">
        <v>0</v>
      </c>
    </row>
    <row r="574" spans="1:14" x14ac:dyDescent="0.35">
      <c r="A574">
        <v>1489</v>
      </c>
      <c r="B574" s="4" t="s">
        <v>219</v>
      </c>
      <c r="C574" s="4" t="s">
        <v>639</v>
      </c>
      <c r="D574" s="4" t="s">
        <v>22</v>
      </c>
      <c r="E574">
        <v>-2</v>
      </c>
      <c r="F574" s="3">
        <v>2681.0133000000001</v>
      </c>
      <c r="G574" s="2">
        <v>0.645274074074074</v>
      </c>
      <c r="H574" s="3">
        <v>0</v>
      </c>
      <c r="I574" s="1">
        <v>45785</v>
      </c>
      <c r="J574" s="4" t="s">
        <v>20</v>
      </c>
      <c r="K574" s="4" t="s">
        <v>12</v>
      </c>
      <c r="L574" s="3">
        <v>2102.1999999999998</v>
      </c>
      <c r="M574" s="4" t="s">
        <v>1255</v>
      </c>
      <c r="N574" s="3">
        <v>-5362.0266000000001</v>
      </c>
    </row>
    <row r="575" spans="1:14" hidden="1" x14ac:dyDescent="0.35">
      <c r="A575">
        <v>1490</v>
      </c>
      <c r="B575" s="4" t="s">
        <v>271</v>
      </c>
      <c r="C575" s="4" t="s">
        <v>74</v>
      </c>
      <c r="D575" s="4" t="s">
        <v>26</v>
      </c>
      <c r="E575">
        <v>1</v>
      </c>
      <c r="F575" s="3">
        <v>2678.8834000000002</v>
      </c>
      <c r="G575" s="2">
        <v>0.645274074074074</v>
      </c>
      <c r="H575" s="3">
        <v>0</v>
      </c>
      <c r="I575" s="1">
        <v>45547</v>
      </c>
      <c r="J575" s="4" t="s">
        <v>7</v>
      </c>
      <c r="K575" s="4" t="s">
        <v>40</v>
      </c>
      <c r="L575" s="3">
        <v>230.97</v>
      </c>
      <c r="M575" s="4" t="s">
        <v>1255</v>
      </c>
      <c r="N575" s="3">
        <v>2678.8834000000002</v>
      </c>
    </row>
    <row r="576" spans="1:14" x14ac:dyDescent="0.35">
      <c r="A576">
        <v>1491</v>
      </c>
      <c r="B576" s="4" t="s">
        <v>307</v>
      </c>
      <c r="C576" s="4" t="s">
        <v>147</v>
      </c>
      <c r="D576" s="4" t="s">
        <v>22</v>
      </c>
      <c r="E576">
        <v>1</v>
      </c>
      <c r="F576" s="3">
        <v>2678.8834000000002</v>
      </c>
      <c r="G576" s="2">
        <v>0.28999999999999998</v>
      </c>
      <c r="H576" s="3">
        <v>0</v>
      </c>
      <c r="I576" s="1">
        <v>45547</v>
      </c>
      <c r="J576" s="4" t="s">
        <v>18</v>
      </c>
      <c r="K576" s="4" t="s">
        <v>12</v>
      </c>
      <c r="L576" s="3">
        <v>2039.1</v>
      </c>
      <c r="M576" s="4" t="s">
        <v>1255</v>
      </c>
      <c r="N576" s="3">
        <v>2678.8834000000002</v>
      </c>
    </row>
    <row r="577" spans="1:14" x14ac:dyDescent="0.35">
      <c r="A577">
        <v>1492</v>
      </c>
      <c r="B577" s="4" t="s">
        <v>139</v>
      </c>
      <c r="C577" s="4" t="s">
        <v>640</v>
      </c>
      <c r="D577" s="4" t="s">
        <v>26</v>
      </c>
      <c r="E577">
        <v>0</v>
      </c>
      <c r="F577" s="3">
        <v>2678.8834000000002</v>
      </c>
      <c r="G577" s="2">
        <v>1.07</v>
      </c>
      <c r="H577" s="3">
        <v>0</v>
      </c>
      <c r="I577" s="1">
        <v>45547</v>
      </c>
      <c r="J577" s="4" t="s">
        <v>23</v>
      </c>
      <c r="K577" s="4" t="s">
        <v>12</v>
      </c>
      <c r="L577" s="3">
        <v>-308.83</v>
      </c>
      <c r="M577" s="4" t="s">
        <v>1255</v>
      </c>
      <c r="N577" s="3">
        <v>0</v>
      </c>
    </row>
    <row r="578" spans="1:14" hidden="1" x14ac:dyDescent="0.35">
      <c r="A578">
        <v>1493</v>
      </c>
      <c r="B578" s="4" t="s">
        <v>477</v>
      </c>
      <c r="C578" s="4" t="s">
        <v>641</v>
      </c>
      <c r="D578" s="4" t="s">
        <v>25</v>
      </c>
      <c r="E578">
        <v>0</v>
      </c>
      <c r="F578" s="3">
        <v>2678.8834000000002</v>
      </c>
      <c r="G578" s="2">
        <v>0.03</v>
      </c>
      <c r="H578" s="3">
        <v>0</v>
      </c>
      <c r="I578" s="1">
        <v>45547</v>
      </c>
      <c r="J578" s="4" t="s">
        <v>23</v>
      </c>
      <c r="K578" s="4" t="s">
        <v>40</v>
      </c>
      <c r="L578" s="3">
        <v>478.28</v>
      </c>
      <c r="M578" s="4" t="s">
        <v>1255</v>
      </c>
      <c r="N578" s="3">
        <v>0</v>
      </c>
    </row>
    <row r="579" spans="1:14" hidden="1" x14ac:dyDescent="0.35">
      <c r="A579">
        <v>1494</v>
      </c>
      <c r="B579" s="4" t="s">
        <v>185</v>
      </c>
      <c r="C579" s="4" t="s">
        <v>253</v>
      </c>
      <c r="D579" s="4" t="s">
        <v>21</v>
      </c>
      <c r="E579">
        <v>0</v>
      </c>
      <c r="F579" s="3">
        <v>4338.0600000000004</v>
      </c>
      <c r="G579" s="2">
        <v>0.24</v>
      </c>
      <c r="H579" s="3">
        <v>0</v>
      </c>
      <c r="I579" s="1">
        <v>45734</v>
      </c>
      <c r="J579" s="4" t="s">
        <v>11</v>
      </c>
      <c r="K579" s="4" t="s">
        <v>40</v>
      </c>
      <c r="L579" s="3">
        <v>386.01</v>
      </c>
      <c r="M579" s="4" t="s">
        <v>1255</v>
      </c>
      <c r="N579" s="3">
        <v>0</v>
      </c>
    </row>
    <row r="580" spans="1:14" x14ac:dyDescent="0.35">
      <c r="A580">
        <v>1495</v>
      </c>
      <c r="B580" s="4" t="s">
        <v>122</v>
      </c>
      <c r="C580" s="4" t="s">
        <v>642</v>
      </c>
      <c r="D580" s="4" t="s">
        <v>33</v>
      </c>
      <c r="E580">
        <v>0</v>
      </c>
      <c r="F580" s="3">
        <v>2261.4899999999998</v>
      </c>
      <c r="G580" s="2">
        <v>0.64669150521609498</v>
      </c>
      <c r="H580" s="3">
        <v>0</v>
      </c>
      <c r="I580" s="1">
        <v>45601</v>
      </c>
      <c r="J580" s="4" t="s">
        <v>18</v>
      </c>
      <c r="K580" s="4" t="s">
        <v>8</v>
      </c>
      <c r="L580" s="3">
        <v>2044.15</v>
      </c>
      <c r="M580" s="4" t="s">
        <v>1255</v>
      </c>
      <c r="N580" s="3">
        <v>0</v>
      </c>
    </row>
    <row r="581" spans="1:14" x14ac:dyDescent="0.35">
      <c r="A581">
        <v>1496</v>
      </c>
      <c r="B581" s="4" t="s">
        <v>81</v>
      </c>
      <c r="C581" s="4" t="s">
        <v>324</v>
      </c>
      <c r="D581" s="4" t="s">
        <v>30</v>
      </c>
      <c r="E581">
        <v>-1</v>
      </c>
      <c r="F581" s="3">
        <v>4874.76</v>
      </c>
      <c r="G581" s="2">
        <v>0.64669150521609498</v>
      </c>
      <c r="H581" s="3">
        <v>0</v>
      </c>
      <c r="I581" s="1">
        <v>45655</v>
      </c>
      <c r="J581" s="4" t="s">
        <v>9</v>
      </c>
      <c r="K581" s="4" t="s">
        <v>12</v>
      </c>
      <c r="L581" s="3">
        <v>2438.13</v>
      </c>
      <c r="M581" s="4" t="s">
        <v>1255</v>
      </c>
      <c r="N581" s="3">
        <v>-4874.76</v>
      </c>
    </row>
    <row r="582" spans="1:14" x14ac:dyDescent="0.35">
      <c r="A582">
        <v>1497</v>
      </c>
      <c r="B582" s="4" t="s">
        <v>166</v>
      </c>
      <c r="C582" s="4" t="s">
        <v>203</v>
      </c>
      <c r="D582" s="4" t="s">
        <v>14</v>
      </c>
      <c r="E582">
        <v>0</v>
      </c>
      <c r="F582" s="3">
        <v>1461.5</v>
      </c>
      <c r="G582" s="2">
        <v>0.64669150521609498</v>
      </c>
      <c r="H582" s="3">
        <v>0</v>
      </c>
      <c r="I582" s="1">
        <v>45526</v>
      </c>
      <c r="J582" s="4" t="s">
        <v>20</v>
      </c>
      <c r="K582" s="4" t="s">
        <v>8</v>
      </c>
      <c r="L582" s="3">
        <v>1561.06</v>
      </c>
      <c r="M582" s="4" t="s">
        <v>1255</v>
      </c>
      <c r="N582" s="3">
        <v>0</v>
      </c>
    </row>
    <row r="583" spans="1:14" x14ac:dyDescent="0.35">
      <c r="A583">
        <v>1498</v>
      </c>
      <c r="B583" s="4" t="s">
        <v>398</v>
      </c>
      <c r="C583" s="4" t="s">
        <v>509</v>
      </c>
      <c r="D583" s="4" t="s">
        <v>21</v>
      </c>
      <c r="E583">
        <v>6</v>
      </c>
      <c r="F583" s="3">
        <v>3771.67</v>
      </c>
      <c r="G583" s="2">
        <v>0.64669150521609498</v>
      </c>
      <c r="H583" s="3">
        <v>0</v>
      </c>
      <c r="I583" s="1">
        <v>45566</v>
      </c>
      <c r="J583" s="4" t="s">
        <v>11</v>
      </c>
      <c r="K583" s="4" t="s">
        <v>8</v>
      </c>
      <c r="L583" s="3">
        <v>2442.42</v>
      </c>
      <c r="M583" s="4" t="s">
        <v>1255</v>
      </c>
      <c r="N583" s="3">
        <v>22630.02</v>
      </c>
    </row>
    <row r="584" spans="1:14" x14ac:dyDescent="0.35">
      <c r="A584">
        <v>1499</v>
      </c>
      <c r="B584" s="4" t="s">
        <v>210</v>
      </c>
      <c r="C584" s="4" t="s">
        <v>643</v>
      </c>
      <c r="D584" s="4" t="s">
        <v>15</v>
      </c>
      <c r="E584">
        <v>2</v>
      </c>
      <c r="F584" s="3">
        <v>2676.7689</v>
      </c>
      <c r="G584" s="2">
        <v>0.64669150521609498</v>
      </c>
      <c r="H584" s="3">
        <v>0</v>
      </c>
      <c r="I584" s="1">
        <v>45566</v>
      </c>
      <c r="J584" s="4" t="s">
        <v>18</v>
      </c>
      <c r="K584" s="4" t="s">
        <v>8</v>
      </c>
      <c r="L584" s="3">
        <v>2116.52</v>
      </c>
      <c r="M584" s="4" t="s">
        <v>1255</v>
      </c>
      <c r="N584" s="3">
        <v>5353.5378000000001</v>
      </c>
    </row>
    <row r="585" spans="1:14" x14ac:dyDescent="0.35">
      <c r="A585">
        <v>1500</v>
      </c>
      <c r="B585" s="4" t="s">
        <v>644</v>
      </c>
      <c r="C585" s="4" t="s">
        <v>106</v>
      </c>
      <c r="D585" s="4" t="s">
        <v>21</v>
      </c>
      <c r="E585">
        <v>0</v>
      </c>
      <c r="F585" s="3">
        <v>2128.7399999999998</v>
      </c>
      <c r="G585" s="2">
        <v>0.64669150521609498</v>
      </c>
      <c r="H585" s="3">
        <v>0</v>
      </c>
      <c r="I585" s="1">
        <v>45588</v>
      </c>
      <c r="J585" s="4" t="s">
        <v>9</v>
      </c>
      <c r="K585" s="4" t="s">
        <v>12</v>
      </c>
      <c r="L585" s="3">
        <v>-648.94000000000005</v>
      </c>
      <c r="M585" s="4" t="s">
        <v>1255</v>
      </c>
      <c r="N585" s="3">
        <v>0</v>
      </c>
    </row>
    <row r="586" spans="1:14" hidden="1" x14ac:dyDescent="0.35">
      <c r="A586">
        <v>1501</v>
      </c>
      <c r="B586" s="4" t="s">
        <v>43</v>
      </c>
      <c r="C586" s="4" t="s">
        <v>645</v>
      </c>
      <c r="D586" s="4" t="s">
        <v>15</v>
      </c>
      <c r="E586">
        <v>-2</v>
      </c>
      <c r="F586" s="3">
        <v>2675.7251000000001</v>
      </c>
      <c r="G586" s="2">
        <v>0.65</v>
      </c>
      <c r="H586" s="3">
        <v>0</v>
      </c>
      <c r="I586" s="1">
        <v>45588</v>
      </c>
      <c r="J586" s="4" t="s">
        <v>18</v>
      </c>
      <c r="K586" s="4" t="s">
        <v>40</v>
      </c>
      <c r="L586" s="3">
        <v>-957.83</v>
      </c>
      <c r="M586" s="4" t="s">
        <v>1255</v>
      </c>
      <c r="N586" s="3">
        <v>-5351.4502000000002</v>
      </c>
    </row>
    <row r="587" spans="1:14" hidden="1" x14ac:dyDescent="0.35">
      <c r="A587">
        <v>1502</v>
      </c>
      <c r="B587" s="4" t="s">
        <v>573</v>
      </c>
      <c r="C587" s="4" t="s">
        <v>234</v>
      </c>
      <c r="D587" s="4" t="s">
        <v>31</v>
      </c>
      <c r="E587">
        <v>0</v>
      </c>
      <c r="F587" s="3">
        <v>4260.95</v>
      </c>
      <c r="G587" s="2">
        <v>0.64668656716417905</v>
      </c>
      <c r="H587" s="3">
        <v>0</v>
      </c>
      <c r="I587" s="1">
        <v>45551</v>
      </c>
      <c r="J587" s="4" t="s">
        <v>7</v>
      </c>
      <c r="K587" s="4" t="s">
        <v>40</v>
      </c>
      <c r="L587" s="3">
        <v>-86.64</v>
      </c>
      <c r="M587" s="4" t="s">
        <v>1255</v>
      </c>
      <c r="N587" s="3">
        <v>0</v>
      </c>
    </row>
    <row r="588" spans="1:14" x14ac:dyDescent="0.35">
      <c r="A588">
        <v>1503</v>
      </c>
      <c r="B588" s="4" t="s">
        <v>646</v>
      </c>
      <c r="C588" s="4" t="s">
        <v>307</v>
      </c>
      <c r="D588" s="4" t="s">
        <v>37</v>
      </c>
      <c r="E588">
        <v>2</v>
      </c>
      <c r="F588" s="3">
        <v>4621.79</v>
      </c>
      <c r="G588" s="2">
        <v>0.32</v>
      </c>
      <c r="H588" s="3">
        <v>6285.63</v>
      </c>
      <c r="I588" s="1">
        <v>45795</v>
      </c>
      <c r="J588" s="4" t="s">
        <v>7</v>
      </c>
      <c r="K588" s="4" t="s">
        <v>8</v>
      </c>
      <c r="L588" s="3">
        <v>1350.48</v>
      </c>
      <c r="M588" s="4" t="s">
        <v>1256</v>
      </c>
      <c r="N588" s="3">
        <v>9243.58</v>
      </c>
    </row>
    <row r="589" spans="1:14" x14ac:dyDescent="0.35">
      <c r="A589">
        <v>1504</v>
      </c>
      <c r="B589" s="4" t="s">
        <v>122</v>
      </c>
      <c r="C589" s="4" t="s">
        <v>564</v>
      </c>
      <c r="D589" s="4" t="s">
        <v>13</v>
      </c>
      <c r="E589">
        <v>2</v>
      </c>
      <c r="F589" s="3">
        <v>2558.4299999999998</v>
      </c>
      <c r="G589" s="2">
        <v>0.64717488789237598</v>
      </c>
      <c r="H589" s="3">
        <v>0</v>
      </c>
      <c r="I589" s="1">
        <v>45604</v>
      </c>
      <c r="J589" s="4" t="s">
        <v>18</v>
      </c>
      <c r="K589" s="4" t="s">
        <v>12</v>
      </c>
      <c r="L589" s="3">
        <v>-360.49</v>
      </c>
      <c r="M589" s="4" t="s">
        <v>1255</v>
      </c>
      <c r="N589" s="3">
        <v>5116.8599999999997</v>
      </c>
    </row>
    <row r="590" spans="1:14" x14ac:dyDescent="0.35">
      <c r="A590">
        <v>1506</v>
      </c>
      <c r="B590" s="4" t="s">
        <v>224</v>
      </c>
      <c r="C590" s="4" t="s">
        <v>548</v>
      </c>
      <c r="D590" s="4" t="s">
        <v>15</v>
      </c>
      <c r="E590">
        <v>0</v>
      </c>
      <c r="F590" s="3">
        <v>2672.9816000000001</v>
      </c>
      <c r="G590" s="2">
        <v>0.64717488789237598</v>
      </c>
      <c r="H590" s="3">
        <v>0</v>
      </c>
      <c r="I590" s="1">
        <v>45821</v>
      </c>
      <c r="J590" s="4" t="s">
        <v>18</v>
      </c>
      <c r="K590" s="4" t="s">
        <v>8</v>
      </c>
      <c r="L590" s="3">
        <v>1406.62</v>
      </c>
      <c r="M590" s="4" t="s">
        <v>1255</v>
      </c>
      <c r="N590" s="3">
        <v>0</v>
      </c>
    </row>
    <row r="591" spans="1:14" hidden="1" x14ac:dyDescent="0.35">
      <c r="A591">
        <v>1507</v>
      </c>
      <c r="B591" s="4" t="s">
        <v>121</v>
      </c>
      <c r="C591" s="4" t="s">
        <v>82</v>
      </c>
      <c r="D591" s="4" t="s">
        <v>10</v>
      </c>
      <c r="E591">
        <v>0</v>
      </c>
      <c r="F591" s="3">
        <v>3597.73</v>
      </c>
      <c r="G591" s="2">
        <v>0.64717488789237598</v>
      </c>
      <c r="H591" s="3">
        <v>0</v>
      </c>
      <c r="I591" s="1">
        <v>45560</v>
      </c>
      <c r="J591" s="4" t="s">
        <v>7</v>
      </c>
      <c r="K591" s="4" t="s">
        <v>40</v>
      </c>
      <c r="L591" s="3">
        <v>-857.53</v>
      </c>
      <c r="M591" s="4" t="s">
        <v>1255</v>
      </c>
      <c r="N591" s="3">
        <v>0</v>
      </c>
    </row>
    <row r="592" spans="1:14" hidden="1" x14ac:dyDescent="0.35">
      <c r="A592">
        <v>1508</v>
      </c>
      <c r="B592" s="4" t="s">
        <v>544</v>
      </c>
      <c r="C592" s="4" t="s">
        <v>381</v>
      </c>
      <c r="D592" s="4" t="s">
        <v>31</v>
      </c>
      <c r="E592">
        <v>-1</v>
      </c>
      <c r="F592" s="3">
        <v>2674.2806999999998</v>
      </c>
      <c r="G592" s="2">
        <v>0.64717488789237598</v>
      </c>
      <c r="H592" s="3">
        <v>0</v>
      </c>
      <c r="I592" s="1">
        <v>45530</v>
      </c>
      <c r="J592" s="4" t="s">
        <v>9</v>
      </c>
      <c r="K592" s="4" t="s">
        <v>40</v>
      </c>
      <c r="L592" s="3">
        <v>1796.35</v>
      </c>
      <c r="M592" s="4" t="s">
        <v>1255</v>
      </c>
      <c r="N592" s="3">
        <v>-2674.2806999999998</v>
      </c>
    </row>
    <row r="593" spans="1:14" hidden="1" x14ac:dyDescent="0.35">
      <c r="A593">
        <v>1509</v>
      </c>
      <c r="B593" s="4" t="s">
        <v>569</v>
      </c>
      <c r="C593" s="4" t="s">
        <v>300</v>
      </c>
      <c r="D593" s="4" t="s">
        <v>31</v>
      </c>
      <c r="E593">
        <v>0</v>
      </c>
      <c r="F593" s="3">
        <v>2673.3953999999999</v>
      </c>
      <c r="G593" s="2">
        <v>0.28000000000000003</v>
      </c>
      <c r="H593" s="3">
        <v>0</v>
      </c>
      <c r="I593" s="1">
        <v>45584</v>
      </c>
      <c r="J593" s="4" t="s">
        <v>18</v>
      </c>
      <c r="K593" s="4" t="s">
        <v>40</v>
      </c>
      <c r="L593" s="3">
        <v>1333.87</v>
      </c>
      <c r="M593" s="4" t="s">
        <v>1255</v>
      </c>
      <c r="N593" s="3">
        <v>0</v>
      </c>
    </row>
    <row r="594" spans="1:14" x14ac:dyDescent="0.35">
      <c r="A594">
        <v>1510</v>
      </c>
      <c r="B594" s="4" t="s">
        <v>246</v>
      </c>
      <c r="C594" s="4" t="s">
        <v>647</v>
      </c>
      <c r="D594" s="4" t="s">
        <v>28</v>
      </c>
      <c r="E594">
        <v>0</v>
      </c>
      <c r="F594" s="3">
        <v>1897.11</v>
      </c>
      <c r="G594" s="2">
        <v>0.64772455089820302</v>
      </c>
      <c r="H594" s="3">
        <v>0</v>
      </c>
      <c r="I594" s="1">
        <v>45781</v>
      </c>
      <c r="J594" s="4" t="s">
        <v>7</v>
      </c>
      <c r="K594" s="4" t="s">
        <v>8</v>
      </c>
      <c r="L594" s="3">
        <v>-345.3</v>
      </c>
      <c r="M594" s="4" t="s">
        <v>1255</v>
      </c>
      <c r="N594" s="3">
        <v>0</v>
      </c>
    </row>
    <row r="595" spans="1:14" x14ac:dyDescent="0.35">
      <c r="A595">
        <v>1511</v>
      </c>
      <c r="B595" s="4" t="s">
        <v>121</v>
      </c>
      <c r="C595" s="4" t="s">
        <v>241</v>
      </c>
      <c r="D595" s="4" t="s">
        <v>10</v>
      </c>
      <c r="E595">
        <v>0</v>
      </c>
      <c r="F595" s="3">
        <v>2673.3953999999999</v>
      </c>
      <c r="G595" s="2">
        <v>0.93</v>
      </c>
      <c r="H595" s="3">
        <v>0</v>
      </c>
      <c r="I595" s="1">
        <v>45606</v>
      </c>
      <c r="J595" s="4" t="s">
        <v>23</v>
      </c>
      <c r="K595" s="4" t="s">
        <v>12</v>
      </c>
      <c r="L595" s="3">
        <v>-521.84</v>
      </c>
      <c r="M595" s="4" t="s">
        <v>1255</v>
      </c>
      <c r="N595" s="3">
        <v>0</v>
      </c>
    </row>
    <row r="596" spans="1:14" x14ac:dyDescent="0.35">
      <c r="A596">
        <v>1512</v>
      </c>
      <c r="B596" s="4" t="s">
        <v>56</v>
      </c>
      <c r="C596" s="4" t="s">
        <v>648</v>
      </c>
      <c r="D596" s="4" t="s">
        <v>19</v>
      </c>
      <c r="E596">
        <v>0</v>
      </c>
      <c r="F596" s="3">
        <v>2674.1404000000002</v>
      </c>
      <c r="G596" s="2">
        <v>0.64730134932533701</v>
      </c>
      <c r="H596" s="3">
        <v>0</v>
      </c>
      <c r="I596" s="1">
        <v>45458</v>
      </c>
      <c r="J596" s="4" t="s">
        <v>7</v>
      </c>
      <c r="K596" s="4" t="s">
        <v>8</v>
      </c>
      <c r="L596" s="3">
        <v>352.91</v>
      </c>
      <c r="M596" s="4" t="s">
        <v>1255</v>
      </c>
      <c r="N596" s="3">
        <v>0</v>
      </c>
    </row>
    <row r="597" spans="1:14" x14ac:dyDescent="0.35">
      <c r="A597">
        <v>1513</v>
      </c>
      <c r="B597" s="4" t="s">
        <v>81</v>
      </c>
      <c r="C597" s="4" t="s">
        <v>649</v>
      </c>
      <c r="D597" s="4" t="s">
        <v>34</v>
      </c>
      <c r="E597">
        <v>6</v>
      </c>
      <c r="F597" s="3">
        <v>2674.1404000000002</v>
      </c>
      <c r="G597" s="2">
        <v>0.64730134932533701</v>
      </c>
      <c r="H597" s="3">
        <v>0</v>
      </c>
      <c r="I597" s="1">
        <v>45402</v>
      </c>
      <c r="J597" s="4" t="s">
        <v>7</v>
      </c>
      <c r="K597" s="4" t="s">
        <v>8</v>
      </c>
      <c r="L597" s="3">
        <v>156.52000000000001</v>
      </c>
      <c r="M597" s="4" t="s">
        <v>1255</v>
      </c>
      <c r="N597" s="3">
        <v>16044.8424</v>
      </c>
    </row>
    <row r="598" spans="1:14" hidden="1" x14ac:dyDescent="0.35">
      <c r="A598">
        <v>1514</v>
      </c>
      <c r="B598" s="4" t="s">
        <v>91</v>
      </c>
      <c r="C598" s="4" t="s">
        <v>588</v>
      </c>
      <c r="D598" s="4" t="s">
        <v>37</v>
      </c>
      <c r="E598">
        <v>0</v>
      </c>
      <c r="F598" s="3">
        <v>2343.7199999999998</v>
      </c>
      <c r="G598" s="2">
        <v>0.64730134932533701</v>
      </c>
      <c r="H598" s="3">
        <v>0</v>
      </c>
      <c r="I598" s="1">
        <v>45810</v>
      </c>
      <c r="J598" s="4" t="s">
        <v>11</v>
      </c>
      <c r="K598" s="4" t="s">
        <v>40</v>
      </c>
      <c r="L598" s="3">
        <v>-760.9</v>
      </c>
      <c r="M598" s="4" t="s">
        <v>1255</v>
      </c>
      <c r="N598" s="3">
        <v>0</v>
      </c>
    </row>
    <row r="599" spans="1:14" hidden="1" x14ac:dyDescent="0.35">
      <c r="A599">
        <v>1515</v>
      </c>
      <c r="B599" s="4" t="s">
        <v>210</v>
      </c>
      <c r="C599" s="4" t="s">
        <v>400</v>
      </c>
      <c r="D599" s="4" t="s">
        <v>19</v>
      </c>
      <c r="E599">
        <v>3</v>
      </c>
      <c r="F599" s="3">
        <v>4596.03</v>
      </c>
      <c r="G599" s="2">
        <v>0.64730134932533701</v>
      </c>
      <c r="H599" s="3">
        <v>0</v>
      </c>
      <c r="I599" s="1">
        <v>45839</v>
      </c>
      <c r="J599" s="4" t="s">
        <v>7</v>
      </c>
      <c r="K599" s="4" t="s">
        <v>40</v>
      </c>
      <c r="L599" s="3">
        <v>-866.29</v>
      </c>
      <c r="M599" s="4" t="s">
        <v>1255</v>
      </c>
      <c r="N599" s="3">
        <v>13788.09</v>
      </c>
    </row>
    <row r="600" spans="1:14" x14ac:dyDescent="0.35">
      <c r="A600">
        <v>1516</v>
      </c>
      <c r="B600" s="4" t="s">
        <v>213</v>
      </c>
      <c r="C600" s="4" t="s">
        <v>353</v>
      </c>
      <c r="D600" s="4" t="s">
        <v>17</v>
      </c>
      <c r="E600">
        <v>-1</v>
      </c>
      <c r="F600" s="3">
        <v>1039.31</v>
      </c>
      <c r="G600" s="2">
        <v>0.94</v>
      </c>
      <c r="H600" s="3">
        <v>-62.36</v>
      </c>
      <c r="I600" s="1">
        <v>45839</v>
      </c>
      <c r="J600" s="4" t="s">
        <v>9</v>
      </c>
      <c r="K600" s="4" t="s">
        <v>12</v>
      </c>
      <c r="L600" s="3">
        <v>-104.79</v>
      </c>
      <c r="M600" s="4" t="s">
        <v>1255</v>
      </c>
      <c r="N600" s="3">
        <v>-1039.31</v>
      </c>
    </row>
    <row r="601" spans="1:14" x14ac:dyDescent="0.35">
      <c r="A601">
        <v>1517</v>
      </c>
      <c r="B601" s="4" t="s">
        <v>200</v>
      </c>
      <c r="C601" s="4" t="s">
        <v>650</v>
      </c>
      <c r="D601" s="4" t="s">
        <v>6</v>
      </c>
      <c r="E601">
        <v>0</v>
      </c>
      <c r="F601" s="3">
        <v>4944.25</v>
      </c>
      <c r="G601" s="2">
        <v>0.64686186186186201</v>
      </c>
      <c r="H601" s="3">
        <v>0</v>
      </c>
      <c r="I601" s="1">
        <v>45570</v>
      </c>
      <c r="J601" s="4" t="s">
        <v>9</v>
      </c>
      <c r="K601" s="4" t="s">
        <v>12</v>
      </c>
      <c r="L601" s="3">
        <v>-157.21</v>
      </c>
      <c r="M601" s="4" t="s">
        <v>1255</v>
      </c>
      <c r="N601" s="3">
        <v>0</v>
      </c>
    </row>
    <row r="602" spans="1:14" hidden="1" x14ac:dyDescent="0.35">
      <c r="A602">
        <v>1518</v>
      </c>
      <c r="B602" s="4" t="s">
        <v>79</v>
      </c>
      <c r="C602" s="4" t="s">
        <v>61</v>
      </c>
      <c r="D602" s="4" t="s">
        <v>6</v>
      </c>
      <c r="E602">
        <v>0</v>
      </c>
      <c r="F602" s="3">
        <v>706.71</v>
      </c>
      <c r="G602" s="2">
        <v>0.64686186186186201</v>
      </c>
      <c r="H602" s="3">
        <v>0</v>
      </c>
      <c r="I602" s="1">
        <v>45831</v>
      </c>
      <c r="J602" s="4" t="s">
        <v>7</v>
      </c>
      <c r="K602" s="4" t="s">
        <v>40</v>
      </c>
      <c r="L602" s="3">
        <v>-285.44</v>
      </c>
      <c r="M602" s="4" t="s">
        <v>1255</v>
      </c>
      <c r="N602" s="3">
        <v>0</v>
      </c>
    </row>
    <row r="603" spans="1:14" x14ac:dyDescent="0.35">
      <c r="A603">
        <v>1519</v>
      </c>
      <c r="B603" s="4" t="s">
        <v>262</v>
      </c>
      <c r="C603" s="4" t="s">
        <v>651</v>
      </c>
      <c r="D603" s="4" t="s">
        <v>14</v>
      </c>
      <c r="E603">
        <v>1</v>
      </c>
      <c r="F603" s="3">
        <v>3762.86</v>
      </c>
      <c r="G603" s="2">
        <v>0.64686186186186201</v>
      </c>
      <c r="H603" s="3">
        <v>0</v>
      </c>
      <c r="I603" s="1">
        <v>45582</v>
      </c>
      <c r="J603" s="4" t="s">
        <v>11</v>
      </c>
      <c r="K603" s="4" t="s">
        <v>12</v>
      </c>
      <c r="L603" s="3">
        <v>2567.73</v>
      </c>
      <c r="M603" s="4" t="s">
        <v>1255</v>
      </c>
      <c r="N603" s="3">
        <v>3762.86</v>
      </c>
    </row>
    <row r="604" spans="1:14" hidden="1" x14ac:dyDescent="0.35">
      <c r="A604">
        <v>1520</v>
      </c>
      <c r="B604" s="4" t="s">
        <v>122</v>
      </c>
      <c r="C604" s="4" t="s">
        <v>197</v>
      </c>
      <c r="D604" s="4" t="s">
        <v>15</v>
      </c>
      <c r="E604">
        <v>4</v>
      </c>
      <c r="F604" s="3">
        <v>2673.8903</v>
      </c>
      <c r="G604" s="2">
        <v>0.71</v>
      </c>
      <c r="H604" s="3">
        <v>0</v>
      </c>
      <c r="I604" s="1">
        <v>45777</v>
      </c>
      <c r="J604" s="4" t="s">
        <v>11</v>
      </c>
      <c r="K604" s="4" t="s">
        <v>40</v>
      </c>
      <c r="L604" s="3">
        <v>-822.18</v>
      </c>
      <c r="M604" s="4" t="s">
        <v>1255</v>
      </c>
      <c r="N604" s="3">
        <v>10695.5612</v>
      </c>
    </row>
    <row r="605" spans="1:14" hidden="1" x14ac:dyDescent="0.35">
      <c r="A605">
        <v>1521</v>
      </c>
      <c r="B605" s="4" t="s">
        <v>551</v>
      </c>
      <c r="C605" s="4" t="s">
        <v>604</v>
      </c>
      <c r="D605" s="4" t="s">
        <v>21</v>
      </c>
      <c r="E605">
        <v>0</v>
      </c>
      <c r="F605" s="3">
        <v>2362.0300000000002</v>
      </c>
      <c r="G605" s="2">
        <v>1.27</v>
      </c>
      <c r="H605" s="3">
        <v>0</v>
      </c>
      <c r="I605" s="1">
        <v>45788</v>
      </c>
      <c r="J605" s="4" t="s">
        <v>23</v>
      </c>
      <c r="K605" s="4" t="s">
        <v>40</v>
      </c>
      <c r="L605" s="3">
        <v>-943.46</v>
      </c>
      <c r="M605" s="4" t="s">
        <v>1255</v>
      </c>
      <c r="N605" s="3">
        <v>0</v>
      </c>
    </row>
    <row r="606" spans="1:14" x14ac:dyDescent="0.35">
      <c r="A606">
        <v>1522</v>
      </c>
      <c r="B606" s="4" t="s">
        <v>235</v>
      </c>
      <c r="C606" s="4" t="s">
        <v>261</v>
      </c>
      <c r="D606" s="4" t="s">
        <v>19</v>
      </c>
      <c r="E606">
        <v>6</v>
      </c>
      <c r="F606" s="3">
        <v>2672.8391999999999</v>
      </c>
      <c r="G606" s="2">
        <v>0.44</v>
      </c>
      <c r="H606" s="3">
        <v>0</v>
      </c>
      <c r="I606" s="1">
        <v>45503</v>
      </c>
      <c r="J606" s="4" t="s">
        <v>18</v>
      </c>
      <c r="K606" s="4" t="s">
        <v>12</v>
      </c>
      <c r="L606" s="3">
        <v>547.09</v>
      </c>
      <c r="M606" s="4" t="s">
        <v>1255</v>
      </c>
      <c r="N606" s="3">
        <v>16037.0352</v>
      </c>
    </row>
    <row r="607" spans="1:14" x14ac:dyDescent="0.35">
      <c r="A607">
        <v>1523</v>
      </c>
      <c r="B607" s="4" t="s">
        <v>430</v>
      </c>
      <c r="C607" s="4" t="s">
        <v>261</v>
      </c>
      <c r="D607" s="4" t="s">
        <v>37</v>
      </c>
      <c r="E607">
        <v>-2</v>
      </c>
      <c r="F607" s="3">
        <v>2673.1395000000002</v>
      </c>
      <c r="G607" s="2">
        <v>0.13</v>
      </c>
      <c r="H607" s="3">
        <v>0</v>
      </c>
      <c r="I607" s="1">
        <v>45276</v>
      </c>
      <c r="J607" s="4" t="s">
        <v>9</v>
      </c>
      <c r="K607" s="4" t="s">
        <v>12</v>
      </c>
      <c r="L607" s="3">
        <v>1475.12</v>
      </c>
      <c r="M607" s="4" t="s">
        <v>1255</v>
      </c>
      <c r="N607" s="3">
        <v>-5346.2790000000005</v>
      </c>
    </row>
    <row r="608" spans="1:14" x14ac:dyDescent="0.35">
      <c r="A608">
        <v>1524</v>
      </c>
      <c r="B608" s="4" t="s">
        <v>652</v>
      </c>
      <c r="C608" s="4" t="s">
        <v>545</v>
      </c>
      <c r="D608" s="4" t="s">
        <v>25</v>
      </c>
      <c r="E608">
        <v>0</v>
      </c>
      <c r="F608" s="3">
        <v>2673.1395000000002</v>
      </c>
      <c r="G608" s="2">
        <v>0.47</v>
      </c>
      <c r="H608" s="3">
        <v>0</v>
      </c>
      <c r="I608" s="1">
        <v>45853</v>
      </c>
      <c r="J608" s="4" t="s">
        <v>23</v>
      </c>
      <c r="K608" s="4" t="s">
        <v>8</v>
      </c>
      <c r="L608" s="3">
        <v>2668.06</v>
      </c>
      <c r="M608" s="4" t="s">
        <v>1255</v>
      </c>
      <c r="N608" s="3">
        <v>0</v>
      </c>
    </row>
    <row r="609" spans="1:14" x14ac:dyDescent="0.35">
      <c r="A609">
        <v>1525</v>
      </c>
      <c r="B609" s="4" t="s">
        <v>164</v>
      </c>
      <c r="C609" s="4" t="s">
        <v>138</v>
      </c>
      <c r="D609" s="4" t="s">
        <v>33</v>
      </c>
      <c r="E609">
        <v>5</v>
      </c>
      <c r="F609" s="3">
        <v>4591.26</v>
      </c>
      <c r="G609" s="2">
        <v>0.64718608169440195</v>
      </c>
      <c r="H609" s="3">
        <v>0</v>
      </c>
      <c r="I609" s="1">
        <v>45660</v>
      </c>
      <c r="J609" s="4" t="s">
        <v>23</v>
      </c>
      <c r="K609" s="4" t="s">
        <v>12</v>
      </c>
      <c r="L609" s="3">
        <v>-602.79999999999995</v>
      </c>
      <c r="M609" s="4" t="s">
        <v>1255</v>
      </c>
      <c r="N609" s="3">
        <v>22956.3</v>
      </c>
    </row>
    <row r="610" spans="1:14" hidden="1" x14ac:dyDescent="0.35">
      <c r="A610">
        <v>1526</v>
      </c>
      <c r="B610" s="4" t="s">
        <v>569</v>
      </c>
      <c r="C610" s="4" t="s">
        <v>126</v>
      </c>
      <c r="D610" s="4" t="s">
        <v>22</v>
      </c>
      <c r="E610">
        <v>2</v>
      </c>
      <c r="F610" s="3">
        <v>1884.25</v>
      </c>
      <c r="G610" s="2">
        <v>0.64718608169440195</v>
      </c>
      <c r="H610" s="3">
        <v>0</v>
      </c>
      <c r="I610" s="1">
        <v>45576</v>
      </c>
      <c r="J610" s="4" t="s">
        <v>18</v>
      </c>
      <c r="K610" s="4" t="s">
        <v>40</v>
      </c>
      <c r="L610" s="3">
        <v>1177.57</v>
      </c>
      <c r="M610" s="4" t="s">
        <v>1255</v>
      </c>
      <c r="N610" s="3">
        <v>3768.5</v>
      </c>
    </row>
    <row r="611" spans="1:14" x14ac:dyDescent="0.35">
      <c r="A611">
        <v>1527</v>
      </c>
      <c r="B611" s="4" t="s">
        <v>317</v>
      </c>
      <c r="C611" s="4" t="s">
        <v>474</v>
      </c>
      <c r="D611" s="4" t="s">
        <v>6</v>
      </c>
      <c r="E611">
        <v>0</v>
      </c>
      <c r="F611" s="3">
        <v>3431.26</v>
      </c>
      <c r="G611" s="2">
        <v>0.64718608169440195</v>
      </c>
      <c r="H611" s="3">
        <v>0</v>
      </c>
      <c r="I611" s="1">
        <v>45153</v>
      </c>
      <c r="J611" s="4" t="s">
        <v>18</v>
      </c>
      <c r="K611" s="4" t="s">
        <v>8</v>
      </c>
      <c r="L611" s="3">
        <v>1931.28</v>
      </c>
      <c r="M611" s="4" t="s">
        <v>1255</v>
      </c>
      <c r="N611" s="3">
        <v>0</v>
      </c>
    </row>
    <row r="612" spans="1:14" hidden="1" x14ac:dyDescent="0.35">
      <c r="A612">
        <v>1529</v>
      </c>
      <c r="B612" s="4" t="s">
        <v>93</v>
      </c>
      <c r="C612" s="4" t="s">
        <v>376</v>
      </c>
      <c r="D612" s="4" t="s">
        <v>26</v>
      </c>
      <c r="E612">
        <v>0</v>
      </c>
      <c r="F612" s="3">
        <v>3381.7</v>
      </c>
      <c r="G612" s="2">
        <v>0.64718608169440195</v>
      </c>
      <c r="H612" s="3">
        <v>0</v>
      </c>
      <c r="I612" s="1">
        <v>45734</v>
      </c>
      <c r="J612" s="4" t="s">
        <v>7</v>
      </c>
      <c r="K612" s="4" t="s">
        <v>40</v>
      </c>
      <c r="L612" s="3">
        <v>2953.76</v>
      </c>
      <c r="M612" s="4" t="s">
        <v>1255</v>
      </c>
      <c r="N612" s="3">
        <v>0</v>
      </c>
    </row>
    <row r="613" spans="1:14" x14ac:dyDescent="0.35">
      <c r="A613">
        <v>1530</v>
      </c>
      <c r="B613" s="4" t="s">
        <v>121</v>
      </c>
      <c r="C613" s="4" t="s">
        <v>416</v>
      </c>
      <c r="D613" s="4" t="s">
        <v>30</v>
      </c>
      <c r="E613">
        <v>6</v>
      </c>
      <c r="F613" s="3">
        <v>2671.3105999999998</v>
      </c>
      <c r="G613" s="2">
        <v>0.64718608169440195</v>
      </c>
      <c r="H613" s="3">
        <v>0</v>
      </c>
      <c r="I613" s="1">
        <v>45565</v>
      </c>
      <c r="J613" s="4" t="s">
        <v>23</v>
      </c>
      <c r="K613" s="4" t="s">
        <v>8</v>
      </c>
      <c r="L613" s="3">
        <v>1451.55</v>
      </c>
      <c r="M613" s="4" t="s">
        <v>1255</v>
      </c>
      <c r="N613" s="3">
        <v>16027.863600000001</v>
      </c>
    </row>
    <row r="614" spans="1:14" x14ac:dyDescent="0.35">
      <c r="A614">
        <v>1531</v>
      </c>
      <c r="B614" s="4" t="s">
        <v>653</v>
      </c>
      <c r="C614" s="4" t="s">
        <v>44</v>
      </c>
      <c r="D614" s="4" t="s">
        <v>32</v>
      </c>
      <c r="E614">
        <v>0</v>
      </c>
      <c r="F614" s="3">
        <v>2670.6215999999999</v>
      </c>
      <c r="G614" s="2">
        <v>0.37</v>
      </c>
      <c r="H614" s="3">
        <v>0</v>
      </c>
      <c r="I614" s="1">
        <v>45819</v>
      </c>
      <c r="J614" s="4" t="s">
        <v>9</v>
      </c>
      <c r="K614" s="4" t="s">
        <v>12</v>
      </c>
      <c r="L614" s="3">
        <v>-173.83</v>
      </c>
      <c r="M614" s="4" t="s">
        <v>1255</v>
      </c>
      <c r="N614" s="3">
        <v>0</v>
      </c>
    </row>
    <row r="615" spans="1:14" x14ac:dyDescent="0.35">
      <c r="A615">
        <v>1532</v>
      </c>
      <c r="B615" s="4" t="s">
        <v>254</v>
      </c>
      <c r="C615" s="4" t="s">
        <v>80</v>
      </c>
      <c r="D615" s="4" t="s">
        <v>37</v>
      </c>
      <c r="E615">
        <v>0</v>
      </c>
      <c r="F615" s="3">
        <v>2670.6215999999999</v>
      </c>
      <c r="G615" s="2">
        <v>0.33</v>
      </c>
      <c r="H615" s="3">
        <v>0</v>
      </c>
      <c r="I615" s="1">
        <v>45167</v>
      </c>
      <c r="J615" s="4" t="s">
        <v>11</v>
      </c>
      <c r="K615" s="4" t="s">
        <v>12</v>
      </c>
      <c r="L615" s="3">
        <v>2512.66</v>
      </c>
      <c r="M615" s="4" t="s">
        <v>1255</v>
      </c>
      <c r="N615" s="3">
        <v>0</v>
      </c>
    </row>
    <row r="616" spans="1:14" hidden="1" x14ac:dyDescent="0.35">
      <c r="A616">
        <v>1533</v>
      </c>
      <c r="B616" s="4" t="s">
        <v>60</v>
      </c>
      <c r="C616" s="4" t="s">
        <v>173</v>
      </c>
      <c r="D616" s="4" t="s">
        <v>31</v>
      </c>
      <c r="E616">
        <v>0</v>
      </c>
      <c r="F616" s="3">
        <v>3965.94</v>
      </c>
      <c r="G616" s="2">
        <v>0.64808801213960499</v>
      </c>
      <c r="H616" s="3">
        <v>0</v>
      </c>
      <c r="I616" s="1">
        <v>45637</v>
      </c>
      <c r="J616" s="4" t="s">
        <v>11</v>
      </c>
      <c r="K616" s="4" t="s">
        <v>40</v>
      </c>
      <c r="L616" s="3">
        <v>-759.07</v>
      </c>
      <c r="M616" s="4" t="s">
        <v>1255</v>
      </c>
      <c r="N616" s="3">
        <v>0</v>
      </c>
    </row>
    <row r="617" spans="1:14" x14ac:dyDescent="0.35">
      <c r="A617">
        <v>1534</v>
      </c>
      <c r="B617" s="4" t="s">
        <v>654</v>
      </c>
      <c r="C617" s="4" t="s">
        <v>446</v>
      </c>
      <c r="D617" s="4" t="s">
        <v>28</v>
      </c>
      <c r="E617">
        <v>0</v>
      </c>
      <c r="F617" s="3">
        <v>2670.6215999999999</v>
      </c>
      <c r="G617" s="2">
        <v>0.64808801213960499</v>
      </c>
      <c r="H617" s="3">
        <v>0</v>
      </c>
      <c r="I617" s="1">
        <v>45772</v>
      </c>
      <c r="J617" s="4" t="s">
        <v>7</v>
      </c>
      <c r="K617" s="4" t="s">
        <v>12</v>
      </c>
      <c r="L617" s="3">
        <v>-836.06</v>
      </c>
      <c r="M617" s="4" t="s">
        <v>1255</v>
      </c>
      <c r="N617" s="3">
        <v>0</v>
      </c>
    </row>
    <row r="618" spans="1:14" hidden="1" x14ac:dyDescent="0.35">
      <c r="A618">
        <v>1535</v>
      </c>
      <c r="B618" s="4" t="s">
        <v>655</v>
      </c>
      <c r="C618" s="4" t="s">
        <v>656</v>
      </c>
      <c r="D618" s="4" t="s">
        <v>35</v>
      </c>
      <c r="E618">
        <v>0</v>
      </c>
      <c r="F618" s="3">
        <v>720.35</v>
      </c>
      <c r="G618" s="2">
        <v>0.64808801213960499</v>
      </c>
      <c r="H618" s="3">
        <v>0</v>
      </c>
      <c r="I618" s="1">
        <v>45282</v>
      </c>
      <c r="J618" s="4" t="s">
        <v>18</v>
      </c>
      <c r="K618" s="4" t="s">
        <v>40</v>
      </c>
      <c r="L618" s="3">
        <v>1359.17</v>
      </c>
      <c r="M618" s="4" t="s">
        <v>1255</v>
      </c>
      <c r="N618" s="3">
        <v>0</v>
      </c>
    </row>
    <row r="619" spans="1:14" x14ac:dyDescent="0.35">
      <c r="A619">
        <v>1536</v>
      </c>
      <c r="B619" s="4" t="s">
        <v>60</v>
      </c>
      <c r="C619" s="4" t="s">
        <v>657</v>
      </c>
      <c r="D619" s="4" t="s">
        <v>31</v>
      </c>
      <c r="E619">
        <v>1</v>
      </c>
      <c r="F619" s="3">
        <v>2669.364</v>
      </c>
      <c r="G619" s="2">
        <v>0.64808801213960499</v>
      </c>
      <c r="H619" s="3">
        <v>0</v>
      </c>
      <c r="I619" s="1">
        <v>45790</v>
      </c>
      <c r="J619" s="4" t="s">
        <v>7</v>
      </c>
      <c r="K619" s="4" t="s">
        <v>12</v>
      </c>
      <c r="L619" s="3">
        <v>1966.62</v>
      </c>
      <c r="M619" s="4" t="s">
        <v>1255</v>
      </c>
      <c r="N619" s="3">
        <v>2669.364</v>
      </c>
    </row>
    <row r="620" spans="1:14" hidden="1" x14ac:dyDescent="0.35">
      <c r="A620">
        <v>1537</v>
      </c>
      <c r="B620" s="4" t="s">
        <v>130</v>
      </c>
      <c r="C620" s="4" t="s">
        <v>658</v>
      </c>
      <c r="D620" s="4" t="s">
        <v>32</v>
      </c>
      <c r="E620">
        <v>-1</v>
      </c>
      <c r="F620" s="3">
        <v>2671.2581</v>
      </c>
      <c r="G620" s="2">
        <v>0.9</v>
      </c>
      <c r="H620" s="3">
        <v>0</v>
      </c>
      <c r="I620" s="1">
        <v>45790</v>
      </c>
      <c r="J620" s="4" t="s">
        <v>18</v>
      </c>
      <c r="K620" s="4" t="s">
        <v>40</v>
      </c>
      <c r="L620" s="3">
        <v>68.260000000000005</v>
      </c>
      <c r="M620" s="4" t="s">
        <v>1255</v>
      </c>
      <c r="N620" s="3">
        <v>-2671.2581</v>
      </c>
    </row>
    <row r="621" spans="1:14" x14ac:dyDescent="0.35">
      <c r="A621">
        <v>1538</v>
      </c>
      <c r="B621" s="4" t="s">
        <v>659</v>
      </c>
      <c r="C621" s="4" t="s">
        <v>488</v>
      </c>
      <c r="D621" s="4" t="s">
        <v>31</v>
      </c>
      <c r="E621">
        <v>0</v>
      </c>
      <c r="F621" s="3">
        <v>4767.6099999999997</v>
      </c>
      <c r="G621" s="2">
        <v>0.01</v>
      </c>
      <c r="H621" s="3">
        <v>0</v>
      </c>
      <c r="I621" s="1">
        <v>45790</v>
      </c>
      <c r="J621" s="4" t="s">
        <v>9</v>
      </c>
      <c r="K621" s="4" t="s">
        <v>12</v>
      </c>
      <c r="L621" s="3">
        <v>-956.8</v>
      </c>
      <c r="M621" s="4" t="s">
        <v>1255</v>
      </c>
      <c r="N621" s="3">
        <v>0</v>
      </c>
    </row>
    <row r="622" spans="1:14" hidden="1" x14ac:dyDescent="0.35">
      <c r="A622">
        <v>1539</v>
      </c>
      <c r="B622" s="4" t="s">
        <v>660</v>
      </c>
      <c r="C622" s="4" t="s">
        <v>80</v>
      </c>
      <c r="D622" s="4" t="s">
        <v>21</v>
      </c>
      <c r="E622">
        <v>0</v>
      </c>
      <c r="F622" s="3">
        <v>2891.64</v>
      </c>
      <c r="G622" s="2">
        <v>0.64867579908675799</v>
      </c>
      <c r="H622" s="3">
        <v>0</v>
      </c>
      <c r="I622" s="1">
        <v>45790</v>
      </c>
      <c r="J622" s="4" t="s">
        <v>11</v>
      </c>
      <c r="K622" s="4" t="s">
        <v>40</v>
      </c>
      <c r="L622" s="3">
        <v>2309.23</v>
      </c>
      <c r="M622" s="4" t="s">
        <v>1255</v>
      </c>
      <c r="N622" s="3">
        <v>0</v>
      </c>
    </row>
    <row r="623" spans="1:14" hidden="1" x14ac:dyDescent="0.35">
      <c r="A623">
        <v>1540</v>
      </c>
      <c r="B623" s="4" t="s">
        <v>661</v>
      </c>
      <c r="C623" s="4" t="s">
        <v>662</v>
      </c>
      <c r="D623" s="4" t="s">
        <v>10</v>
      </c>
      <c r="E623">
        <v>0</v>
      </c>
      <c r="F623" s="3">
        <v>2669.2188999999998</v>
      </c>
      <c r="G623" s="2">
        <v>0.64867579908675799</v>
      </c>
      <c r="H623" s="3">
        <v>0</v>
      </c>
      <c r="I623" s="1">
        <v>45663</v>
      </c>
      <c r="J623" s="4" t="s">
        <v>9</v>
      </c>
      <c r="K623" s="4" t="s">
        <v>40</v>
      </c>
      <c r="L623" s="3">
        <v>815.28</v>
      </c>
      <c r="M623" s="4" t="s">
        <v>1255</v>
      </c>
      <c r="N623" s="3">
        <v>0</v>
      </c>
    </row>
    <row r="624" spans="1:14" x14ac:dyDescent="0.35">
      <c r="A624">
        <v>1541</v>
      </c>
      <c r="B624" s="4" t="s">
        <v>121</v>
      </c>
      <c r="C624" s="4" t="s">
        <v>663</v>
      </c>
      <c r="D624" s="4" t="s">
        <v>35</v>
      </c>
      <c r="E624">
        <v>0</v>
      </c>
      <c r="F624" s="3">
        <v>2989.4</v>
      </c>
      <c r="G624" s="2">
        <v>0.64867579908675799</v>
      </c>
      <c r="H624" s="3">
        <v>0</v>
      </c>
      <c r="I624" s="1">
        <v>45745</v>
      </c>
      <c r="J624" s="4" t="s">
        <v>11</v>
      </c>
      <c r="K624" s="4" t="s">
        <v>8</v>
      </c>
      <c r="L624" s="3">
        <v>-530.72</v>
      </c>
      <c r="M624" s="4" t="s">
        <v>1255</v>
      </c>
      <c r="N624" s="3">
        <v>0</v>
      </c>
    </row>
    <row r="625" spans="1:14" hidden="1" x14ac:dyDescent="0.35">
      <c r="A625">
        <v>1542</v>
      </c>
      <c r="B625" s="4" t="s">
        <v>56</v>
      </c>
      <c r="C625" s="4" t="s">
        <v>664</v>
      </c>
      <c r="D625" s="4" t="s">
        <v>27</v>
      </c>
      <c r="E625">
        <v>1</v>
      </c>
      <c r="F625" s="3">
        <v>2044.17</v>
      </c>
      <c r="G625" s="2">
        <v>0.64867579908675799</v>
      </c>
      <c r="H625" s="3">
        <v>0</v>
      </c>
      <c r="I625" s="1">
        <v>45745</v>
      </c>
      <c r="J625" s="4" t="s">
        <v>20</v>
      </c>
      <c r="K625" s="4" t="s">
        <v>40</v>
      </c>
      <c r="L625" s="3">
        <v>-798.37</v>
      </c>
      <c r="M625" s="4" t="s">
        <v>1255</v>
      </c>
      <c r="N625" s="3">
        <v>2044.17</v>
      </c>
    </row>
    <row r="626" spans="1:14" x14ac:dyDescent="0.35">
      <c r="A626">
        <v>1543</v>
      </c>
      <c r="B626" s="4" t="s">
        <v>274</v>
      </c>
      <c r="C626" s="4" t="s">
        <v>429</v>
      </c>
      <c r="D626" s="4" t="s">
        <v>31</v>
      </c>
      <c r="E626">
        <v>1</v>
      </c>
      <c r="F626" s="3">
        <v>4440.24</v>
      </c>
      <c r="G626" s="2">
        <v>0.32</v>
      </c>
      <c r="H626" s="3">
        <v>3019.36</v>
      </c>
      <c r="I626" s="1">
        <v>45745</v>
      </c>
      <c r="J626" s="4" t="s">
        <v>9</v>
      </c>
      <c r="K626" s="4" t="s">
        <v>12</v>
      </c>
      <c r="L626" s="3">
        <v>1884.06</v>
      </c>
      <c r="M626" s="4" t="s">
        <v>1256</v>
      </c>
      <c r="N626" s="3">
        <v>4440.24</v>
      </c>
    </row>
    <row r="627" spans="1:14" hidden="1" x14ac:dyDescent="0.35">
      <c r="A627">
        <v>1544</v>
      </c>
      <c r="B627" s="4" t="s">
        <v>292</v>
      </c>
      <c r="C627" s="4" t="s">
        <v>665</v>
      </c>
      <c r="D627" s="4" t="s">
        <v>24</v>
      </c>
      <c r="E627">
        <v>6</v>
      </c>
      <c r="F627" s="3">
        <v>2669.2993000000001</v>
      </c>
      <c r="G627" s="2">
        <v>0.64917682926829201</v>
      </c>
      <c r="H627" s="3">
        <v>0</v>
      </c>
      <c r="I627" s="1">
        <v>45745</v>
      </c>
      <c r="J627" s="4" t="s">
        <v>18</v>
      </c>
      <c r="K627" s="4" t="s">
        <v>40</v>
      </c>
      <c r="L627" s="3">
        <v>87.47</v>
      </c>
      <c r="M627" s="4" t="s">
        <v>1255</v>
      </c>
      <c r="N627" s="3">
        <v>16015.7958</v>
      </c>
    </row>
    <row r="628" spans="1:14" x14ac:dyDescent="0.35">
      <c r="A628">
        <v>1545</v>
      </c>
      <c r="B628" s="4" t="s">
        <v>468</v>
      </c>
      <c r="C628" s="4" t="s">
        <v>666</v>
      </c>
      <c r="D628" s="4" t="s">
        <v>17</v>
      </c>
      <c r="E628">
        <v>1</v>
      </c>
      <c r="F628" s="3">
        <v>2667.5699</v>
      </c>
      <c r="G628" s="2">
        <v>0.64917682926829201</v>
      </c>
      <c r="H628" s="3">
        <v>0</v>
      </c>
      <c r="I628" s="1">
        <v>45827</v>
      </c>
      <c r="J628" s="4" t="s">
        <v>23</v>
      </c>
      <c r="K628" s="4" t="s">
        <v>12</v>
      </c>
      <c r="L628" s="3">
        <v>2526.29</v>
      </c>
      <c r="M628" s="4" t="s">
        <v>1255</v>
      </c>
      <c r="N628" s="3">
        <v>2667.5699</v>
      </c>
    </row>
    <row r="629" spans="1:14" hidden="1" x14ac:dyDescent="0.35">
      <c r="A629">
        <v>1546</v>
      </c>
      <c r="B629" s="4" t="s">
        <v>328</v>
      </c>
      <c r="C629" s="4" t="s">
        <v>407</v>
      </c>
      <c r="D629" s="4" t="s">
        <v>37</v>
      </c>
      <c r="E629">
        <v>0</v>
      </c>
      <c r="F629" s="3">
        <v>2667.5699</v>
      </c>
      <c r="G629" s="2">
        <v>0.64917682926829201</v>
      </c>
      <c r="H629" s="3">
        <v>0</v>
      </c>
      <c r="I629" s="1">
        <v>45538</v>
      </c>
      <c r="J629" s="4" t="s">
        <v>9</v>
      </c>
      <c r="K629" s="4" t="s">
        <v>40</v>
      </c>
      <c r="L629" s="3">
        <v>1978.16</v>
      </c>
      <c r="M629" s="4" t="s">
        <v>1255</v>
      </c>
      <c r="N629" s="3">
        <v>0</v>
      </c>
    </row>
    <row r="630" spans="1:14" x14ac:dyDescent="0.35">
      <c r="A630">
        <v>1547</v>
      </c>
      <c r="B630" s="4" t="s">
        <v>472</v>
      </c>
      <c r="C630" s="4" t="s">
        <v>261</v>
      </c>
      <c r="D630" s="4" t="s">
        <v>24</v>
      </c>
      <c r="E630">
        <v>6</v>
      </c>
      <c r="F630" s="3">
        <v>2667.5699</v>
      </c>
      <c r="G630" s="2">
        <v>0.95</v>
      </c>
      <c r="H630" s="3">
        <v>0</v>
      </c>
      <c r="I630" s="1">
        <v>45792</v>
      </c>
      <c r="J630" s="4" t="s">
        <v>20</v>
      </c>
      <c r="K630" s="4" t="s">
        <v>12</v>
      </c>
      <c r="L630" s="3">
        <v>1018.03</v>
      </c>
      <c r="M630" s="4" t="s">
        <v>1255</v>
      </c>
      <c r="N630" s="3">
        <v>16005.419400000001</v>
      </c>
    </row>
    <row r="631" spans="1:14" x14ac:dyDescent="0.35">
      <c r="A631">
        <v>1548</v>
      </c>
      <c r="B631" s="4" t="s">
        <v>164</v>
      </c>
      <c r="C631" s="4" t="s">
        <v>293</v>
      </c>
      <c r="D631" s="4" t="s">
        <v>27</v>
      </c>
      <c r="E631">
        <v>0</v>
      </c>
      <c r="F631" s="3">
        <v>2273.15</v>
      </c>
      <c r="G631" s="2">
        <v>0.64871755725190805</v>
      </c>
      <c r="H631" s="3">
        <v>0</v>
      </c>
      <c r="I631" s="1">
        <v>45792</v>
      </c>
      <c r="J631" s="4" t="s">
        <v>9</v>
      </c>
      <c r="K631" s="4" t="s">
        <v>8</v>
      </c>
      <c r="L631" s="3">
        <v>-701.47</v>
      </c>
      <c r="M631" s="4" t="s">
        <v>1255</v>
      </c>
      <c r="N631" s="3">
        <v>0</v>
      </c>
    </row>
    <row r="632" spans="1:14" hidden="1" x14ac:dyDescent="0.35">
      <c r="A632">
        <v>1549</v>
      </c>
      <c r="B632" s="4" t="s">
        <v>667</v>
      </c>
      <c r="C632" s="4" t="s">
        <v>495</v>
      </c>
      <c r="D632" s="4" t="s">
        <v>19</v>
      </c>
      <c r="E632">
        <v>0</v>
      </c>
      <c r="F632" s="3">
        <v>2465.23</v>
      </c>
      <c r="G632" s="2">
        <v>0.42</v>
      </c>
      <c r="H632" s="3">
        <v>0</v>
      </c>
      <c r="I632" s="1">
        <v>45792</v>
      </c>
      <c r="J632" s="4" t="s">
        <v>18</v>
      </c>
      <c r="K632" s="4" t="s">
        <v>40</v>
      </c>
      <c r="L632" s="3">
        <v>256.3</v>
      </c>
      <c r="M632" s="4" t="s">
        <v>1255</v>
      </c>
      <c r="N632" s="3">
        <v>0</v>
      </c>
    </row>
    <row r="633" spans="1:14" x14ac:dyDescent="0.35">
      <c r="A633">
        <v>1550</v>
      </c>
      <c r="B633" s="4" t="s">
        <v>430</v>
      </c>
      <c r="C633" s="4" t="s">
        <v>668</v>
      </c>
      <c r="D633" s="4" t="s">
        <v>34</v>
      </c>
      <c r="E633">
        <v>1</v>
      </c>
      <c r="F633" s="3">
        <v>2667.9553999999998</v>
      </c>
      <c r="G633" s="2">
        <v>0.1</v>
      </c>
      <c r="H633" s="3">
        <v>0</v>
      </c>
      <c r="I633" s="1">
        <v>45566</v>
      </c>
      <c r="J633" s="4" t="s">
        <v>20</v>
      </c>
      <c r="K633" s="4" t="s">
        <v>8</v>
      </c>
      <c r="L633" s="3">
        <v>2195.27</v>
      </c>
      <c r="M633" s="4" t="s">
        <v>1255</v>
      </c>
      <c r="N633" s="3">
        <v>2667.9553999999998</v>
      </c>
    </row>
    <row r="634" spans="1:14" x14ac:dyDescent="0.35">
      <c r="A634">
        <v>1551</v>
      </c>
      <c r="B634" s="4" t="s">
        <v>669</v>
      </c>
      <c r="C634" s="4" t="s">
        <v>670</v>
      </c>
      <c r="D634" s="4" t="s">
        <v>34</v>
      </c>
      <c r="E634">
        <v>0</v>
      </c>
      <c r="F634" s="3">
        <v>2656.77</v>
      </c>
      <c r="G634" s="2">
        <v>1.05</v>
      </c>
      <c r="H634" s="3">
        <v>0</v>
      </c>
      <c r="I634" s="1">
        <v>45566</v>
      </c>
      <c r="J634" s="4" t="s">
        <v>11</v>
      </c>
      <c r="K634" s="4" t="s">
        <v>8</v>
      </c>
      <c r="L634" s="3">
        <v>2293.08</v>
      </c>
      <c r="M634" s="4" t="s">
        <v>1255</v>
      </c>
      <c r="N634" s="3">
        <v>0</v>
      </c>
    </row>
    <row r="635" spans="1:14" hidden="1" x14ac:dyDescent="0.35">
      <c r="A635">
        <v>1552</v>
      </c>
      <c r="B635" s="4" t="s">
        <v>328</v>
      </c>
      <c r="C635" s="4" t="s">
        <v>671</v>
      </c>
      <c r="D635" s="4" t="s">
        <v>38</v>
      </c>
      <c r="E635">
        <v>0</v>
      </c>
      <c r="F635" s="3">
        <v>883.76</v>
      </c>
      <c r="G635" s="2">
        <v>0.64929447852760702</v>
      </c>
      <c r="H635" s="3">
        <v>0</v>
      </c>
      <c r="I635" s="1">
        <v>45566</v>
      </c>
      <c r="J635" s="4" t="s">
        <v>9</v>
      </c>
      <c r="K635" s="4" t="s">
        <v>40</v>
      </c>
      <c r="L635" s="3">
        <v>-572.62</v>
      </c>
      <c r="M635" s="4" t="s">
        <v>1255</v>
      </c>
      <c r="N635" s="3">
        <v>0</v>
      </c>
    </row>
    <row r="636" spans="1:14" x14ac:dyDescent="0.35">
      <c r="A636">
        <v>1553</v>
      </c>
      <c r="B636" s="4" t="s">
        <v>672</v>
      </c>
      <c r="C636" s="4" t="s">
        <v>57</v>
      </c>
      <c r="D636" s="4" t="s">
        <v>14</v>
      </c>
      <c r="E636">
        <v>1</v>
      </c>
      <c r="F636" s="3">
        <v>2668.1649000000002</v>
      </c>
      <c r="G636" s="2">
        <v>0.64929447852760702</v>
      </c>
      <c r="H636" s="3">
        <v>0</v>
      </c>
      <c r="I636" s="1">
        <v>45566</v>
      </c>
      <c r="J636" s="4" t="s">
        <v>23</v>
      </c>
      <c r="K636" s="4" t="s">
        <v>8</v>
      </c>
      <c r="L636" s="3">
        <v>2824.43</v>
      </c>
      <c r="M636" s="4" t="s">
        <v>1255</v>
      </c>
      <c r="N636" s="3">
        <v>2668.1649000000002</v>
      </c>
    </row>
    <row r="637" spans="1:14" hidden="1" x14ac:dyDescent="0.35">
      <c r="A637">
        <v>1554</v>
      </c>
      <c r="B637" s="4" t="s">
        <v>673</v>
      </c>
      <c r="C637" s="4" t="s">
        <v>309</v>
      </c>
      <c r="D637" s="4" t="s">
        <v>13</v>
      </c>
      <c r="E637">
        <v>0</v>
      </c>
      <c r="F637" s="3">
        <v>2345.71</v>
      </c>
      <c r="G637" s="2">
        <v>0.64929447852760702</v>
      </c>
      <c r="H637" s="3">
        <v>0</v>
      </c>
      <c r="I637" s="1">
        <v>45769</v>
      </c>
      <c r="J637" s="4" t="s">
        <v>20</v>
      </c>
      <c r="K637" s="4" t="s">
        <v>40</v>
      </c>
      <c r="L637" s="3">
        <v>2041.71</v>
      </c>
      <c r="M637" s="4" t="s">
        <v>1255</v>
      </c>
      <c r="N637" s="3">
        <v>0</v>
      </c>
    </row>
    <row r="638" spans="1:14" x14ac:dyDescent="0.35">
      <c r="A638">
        <v>1555</v>
      </c>
      <c r="B638" s="4" t="s">
        <v>646</v>
      </c>
      <c r="C638" s="4" t="s">
        <v>674</v>
      </c>
      <c r="D638" s="4" t="s">
        <v>14</v>
      </c>
      <c r="E638">
        <v>0</v>
      </c>
      <c r="F638" s="3">
        <v>2669.9142999999999</v>
      </c>
      <c r="G638" s="2">
        <v>0.64929447852760702</v>
      </c>
      <c r="H638" s="3">
        <v>0</v>
      </c>
      <c r="I638" s="1">
        <v>45769</v>
      </c>
      <c r="J638" s="4" t="s">
        <v>18</v>
      </c>
      <c r="K638" s="4" t="s">
        <v>8</v>
      </c>
      <c r="L638" s="3">
        <v>312.38</v>
      </c>
      <c r="M638" s="4" t="s">
        <v>1255</v>
      </c>
      <c r="N638" s="3">
        <v>0</v>
      </c>
    </row>
    <row r="639" spans="1:14" x14ac:dyDescent="0.35">
      <c r="A639">
        <v>1556</v>
      </c>
      <c r="B639" s="4" t="s">
        <v>244</v>
      </c>
      <c r="C639" s="4" t="s">
        <v>675</v>
      </c>
      <c r="D639" s="4" t="s">
        <v>16</v>
      </c>
      <c r="E639">
        <v>0</v>
      </c>
      <c r="F639" s="3">
        <v>453.92</v>
      </c>
      <c r="G639" s="2">
        <v>0.64929447852760702</v>
      </c>
      <c r="H639" s="3">
        <v>0</v>
      </c>
      <c r="I639" s="1">
        <v>45628</v>
      </c>
      <c r="J639" s="4" t="s">
        <v>18</v>
      </c>
      <c r="K639" s="4" t="s">
        <v>12</v>
      </c>
      <c r="L639" s="3">
        <v>2308.0100000000002</v>
      </c>
      <c r="M639" s="4" t="s">
        <v>1255</v>
      </c>
      <c r="N639" s="3">
        <v>0</v>
      </c>
    </row>
    <row r="640" spans="1:14" x14ac:dyDescent="0.35">
      <c r="A640">
        <v>1557</v>
      </c>
      <c r="B640" s="4" t="s">
        <v>183</v>
      </c>
      <c r="C640" s="4" t="s">
        <v>293</v>
      </c>
      <c r="D640" s="4" t="s">
        <v>10</v>
      </c>
      <c r="E640">
        <v>0</v>
      </c>
      <c r="F640" s="3">
        <v>4402.3999999999996</v>
      </c>
      <c r="G640" s="2">
        <v>0.64929447852760702</v>
      </c>
      <c r="H640" s="3">
        <v>0</v>
      </c>
      <c r="I640" s="1">
        <v>45669</v>
      </c>
      <c r="J640" s="4" t="s">
        <v>23</v>
      </c>
      <c r="K640" s="4" t="s">
        <v>8</v>
      </c>
      <c r="L640" s="3">
        <v>-594.21</v>
      </c>
      <c r="M640" s="4" t="s">
        <v>1255</v>
      </c>
      <c r="N640" s="3">
        <v>0</v>
      </c>
    </row>
    <row r="641" spans="1:14" hidden="1" x14ac:dyDescent="0.35">
      <c r="A641">
        <v>1558</v>
      </c>
      <c r="B641" s="4" t="s">
        <v>113</v>
      </c>
      <c r="C641" s="4" t="s">
        <v>61</v>
      </c>
      <c r="D641" s="4" t="s">
        <v>28</v>
      </c>
      <c r="E641">
        <v>-2</v>
      </c>
      <c r="F641" s="3">
        <v>2672.4096</v>
      </c>
      <c r="G641" s="2">
        <v>0.64929447852760702</v>
      </c>
      <c r="H641" s="3">
        <v>0</v>
      </c>
      <c r="I641" s="1">
        <v>45273</v>
      </c>
      <c r="J641" s="4" t="s">
        <v>20</v>
      </c>
      <c r="K641" s="4" t="s">
        <v>40</v>
      </c>
      <c r="L641" s="3">
        <v>300.17</v>
      </c>
      <c r="M641" s="4" t="s">
        <v>1255</v>
      </c>
      <c r="N641" s="3">
        <v>-5344.8191999999999</v>
      </c>
    </row>
    <row r="642" spans="1:14" x14ac:dyDescent="0.35">
      <c r="A642">
        <v>1559</v>
      </c>
      <c r="B642" s="4" t="s">
        <v>167</v>
      </c>
      <c r="C642" s="4" t="s">
        <v>221</v>
      </c>
      <c r="D642" s="4" t="s">
        <v>34</v>
      </c>
      <c r="E642">
        <v>0</v>
      </c>
      <c r="F642" s="3">
        <v>2670.7085000000002</v>
      </c>
      <c r="G642" s="2">
        <v>0.09</v>
      </c>
      <c r="H642" s="3">
        <v>0</v>
      </c>
      <c r="I642" s="1">
        <v>45273</v>
      </c>
      <c r="J642" s="4" t="s">
        <v>11</v>
      </c>
      <c r="K642" s="4" t="s">
        <v>8</v>
      </c>
      <c r="L642" s="3">
        <v>-548.17999999999995</v>
      </c>
      <c r="M642" s="4" t="s">
        <v>1255</v>
      </c>
      <c r="N642" s="3">
        <v>0</v>
      </c>
    </row>
    <row r="643" spans="1:14" x14ac:dyDescent="0.35">
      <c r="A643">
        <v>1560</v>
      </c>
      <c r="B643" s="4" t="s">
        <v>274</v>
      </c>
      <c r="C643" s="4" t="s">
        <v>676</v>
      </c>
      <c r="D643" s="4" t="s">
        <v>35</v>
      </c>
      <c r="E643">
        <v>0</v>
      </c>
      <c r="F643" s="3">
        <v>2670.7085000000002</v>
      </c>
      <c r="G643" s="2">
        <v>0.71</v>
      </c>
      <c r="H643" s="3">
        <v>0</v>
      </c>
      <c r="I643" s="1">
        <v>45671</v>
      </c>
      <c r="J643" s="4" t="s">
        <v>23</v>
      </c>
      <c r="K643" s="4" t="s">
        <v>12</v>
      </c>
      <c r="L643" s="3">
        <v>574.85</v>
      </c>
      <c r="M643" s="4" t="s">
        <v>1255</v>
      </c>
      <c r="N643" s="3">
        <v>0</v>
      </c>
    </row>
    <row r="644" spans="1:14" hidden="1" x14ac:dyDescent="0.35">
      <c r="A644">
        <v>1561</v>
      </c>
      <c r="B644" s="4" t="s">
        <v>359</v>
      </c>
      <c r="C644" s="4" t="s">
        <v>82</v>
      </c>
      <c r="D644" s="4" t="s">
        <v>22</v>
      </c>
      <c r="E644">
        <v>4</v>
      </c>
      <c r="F644" s="3">
        <v>2670.7085000000002</v>
      </c>
      <c r="G644" s="2">
        <v>0.65006153846153802</v>
      </c>
      <c r="H644" s="3">
        <v>0</v>
      </c>
      <c r="I644" s="1">
        <v>45668</v>
      </c>
      <c r="J644" s="4" t="s">
        <v>7</v>
      </c>
      <c r="K644" s="4" t="s">
        <v>40</v>
      </c>
      <c r="L644" s="3">
        <v>2513.2399999999998</v>
      </c>
      <c r="M644" s="4" t="s">
        <v>1255</v>
      </c>
      <c r="N644" s="3">
        <v>10682.834000000001</v>
      </c>
    </row>
    <row r="645" spans="1:14" x14ac:dyDescent="0.35">
      <c r="A645">
        <v>1562</v>
      </c>
      <c r="B645" s="4" t="s">
        <v>139</v>
      </c>
      <c r="C645" s="4" t="s">
        <v>92</v>
      </c>
      <c r="D645" s="4" t="s">
        <v>35</v>
      </c>
      <c r="E645">
        <v>0</v>
      </c>
      <c r="F645" s="3">
        <v>2670.7085000000002</v>
      </c>
      <c r="G645" s="2">
        <v>0.65006153846153802</v>
      </c>
      <c r="H645" s="3">
        <v>0</v>
      </c>
      <c r="I645" s="1">
        <v>45668</v>
      </c>
      <c r="J645" s="4" t="s">
        <v>23</v>
      </c>
      <c r="K645" s="4" t="s">
        <v>12</v>
      </c>
      <c r="L645" s="3">
        <v>930.14</v>
      </c>
      <c r="M645" s="4" t="s">
        <v>1255</v>
      </c>
      <c r="N645" s="3">
        <v>0</v>
      </c>
    </row>
    <row r="646" spans="1:14" hidden="1" x14ac:dyDescent="0.35">
      <c r="A646">
        <v>1563</v>
      </c>
      <c r="B646" s="4" t="s">
        <v>677</v>
      </c>
      <c r="C646" s="4" t="s">
        <v>149</v>
      </c>
      <c r="D646" s="4" t="s">
        <v>24</v>
      </c>
      <c r="E646">
        <v>5</v>
      </c>
      <c r="F646" s="3">
        <v>1571.12</v>
      </c>
      <c r="G646" s="2">
        <v>0.65</v>
      </c>
      <c r="H646" s="3">
        <v>2749.46</v>
      </c>
      <c r="I646" s="1">
        <v>45668</v>
      </c>
      <c r="J646" s="4" t="s">
        <v>9</v>
      </c>
      <c r="K646" s="4" t="s">
        <v>40</v>
      </c>
      <c r="L646" s="3">
        <v>103.28</v>
      </c>
      <c r="M646" s="4" t="s">
        <v>1256</v>
      </c>
      <c r="N646" s="3">
        <v>7855.6</v>
      </c>
    </row>
    <row r="647" spans="1:14" x14ac:dyDescent="0.35">
      <c r="A647">
        <v>1564</v>
      </c>
      <c r="B647" s="4" t="s">
        <v>422</v>
      </c>
      <c r="C647" s="4" t="s">
        <v>102</v>
      </c>
      <c r="D647" s="4" t="s">
        <v>16</v>
      </c>
      <c r="E647">
        <v>2</v>
      </c>
      <c r="F647" s="3">
        <v>2670.7085000000002</v>
      </c>
      <c r="G647" s="2">
        <v>0.67</v>
      </c>
      <c r="H647" s="3">
        <v>0</v>
      </c>
      <c r="I647" s="1">
        <v>45668</v>
      </c>
      <c r="J647" s="4" t="s">
        <v>20</v>
      </c>
      <c r="K647" s="4" t="s">
        <v>8</v>
      </c>
      <c r="L647" s="3">
        <v>-953.17</v>
      </c>
      <c r="M647" s="4" t="s">
        <v>1255</v>
      </c>
      <c r="N647" s="3">
        <v>5341.4170000000004</v>
      </c>
    </row>
    <row r="648" spans="1:14" x14ac:dyDescent="0.35">
      <c r="A648">
        <v>1565</v>
      </c>
      <c r="B648" s="4" t="s">
        <v>252</v>
      </c>
      <c r="C648" s="4" t="s">
        <v>142</v>
      </c>
      <c r="D648" s="4" t="s">
        <v>35</v>
      </c>
      <c r="E648">
        <v>0</v>
      </c>
      <c r="F648" s="3">
        <v>1867.24</v>
      </c>
      <c r="G648" s="2">
        <v>0.19</v>
      </c>
      <c r="H648" s="3">
        <v>0</v>
      </c>
      <c r="I648" s="1">
        <v>45781</v>
      </c>
      <c r="J648" s="4" t="s">
        <v>20</v>
      </c>
      <c r="K648" s="4" t="s">
        <v>12</v>
      </c>
      <c r="L648" s="3">
        <v>784.96</v>
      </c>
      <c r="M648" s="4" t="s">
        <v>1255</v>
      </c>
      <c r="N648" s="3">
        <v>0</v>
      </c>
    </row>
    <row r="649" spans="1:14" x14ac:dyDescent="0.35">
      <c r="A649">
        <v>1566</v>
      </c>
      <c r="B649" s="4" t="s">
        <v>678</v>
      </c>
      <c r="C649" s="4" t="s">
        <v>293</v>
      </c>
      <c r="D649" s="4" t="s">
        <v>10</v>
      </c>
      <c r="E649">
        <v>0</v>
      </c>
      <c r="F649" s="3">
        <v>1696.72</v>
      </c>
      <c r="G649" s="2">
        <v>0.65074188562596602</v>
      </c>
      <c r="H649" s="3">
        <v>0</v>
      </c>
      <c r="I649" s="1">
        <v>45516</v>
      </c>
      <c r="J649" s="4" t="s">
        <v>9</v>
      </c>
      <c r="K649" s="4" t="s">
        <v>12</v>
      </c>
      <c r="L649" s="3">
        <v>953.07</v>
      </c>
      <c r="M649" s="4" t="s">
        <v>1255</v>
      </c>
      <c r="N649" s="3">
        <v>0</v>
      </c>
    </row>
    <row r="650" spans="1:14" hidden="1" x14ac:dyDescent="0.35">
      <c r="A650">
        <v>1567</v>
      </c>
      <c r="B650" s="4" t="s">
        <v>679</v>
      </c>
      <c r="C650" s="4" t="s">
        <v>680</v>
      </c>
      <c r="D650" s="4" t="s">
        <v>14</v>
      </c>
      <c r="E650">
        <v>0</v>
      </c>
      <c r="F650" s="3">
        <v>2672.5835000000002</v>
      </c>
      <c r="G650" s="2">
        <v>0.65074188562596602</v>
      </c>
      <c r="H650" s="3">
        <v>0</v>
      </c>
      <c r="I650" s="1">
        <v>45516</v>
      </c>
      <c r="J650" s="4" t="s">
        <v>23</v>
      </c>
      <c r="K650" s="4" t="s">
        <v>40</v>
      </c>
      <c r="L650" s="3">
        <v>2545.25</v>
      </c>
      <c r="M650" s="4" t="s">
        <v>1255</v>
      </c>
      <c r="N650" s="3">
        <v>0</v>
      </c>
    </row>
    <row r="651" spans="1:14" x14ac:dyDescent="0.35">
      <c r="A651">
        <v>1568</v>
      </c>
      <c r="B651" s="4" t="s">
        <v>223</v>
      </c>
      <c r="C651" s="4" t="s">
        <v>681</v>
      </c>
      <c r="D651" s="4" t="s">
        <v>32</v>
      </c>
      <c r="E651">
        <v>6</v>
      </c>
      <c r="F651" s="3">
        <v>2673.5459000000001</v>
      </c>
      <c r="G651" s="2">
        <v>0.65074188562596602</v>
      </c>
      <c r="H651" s="3">
        <v>0</v>
      </c>
      <c r="I651" s="1">
        <v>45516</v>
      </c>
      <c r="J651" s="4" t="s">
        <v>7</v>
      </c>
      <c r="K651" s="4" t="s">
        <v>8</v>
      </c>
      <c r="L651" s="3">
        <v>2403.0100000000002</v>
      </c>
      <c r="M651" s="4" t="s">
        <v>1255</v>
      </c>
      <c r="N651" s="3">
        <v>16041.2754</v>
      </c>
    </row>
    <row r="652" spans="1:14" hidden="1" x14ac:dyDescent="0.35">
      <c r="A652">
        <v>1569</v>
      </c>
      <c r="B652" s="4" t="s">
        <v>164</v>
      </c>
      <c r="C652" s="4" t="s">
        <v>682</v>
      </c>
      <c r="D652" s="4" t="s">
        <v>24</v>
      </c>
      <c r="E652">
        <v>1</v>
      </c>
      <c r="F652" s="3">
        <v>2673.5459000000001</v>
      </c>
      <c r="G652" s="2">
        <v>0.02</v>
      </c>
      <c r="H652" s="3">
        <v>0</v>
      </c>
      <c r="I652" s="1">
        <v>45773</v>
      </c>
      <c r="J652" s="4" t="s">
        <v>9</v>
      </c>
      <c r="K652" s="4" t="s">
        <v>40</v>
      </c>
      <c r="L652" s="3">
        <v>576.66</v>
      </c>
      <c r="M652" s="4" t="s">
        <v>1255</v>
      </c>
      <c r="N652" s="3">
        <v>2673.5459000000001</v>
      </c>
    </row>
    <row r="653" spans="1:14" x14ac:dyDescent="0.35">
      <c r="A653">
        <v>1570</v>
      </c>
      <c r="B653" s="4" t="s">
        <v>167</v>
      </c>
      <c r="C653" s="4" t="s">
        <v>537</v>
      </c>
      <c r="D653" s="4" t="s">
        <v>34</v>
      </c>
      <c r="E653">
        <v>1</v>
      </c>
      <c r="F653" s="3">
        <v>4774.7700000000004</v>
      </c>
      <c r="G653" s="2">
        <v>0.96</v>
      </c>
      <c r="H653" s="3">
        <v>190.99</v>
      </c>
      <c r="I653" s="1">
        <v>45755</v>
      </c>
      <c r="J653" s="4" t="s">
        <v>11</v>
      </c>
      <c r="K653" s="4" t="s">
        <v>8</v>
      </c>
      <c r="L653" s="3">
        <v>-146.16999999999999</v>
      </c>
      <c r="M653" s="4" t="s">
        <v>1256</v>
      </c>
      <c r="N653" s="3">
        <v>4774.7700000000004</v>
      </c>
    </row>
    <row r="654" spans="1:14" x14ac:dyDescent="0.35">
      <c r="A654">
        <v>1571</v>
      </c>
      <c r="B654" s="4" t="s">
        <v>167</v>
      </c>
      <c r="C654" s="4" t="s">
        <v>122</v>
      </c>
      <c r="D654" s="4" t="s">
        <v>30</v>
      </c>
      <c r="E654">
        <v>3</v>
      </c>
      <c r="F654" s="3">
        <v>1308.06</v>
      </c>
      <c r="G654" s="2">
        <v>0.65124031007751904</v>
      </c>
      <c r="H654" s="3">
        <v>0</v>
      </c>
      <c r="I654" s="1">
        <v>45755</v>
      </c>
      <c r="J654" s="4" t="s">
        <v>20</v>
      </c>
      <c r="K654" s="4" t="s">
        <v>8</v>
      </c>
      <c r="L654" s="3">
        <v>-246.91</v>
      </c>
      <c r="M654" s="4" t="s">
        <v>1255</v>
      </c>
      <c r="N654" s="3">
        <v>3924.18</v>
      </c>
    </row>
    <row r="655" spans="1:14" hidden="1" x14ac:dyDescent="0.35">
      <c r="A655">
        <v>1572</v>
      </c>
      <c r="B655" s="4" t="s">
        <v>46</v>
      </c>
      <c r="C655" s="4" t="s">
        <v>197</v>
      </c>
      <c r="D655" s="4" t="s">
        <v>34</v>
      </c>
      <c r="E655">
        <v>4</v>
      </c>
      <c r="F655" s="3">
        <v>2671.4715999999999</v>
      </c>
      <c r="G655" s="2">
        <v>0.82</v>
      </c>
      <c r="H655" s="3">
        <v>0</v>
      </c>
      <c r="I655" s="1">
        <v>45707</v>
      </c>
      <c r="J655" s="4" t="s">
        <v>7</v>
      </c>
      <c r="K655" s="4" t="s">
        <v>40</v>
      </c>
      <c r="L655" s="3">
        <v>534.6</v>
      </c>
      <c r="M655" s="4" t="s">
        <v>1255</v>
      </c>
      <c r="N655" s="3">
        <v>10685.886399999999</v>
      </c>
    </row>
    <row r="656" spans="1:14" hidden="1" x14ac:dyDescent="0.35">
      <c r="A656">
        <v>1573</v>
      </c>
      <c r="B656" s="4" t="s">
        <v>52</v>
      </c>
      <c r="C656" s="4" t="s">
        <v>682</v>
      </c>
      <c r="D656" s="4" t="s">
        <v>32</v>
      </c>
      <c r="E656">
        <v>0</v>
      </c>
      <c r="F656" s="3">
        <v>3972.78</v>
      </c>
      <c r="G656" s="2">
        <v>0.65097826086956501</v>
      </c>
      <c r="H656" s="3">
        <v>0</v>
      </c>
      <c r="I656" s="1">
        <v>45627</v>
      </c>
      <c r="J656" s="4" t="s">
        <v>23</v>
      </c>
      <c r="K656" s="4" t="s">
        <v>40</v>
      </c>
      <c r="L656" s="3">
        <v>-902.58</v>
      </c>
      <c r="M656" s="4" t="s">
        <v>1255</v>
      </c>
      <c r="N656" s="3">
        <v>0</v>
      </c>
    </row>
    <row r="657" spans="1:14" x14ac:dyDescent="0.35">
      <c r="A657">
        <v>1574</v>
      </c>
      <c r="B657" s="4" t="s">
        <v>563</v>
      </c>
      <c r="C657" s="4" t="s">
        <v>88</v>
      </c>
      <c r="D657" s="4" t="s">
        <v>14</v>
      </c>
      <c r="E657">
        <v>-1</v>
      </c>
      <c r="F657" s="3">
        <v>2672.8189000000002</v>
      </c>
      <c r="G657" s="2">
        <v>0.65097826086956501</v>
      </c>
      <c r="H657" s="3">
        <v>0</v>
      </c>
      <c r="I657" s="1">
        <v>45729</v>
      </c>
      <c r="J657" s="4" t="s">
        <v>9</v>
      </c>
      <c r="K657" s="4" t="s">
        <v>12</v>
      </c>
      <c r="L657" s="3">
        <v>-803.35</v>
      </c>
      <c r="M657" s="4" t="s">
        <v>1255</v>
      </c>
      <c r="N657" s="3">
        <v>-2672.8189000000002</v>
      </c>
    </row>
    <row r="658" spans="1:14" hidden="1" x14ac:dyDescent="0.35">
      <c r="A658">
        <v>1575</v>
      </c>
      <c r="B658" s="4" t="s">
        <v>47</v>
      </c>
      <c r="C658" s="4" t="s">
        <v>683</v>
      </c>
      <c r="D658" s="4" t="s">
        <v>28</v>
      </c>
      <c r="E658">
        <v>0</v>
      </c>
      <c r="F658" s="3">
        <v>615.07000000000005</v>
      </c>
      <c r="G658" s="2">
        <v>0.65097826086956501</v>
      </c>
      <c r="H658" s="3">
        <v>0</v>
      </c>
      <c r="I658" s="1">
        <v>45566</v>
      </c>
      <c r="J658" s="4" t="s">
        <v>9</v>
      </c>
      <c r="K658" s="4" t="s">
        <v>40</v>
      </c>
      <c r="L658" s="3">
        <v>638.16</v>
      </c>
      <c r="M658" s="4" t="s">
        <v>1255</v>
      </c>
      <c r="N658" s="3">
        <v>0</v>
      </c>
    </row>
    <row r="659" spans="1:14" x14ac:dyDescent="0.35">
      <c r="A659">
        <v>1576</v>
      </c>
      <c r="B659" s="4" t="s">
        <v>684</v>
      </c>
      <c r="C659" s="4" t="s">
        <v>685</v>
      </c>
      <c r="D659" s="4" t="s">
        <v>30</v>
      </c>
      <c r="E659">
        <v>1</v>
      </c>
      <c r="F659" s="3">
        <v>1882.14</v>
      </c>
      <c r="G659" s="2">
        <v>0.6</v>
      </c>
      <c r="H659" s="3">
        <v>752.86</v>
      </c>
      <c r="I659" s="1">
        <v>45662</v>
      </c>
      <c r="J659" s="4" t="s">
        <v>9</v>
      </c>
      <c r="K659" s="4" t="s">
        <v>12</v>
      </c>
      <c r="L659" s="3">
        <v>2554.79</v>
      </c>
      <c r="M659" s="4" t="s">
        <v>1256</v>
      </c>
      <c r="N659" s="3">
        <v>1882.14</v>
      </c>
    </row>
    <row r="660" spans="1:14" x14ac:dyDescent="0.35">
      <c r="A660">
        <v>1578</v>
      </c>
      <c r="B660" s="4" t="s">
        <v>210</v>
      </c>
      <c r="C660" s="4" t="s">
        <v>686</v>
      </c>
      <c r="D660" s="4" t="s">
        <v>24</v>
      </c>
      <c r="E660">
        <v>0</v>
      </c>
      <c r="F660" s="3">
        <v>2674.3535000000002</v>
      </c>
      <c r="G660" s="2">
        <v>0.65196261682242995</v>
      </c>
      <c r="H660" s="3">
        <v>0</v>
      </c>
      <c r="I660" s="1">
        <v>45499</v>
      </c>
      <c r="J660" s="4" t="s">
        <v>18</v>
      </c>
      <c r="K660" s="4" t="s">
        <v>8</v>
      </c>
      <c r="L660" s="3">
        <v>2604.12</v>
      </c>
      <c r="M660" s="4" t="s">
        <v>1255</v>
      </c>
      <c r="N660" s="3">
        <v>0</v>
      </c>
    </row>
    <row r="661" spans="1:14" x14ac:dyDescent="0.35">
      <c r="A661">
        <v>1579</v>
      </c>
      <c r="B661" s="4" t="s">
        <v>687</v>
      </c>
      <c r="C661" s="4" t="s">
        <v>688</v>
      </c>
      <c r="D661" s="4" t="s">
        <v>29</v>
      </c>
      <c r="E661">
        <v>3</v>
      </c>
      <c r="F661" s="3">
        <v>2673.8968</v>
      </c>
      <c r="G661" s="2">
        <v>0.65196261682242995</v>
      </c>
      <c r="H661" s="3">
        <v>0</v>
      </c>
      <c r="I661" s="1">
        <v>45706</v>
      </c>
      <c r="J661" s="4" t="s">
        <v>23</v>
      </c>
      <c r="K661" s="4" t="s">
        <v>12</v>
      </c>
      <c r="L661" s="3">
        <v>-155.77000000000001</v>
      </c>
      <c r="M661" s="4" t="s">
        <v>1255</v>
      </c>
      <c r="N661" s="3">
        <v>8021.6904000000004</v>
      </c>
    </row>
    <row r="662" spans="1:14" x14ac:dyDescent="0.35">
      <c r="A662">
        <v>1580</v>
      </c>
      <c r="B662" s="4" t="s">
        <v>689</v>
      </c>
      <c r="C662" s="4" t="s">
        <v>354</v>
      </c>
      <c r="D662" s="4" t="s">
        <v>25</v>
      </c>
      <c r="E662">
        <v>0</v>
      </c>
      <c r="F662" s="3">
        <v>2673.8968</v>
      </c>
      <c r="G662" s="2">
        <v>0.65196261682242995</v>
      </c>
      <c r="H662" s="3">
        <v>0</v>
      </c>
      <c r="I662" s="1">
        <v>45830</v>
      </c>
      <c r="J662" s="4" t="s">
        <v>23</v>
      </c>
      <c r="K662" s="4" t="s">
        <v>12</v>
      </c>
      <c r="L662" s="3">
        <v>-364.57</v>
      </c>
      <c r="M662" s="4" t="s">
        <v>1255</v>
      </c>
      <c r="N662" s="3">
        <v>0</v>
      </c>
    </row>
    <row r="663" spans="1:14" hidden="1" x14ac:dyDescent="0.35">
      <c r="A663">
        <v>1581</v>
      </c>
      <c r="B663" s="4" t="s">
        <v>690</v>
      </c>
      <c r="C663" s="4" t="s">
        <v>329</v>
      </c>
      <c r="D663" s="4" t="s">
        <v>21</v>
      </c>
      <c r="E663">
        <v>0</v>
      </c>
      <c r="F663" s="3">
        <v>2673.8968</v>
      </c>
      <c r="G663" s="2">
        <v>0.65196261682242995</v>
      </c>
      <c r="H663" s="3">
        <v>0</v>
      </c>
      <c r="I663" s="1">
        <v>45834</v>
      </c>
      <c r="J663" s="4" t="s">
        <v>7</v>
      </c>
      <c r="K663" s="4" t="s">
        <v>40</v>
      </c>
      <c r="L663" s="3">
        <v>1109.06</v>
      </c>
      <c r="M663" s="4" t="s">
        <v>1255</v>
      </c>
      <c r="N663" s="3">
        <v>0</v>
      </c>
    </row>
    <row r="664" spans="1:14" hidden="1" x14ac:dyDescent="0.35">
      <c r="A664">
        <v>1582</v>
      </c>
      <c r="B664" s="4" t="s">
        <v>164</v>
      </c>
      <c r="C664" s="4" t="s">
        <v>691</v>
      </c>
      <c r="D664" s="4" t="s">
        <v>6</v>
      </c>
      <c r="E664">
        <v>1</v>
      </c>
      <c r="F664" s="3">
        <v>4809.8999999999996</v>
      </c>
      <c r="G664" s="2">
        <v>0.92</v>
      </c>
      <c r="H664" s="3">
        <v>384.79</v>
      </c>
      <c r="I664" s="1">
        <v>45563</v>
      </c>
      <c r="J664" s="4" t="s">
        <v>11</v>
      </c>
      <c r="K664" s="4" t="s">
        <v>40</v>
      </c>
      <c r="L664" s="3">
        <v>-356.01</v>
      </c>
      <c r="M664" s="4" t="s">
        <v>1256</v>
      </c>
      <c r="N664" s="3">
        <v>4809.8999999999996</v>
      </c>
    </row>
    <row r="665" spans="1:14" x14ac:dyDescent="0.35">
      <c r="A665">
        <v>1583</v>
      </c>
      <c r="B665" s="4" t="s">
        <v>468</v>
      </c>
      <c r="C665" s="4" t="s">
        <v>509</v>
      </c>
      <c r="D665" s="4" t="s">
        <v>17</v>
      </c>
      <c r="E665">
        <v>0</v>
      </c>
      <c r="F665" s="3">
        <v>2673.8968</v>
      </c>
      <c r="G665" s="2">
        <v>0.65154446177847103</v>
      </c>
      <c r="H665" s="3">
        <v>0</v>
      </c>
      <c r="I665" s="1">
        <v>45380</v>
      </c>
      <c r="J665" s="4" t="s">
        <v>20</v>
      </c>
      <c r="K665" s="4" t="s">
        <v>12</v>
      </c>
      <c r="L665" s="3">
        <v>829.03</v>
      </c>
      <c r="M665" s="4" t="s">
        <v>1255</v>
      </c>
      <c r="N665" s="3">
        <v>0</v>
      </c>
    </row>
    <row r="666" spans="1:14" x14ac:dyDescent="0.35">
      <c r="A666">
        <v>1584</v>
      </c>
      <c r="B666" s="4" t="s">
        <v>160</v>
      </c>
      <c r="C666" s="4" t="s">
        <v>277</v>
      </c>
      <c r="D666" s="4" t="s">
        <v>31</v>
      </c>
      <c r="E666">
        <v>5</v>
      </c>
      <c r="F666" s="3">
        <v>2671.7757000000001</v>
      </c>
      <c r="G666" s="2">
        <v>0.15</v>
      </c>
      <c r="H666" s="3">
        <v>0</v>
      </c>
      <c r="I666" s="1">
        <v>45531</v>
      </c>
      <c r="J666" s="4" t="s">
        <v>9</v>
      </c>
      <c r="K666" s="4" t="s">
        <v>12</v>
      </c>
      <c r="L666" s="3">
        <v>2853.8</v>
      </c>
      <c r="M666" s="4" t="s">
        <v>1255</v>
      </c>
      <c r="N666" s="3">
        <v>13358.878500000001</v>
      </c>
    </row>
    <row r="667" spans="1:14" hidden="1" x14ac:dyDescent="0.35">
      <c r="A667">
        <v>1585</v>
      </c>
      <c r="B667" s="4" t="s">
        <v>517</v>
      </c>
      <c r="C667" s="4" t="s">
        <v>128</v>
      </c>
      <c r="D667" s="4" t="s">
        <v>22</v>
      </c>
      <c r="E667">
        <v>-2</v>
      </c>
      <c r="F667" s="3">
        <v>2738.72</v>
      </c>
      <c r="G667" s="2">
        <v>0.89</v>
      </c>
      <c r="H667" s="3">
        <v>-602.52</v>
      </c>
      <c r="I667" s="1">
        <v>45607</v>
      </c>
      <c r="J667" s="4" t="s">
        <v>7</v>
      </c>
      <c r="K667" s="4" t="s">
        <v>40</v>
      </c>
      <c r="L667" s="3">
        <v>-709.13</v>
      </c>
      <c r="M667" s="4" t="s">
        <v>1255</v>
      </c>
      <c r="N667" s="3">
        <v>-5477.44</v>
      </c>
    </row>
    <row r="668" spans="1:14" x14ac:dyDescent="0.35">
      <c r="A668">
        <v>1586</v>
      </c>
      <c r="B668" s="4" t="s">
        <v>388</v>
      </c>
      <c r="C668" s="4" t="s">
        <v>692</v>
      </c>
      <c r="D668" s="4" t="s">
        <v>13</v>
      </c>
      <c r="E668">
        <v>0</v>
      </c>
      <c r="F668" s="3">
        <v>2671.7757000000001</v>
      </c>
      <c r="G668" s="2">
        <v>0.78</v>
      </c>
      <c r="H668" s="3">
        <v>0</v>
      </c>
      <c r="I668" s="1">
        <v>45508</v>
      </c>
      <c r="J668" s="4" t="s">
        <v>20</v>
      </c>
      <c r="K668" s="4" t="s">
        <v>12</v>
      </c>
      <c r="L668" s="3">
        <v>1765.79</v>
      </c>
      <c r="M668" s="4" t="s">
        <v>1255</v>
      </c>
      <c r="N668" s="3">
        <v>0</v>
      </c>
    </row>
    <row r="669" spans="1:14" x14ac:dyDescent="0.35">
      <c r="A669">
        <v>1587</v>
      </c>
      <c r="B669" s="4" t="s">
        <v>111</v>
      </c>
      <c r="C669" s="4" t="s">
        <v>205</v>
      </c>
      <c r="D669" s="4" t="s">
        <v>13</v>
      </c>
      <c r="E669">
        <v>-1</v>
      </c>
      <c r="F669" s="3">
        <v>2671.7091</v>
      </c>
      <c r="G669" s="2">
        <v>0.65175548589341603</v>
      </c>
      <c r="H669" s="3">
        <v>0</v>
      </c>
      <c r="I669" s="1">
        <v>45508</v>
      </c>
      <c r="J669" s="4" t="s">
        <v>11</v>
      </c>
      <c r="K669" s="4" t="s">
        <v>8</v>
      </c>
      <c r="L669" s="3">
        <v>1376.9</v>
      </c>
      <c r="M669" s="4" t="s">
        <v>1255</v>
      </c>
      <c r="N669" s="3">
        <v>-2671.7091</v>
      </c>
    </row>
    <row r="670" spans="1:14" x14ac:dyDescent="0.35">
      <c r="A670">
        <v>1588</v>
      </c>
      <c r="B670" s="4" t="s">
        <v>125</v>
      </c>
      <c r="C670" s="4" t="s">
        <v>693</v>
      </c>
      <c r="D670" s="4" t="s">
        <v>19</v>
      </c>
      <c r="E670">
        <v>1</v>
      </c>
      <c r="F670" s="3">
        <v>2671.7091</v>
      </c>
      <c r="G670" s="2">
        <v>0.65175548589341603</v>
      </c>
      <c r="H670" s="3">
        <v>0</v>
      </c>
      <c r="I670" s="1">
        <v>45780</v>
      </c>
      <c r="J670" s="4" t="s">
        <v>7</v>
      </c>
      <c r="K670" s="4" t="s">
        <v>12</v>
      </c>
      <c r="L670" s="3">
        <v>526.32000000000005</v>
      </c>
      <c r="M670" s="4" t="s">
        <v>1255</v>
      </c>
      <c r="N670" s="3">
        <v>2671.7091</v>
      </c>
    </row>
    <row r="671" spans="1:14" x14ac:dyDescent="0.35">
      <c r="A671">
        <v>1589</v>
      </c>
      <c r="B671" s="4" t="s">
        <v>388</v>
      </c>
      <c r="C671" s="4" t="s">
        <v>80</v>
      </c>
      <c r="D671" s="4" t="s">
        <v>13</v>
      </c>
      <c r="E671">
        <v>0</v>
      </c>
      <c r="F671" s="3">
        <v>527.07000000000005</v>
      </c>
      <c r="G671" s="2">
        <v>0.45</v>
      </c>
      <c r="H671" s="3">
        <v>0</v>
      </c>
      <c r="I671" s="1">
        <v>45780</v>
      </c>
      <c r="J671" s="4" t="s">
        <v>11</v>
      </c>
      <c r="K671" s="4" t="s">
        <v>8</v>
      </c>
      <c r="L671" s="3">
        <v>2617.9899999999998</v>
      </c>
      <c r="M671" s="4" t="s">
        <v>1255</v>
      </c>
      <c r="N671" s="3">
        <v>0</v>
      </c>
    </row>
    <row r="672" spans="1:14" x14ac:dyDescent="0.35">
      <c r="A672">
        <v>1590</v>
      </c>
      <c r="B672" s="4" t="s">
        <v>600</v>
      </c>
      <c r="C672" s="4" t="s">
        <v>694</v>
      </c>
      <c r="D672" s="4" t="s">
        <v>24</v>
      </c>
      <c r="E672">
        <v>6</v>
      </c>
      <c r="F672" s="3">
        <v>2671.7091</v>
      </c>
      <c r="G672" s="2">
        <v>0.67</v>
      </c>
      <c r="H672" s="3">
        <v>0</v>
      </c>
      <c r="I672" s="1">
        <v>45780</v>
      </c>
      <c r="J672" s="4" t="s">
        <v>18</v>
      </c>
      <c r="K672" s="4" t="s">
        <v>12</v>
      </c>
      <c r="L672" s="3">
        <v>-104.43</v>
      </c>
      <c r="M672" s="4" t="s">
        <v>1255</v>
      </c>
      <c r="N672" s="3">
        <v>16030.2546</v>
      </c>
    </row>
    <row r="673" spans="1:14" hidden="1" x14ac:dyDescent="0.35">
      <c r="A673">
        <v>1591</v>
      </c>
      <c r="B673" s="4" t="s">
        <v>430</v>
      </c>
      <c r="C673" s="4" t="s">
        <v>446</v>
      </c>
      <c r="D673" s="4" t="s">
        <v>28</v>
      </c>
      <c r="E673">
        <v>0</v>
      </c>
      <c r="F673" s="3">
        <v>2673.8431</v>
      </c>
      <c r="G673" s="2">
        <v>0.65204402515723203</v>
      </c>
      <c r="H673" s="3">
        <v>0</v>
      </c>
      <c r="I673" s="1">
        <v>45808</v>
      </c>
      <c r="J673" s="4" t="s">
        <v>11</v>
      </c>
      <c r="K673" s="4" t="s">
        <v>40</v>
      </c>
      <c r="L673" s="3">
        <v>158.05000000000001</v>
      </c>
      <c r="M673" s="4" t="s">
        <v>1255</v>
      </c>
      <c r="N673" s="3">
        <v>0</v>
      </c>
    </row>
    <row r="674" spans="1:14" hidden="1" x14ac:dyDescent="0.35">
      <c r="A674">
        <v>1592</v>
      </c>
      <c r="B674" s="4" t="s">
        <v>695</v>
      </c>
      <c r="C674" s="4" t="s">
        <v>696</v>
      </c>
      <c r="D674" s="4" t="s">
        <v>22</v>
      </c>
      <c r="E674">
        <v>5</v>
      </c>
      <c r="F674" s="3">
        <v>2673.8431</v>
      </c>
      <c r="G674" s="2">
        <v>0.52</v>
      </c>
      <c r="H674" s="3">
        <v>0</v>
      </c>
      <c r="I674" s="1">
        <v>45657</v>
      </c>
      <c r="J674" s="4" t="s">
        <v>11</v>
      </c>
      <c r="K674" s="4" t="s">
        <v>40</v>
      </c>
      <c r="L674" s="3">
        <v>619.25</v>
      </c>
      <c r="M674" s="4" t="s">
        <v>1255</v>
      </c>
      <c r="N674" s="3">
        <v>13369.2155</v>
      </c>
    </row>
    <row r="675" spans="1:14" hidden="1" x14ac:dyDescent="0.35">
      <c r="A675">
        <v>1593</v>
      </c>
      <c r="B675" s="4" t="s">
        <v>536</v>
      </c>
      <c r="C675" s="4" t="s">
        <v>74</v>
      </c>
      <c r="D675" s="4" t="s">
        <v>28</v>
      </c>
      <c r="E675">
        <v>0</v>
      </c>
      <c r="F675" s="3">
        <v>2673.8431</v>
      </c>
      <c r="G675" s="2">
        <v>0.65225196850393596</v>
      </c>
      <c r="H675" s="3">
        <v>0</v>
      </c>
      <c r="I675" s="1">
        <v>45721</v>
      </c>
      <c r="J675" s="4" t="s">
        <v>11</v>
      </c>
      <c r="K675" s="4" t="s">
        <v>40</v>
      </c>
      <c r="L675" s="3">
        <v>2598.9299999999998</v>
      </c>
      <c r="M675" s="4" t="s">
        <v>1255</v>
      </c>
      <c r="N675" s="3">
        <v>0</v>
      </c>
    </row>
    <row r="676" spans="1:14" hidden="1" x14ac:dyDescent="0.35">
      <c r="A676">
        <v>1594</v>
      </c>
      <c r="B676" s="4" t="s">
        <v>697</v>
      </c>
      <c r="C676" s="4" t="s">
        <v>698</v>
      </c>
      <c r="D676" s="4" t="s">
        <v>21</v>
      </c>
      <c r="E676">
        <v>0</v>
      </c>
      <c r="F676" s="3">
        <v>3784.99</v>
      </c>
      <c r="G676" s="2">
        <v>0.65225196850393596</v>
      </c>
      <c r="H676" s="3">
        <v>0</v>
      </c>
      <c r="I676" s="1">
        <v>45721</v>
      </c>
      <c r="J676" s="4" t="s">
        <v>18</v>
      </c>
      <c r="K676" s="4" t="s">
        <v>40</v>
      </c>
      <c r="L676" s="3">
        <v>346.37</v>
      </c>
      <c r="M676" s="4" t="s">
        <v>1255</v>
      </c>
      <c r="N676" s="3">
        <v>0</v>
      </c>
    </row>
    <row r="677" spans="1:14" x14ac:dyDescent="0.35">
      <c r="A677">
        <v>1595</v>
      </c>
      <c r="B677" s="4" t="s">
        <v>361</v>
      </c>
      <c r="C677" s="4" t="s">
        <v>588</v>
      </c>
      <c r="D677" s="4" t="s">
        <v>31</v>
      </c>
      <c r="E677">
        <v>0</v>
      </c>
      <c r="F677" s="3">
        <v>2673.8431</v>
      </c>
      <c r="G677" s="2">
        <v>0.65225196850393596</v>
      </c>
      <c r="H677" s="3">
        <v>0</v>
      </c>
      <c r="I677" s="1">
        <v>45858</v>
      </c>
      <c r="J677" s="4" t="s">
        <v>11</v>
      </c>
      <c r="K677" s="4" t="s">
        <v>8</v>
      </c>
      <c r="L677" s="3">
        <v>1483.7</v>
      </c>
      <c r="M677" s="4" t="s">
        <v>1255</v>
      </c>
      <c r="N677" s="3">
        <v>0</v>
      </c>
    </row>
    <row r="678" spans="1:14" x14ac:dyDescent="0.35">
      <c r="A678">
        <v>1596</v>
      </c>
      <c r="B678" s="4" t="s">
        <v>60</v>
      </c>
      <c r="C678" s="4" t="s">
        <v>163</v>
      </c>
      <c r="D678" s="4" t="s">
        <v>10</v>
      </c>
      <c r="E678">
        <v>3</v>
      </c>
      <c r="F678" s="3">
        <v>738.29</v>
      </c>
      <c r="G678" s="2">
        <v>0.65225196850393596</v>
      </c>
      <c r="H678" s="3">
        <v>0</v>
      </c>
      <c r="I678" s="1">
        <v>45558</v>
      </c>
      <c r="J678" s="4" t="s">
        <v>9</v>
      </c>
      <c r="K678" s="4" t="s">
        <v>12</v>
      </c>
      <c r="L678" s="3">
        <v>-871.38</v>
      </c>
      <c r="M678" s="4" t="s">
        <v>1255</v>
      </c>
      <c r="N678" s="3">
        <v>2214.87</v>
      </c>
    </row>
    <row r="679" spans="1:14" x14ac:dyDescent="0.35">
      <c r="A679">
        <v>1597</v>
      </c>
      <c r="B679" s="4" t="s">
        <v>646</v>
      </c>
      <c r="C679" s="4" t="s">
        <v>46</v>
      </c>
      <c r="D679" s="4" t="s">
        <v>15</v>
      </c>
      <c r="E679">
        <v>1</v>
      </c>
      <c r="F679" s="3">
        <v>657.51</v>
      </c>
      <c r="G679" s="2">
        <v>0.77</v>
      </c>
      <c r="H679" s="3">
        <v>151.22999999999999</v>
      </c>
      <c r="I679" s="1">
        <v>45508</v>
      </c>
      <c r="J679" s="4" t="s">
        <v>7</v>
      </c>
      <c r="K679" s="4" t="s">
        <v>8</v>
      </c>
      <c r="L679" s="3">
        <v>2744.32</v>
      </c>
      <c r="M679" s="4" t="s">
        <v>1256</v>
      </c>
      <c r="N679" s="3">
        <v>657.51</v>
      </c>
    </row>
    <row r="680" spans="1:14" x14ac:dyDescent="0.35">
      <c r="A680">
        <v>1598</v>
      </c>
      <c r="B680" s="4" t="s">
        <v>125</v>
      </c>
      <c r="C680" s="4" t="s">
        <v>95</v>
      </c>
      <c r="D680" s="4" t="s">
        <v>30</v>
      </c>
      <c r="E680">
        <v>0</v>
      </c>
      <c r="F680" s="3">
        <v>3311.31</v>
      </c>
      <c r="G680" s="2">
        <v>0.65206624605678198</v>
      </c>
      <c r="H680" s="3">
        <v>0</v>
      </c>
      <c r="I680" s="1">
        <v>45508</v>
      </c>
      <c r="J680" s="4" t="s">
        <v>20</v>
      </c>
      <c r="K680" s="4" t="s">
        <v>12</v>
      </c>
      <c r="L680" s="3">
        <v>2944.25</v>
      </c>
      <c r="M680" s="4" t="s">
        <v>1255</v>
      </c>
      <c r="N680" s="3">
        <v>0</v>
      </c>
    </row>
    <row r="681" spans="1:14" hidden="1" x14ac:dyDescent="0.35">
      <c r="A681">
        <v>1599</v>
      </c>
      <c r="B681" s="4" t="s">
        <v>568</v>
      </c>
      <c r="C681" s="4" t="s">
        <v>699</v>
      </c>
      <c r="D681" s="4" t="s">
        <v>27</v>
      </c>
      <c r="E681">
        <v>0</v>
      </c>
      <c r="F681" s="3">
        <v>2676.6781999999998</v>
      </c>
      <c r="G681" s="2">
        <v>0.65206624605678198</v>
      </c>
      <c r="H681" s="3">
        <v>0</v>
      </c>
      <c r="I681" s="1">
        <v>45750</v>
      </c>
      <c r="J681" s="4" t="s">
        <v>11</v>
      </c>
      <c r="K681" s="4" t="s">
        <v>40</v>
      </c>
      <c r="L681" s="3">
        <v>790.51</v>
      </c>
      <c r="M681" s="4" t="s">
        <v>1255</v>
      </c>
      <c r="N681" s="3">
        <v>0</v>
      </c>
    </row>
    <row r="682" spans="1:14" x14ac:dyDescent="0.35">
      <c r="A682">
        <v>1600</v>
      </c>
      <c r="B682" s="4" t="s">
        <v>490</v>
      </c>
      <c r="C682" s="4" t="s">
        <v>700</v>
      </c>
      <c r="D682" s="4" t="s">
        <v>33</v>
      </c>
      <c r="E682">
        <v>0</v>
      </c>
      <c r="F682" s="3">
        <v>2676.0441999999998</v>
      </c>
      <c r="G682" s="2">
        <v>0.65206624605678198</v>
      </c>
      <c r="H682" s="3">
        <v>0</v>
      </c>
      <c r="I682" s="1">
        <v>45156</v>
      </c>
      <c r="J682" s="4" t="s">
        <v>9</v>
      </c>
      <c r="K682" s="4" t="s">
        <v>12</v>
      </c>
      <c r="L682" s="3">
        <v>-605.05999999999995</v>
      </c>
      <c r="M682" s="4" t="s">
        <v>1255</v>
      </c>
      <c r="N682" s="3">
        <v>0</v>
      </c>
    </row>
    <row r="683" spans="1:14" x14ac:dyDescent="0.35">
      <c r="A683">
        <v>1601</v>
      </c>
      <c r="B683" s="4" t="s">
        <v>77</v>
      </c>
      <c r="C683" s="4" t="s">
        <v>283</v>
      </c>
      <c r="D683" s="4" t="s">
        <v>14</v>
      </c>
      <c r="E683">
        <v>0</v>
      </c>
      <c r="F683" s="3">
        <v>2676.0441999999998</v>
      </c>
      <c r="G683" s="2">
        <v>0.65206624605678198</v>
      </c>
      <c r="H683" s="3">
        <v>0</v>
      </c>
      <c r="I683" s="1">
        <v>45511</v>
      </c>
      <c r="J683" s="4" t="s">
        <v>11</v>
      </c>
      <c r="K683" s="4" t="s">
        <v>12</v>
      </c>
      <c r="L683" s="3">
        <v>1282.26</v>
      </c>
      <c r="M683" s="4" t="s">
        <v>1255</v>
      </c>
      <c r="N683" s="3">
        <v>0</v>
      </c>
    </row>
    <row r="684" spans="1:14" hidden="1" x14ac:dyDescent="0.35">
      <c r="A684">
        <v>1602</v>
      </c>
      <c r="B684" s="4" t="s">
        <v>388</v>
      </c>
      <c r="C684" s="4" t="s">
        <v>446</v>
      </c>
      <c r="D684" s="4" t="s">
        <v>25</v>
      </c>
      <c r="E684">
        <v>0</v>
      </c>
      <c r="F684" s="3">
        <v>4256.43</v>
      </c>
      <c r="G684" s="2">
        <v>0.65206624605678198</v>
      </c>
      <c r="H684" s="3">
        <v>0</v>
      </c>
      <c r="I684" s="1">
        <v>45804</v>
      </c>
      <c r="J684" s="4" t="s">
        <v>18</v>
      </c>
      <c r="K684" s="4" t="s">
        <v>40</v>
      </c>
      <c r="L684" s="3">
        <v>2472.73</v>
      </c>
      <c r="M684" s="4" t="s">
        <v>1255</v>
      </c>
      <c r="N684" s="3">
        <v>0</v>
      </c>
    </row>
    <row r="685" spans="1:14" hidden="1" x14ac:dyDescent="0.35">
      <c r="A685">
        <v>1603</v>
      </c>
      <c r="B685" s="4" t="s">
        <v>85</v>
      </c>
      <c r="C685" s="4" t="s">
        <v>701</v>
      </c>
      <c r="D685" s="4" t="s">
        <v>27</v>
      </c>
      <c r="E685">
        <v>0</v>
      </c>
      <c r="F685" s="3">
        <v>2676.0441999999998</v>
      </c>
      <c r="G685" s="2">
        <v>1.05</v>
      </c>
      <c r="H685" s="3">
        <v>0</v>
      </c>
      <c r="I685" s="1">
        <v>45804</v>
      </c>
      <c r="J685" s="4" t="s">
        <v>9</v>
      </c>
      <c r="K685" s="4" t="s">
        <v>40</v>
      </c>
      <c r="L685" s="3">
        <v>2700.72</v>
      </c>
      <c r="M685" s="4" t="s">
        <v>1255</v>
      </c>
      <c r="N685" s="3">
        <v>0</v>
      </c>
    </row>
    <row r="686" spans="1:14" x14ac:dyDescent="0.35">
      <c r="A686">
        <v>1604</v>
      </c>
      <c r="B686" s="4" t="s">
        <v>487</v>
      </c>
      <c r="C686" s="4" t="s">
        <v>221</v>
      </c>
      <c r="D686" s="4" t="s">
        <v>28</v>
      </c>
      <c r="E686">
        <v>0</v>
      </c>
      <c r="F686" s="3">
        <v>2674.4638</v>
      </c>
      <c r="G686" s="2">
        <v>0.65143759873617602</v>
      </c>
      <c r="H686" s="3">
        <v>0</v>
      </c>
      <c r="I686" s="1">
        <v>45552</v>
      </c>
      <c r="J686" s="4" t="s">
        <v>18</v>
      </c>
      <c r="K686" s="4" t="s">
        <v>12</v>
      </c>
      <c r="L686" s="3">
        <v>2976.74</v>
      </c>
      <c r="M686" s="4" t="s">
        <v>1255</v>
      </c>
      <c r="N686" s="3">
        <v>0</v>
      </c>
    </row>
    <row r="687" spans="1:14" x14ac:dyDescent="0.35">
      <c r="A687">
        <v>1605</v>
      </c>
      <c r="B687" s="4" t="s">
        <v>702</v>
      </c>
      <c r="C687" s="4" t="s">
        <v>207</v>
      </c>
      <c r="D687" s="4" t="s">
        <v>33</v>
      </c>
      <c r="E687">
        <v>0</v>
      </c>
      <c r="F687" s="3">
        <v>2674.4638</v>
      </c>
      <c r="G687" s="2">
        <v>0.47</v>
      </c>
      <c r="H687" s="3">
        <v>0</v>
      </c>
      <c r="I687" s="1">
        <v>45661</v>
      </c>
      <c r="J687" s="4" t="s">
        <v>23</v>
      </c>
      <c r="K687" s="4" t="s">
        <v>8</v>
      </c>
      <c r="L687" s="3">
        <v>-339.59</v>
      </c>
      <c r="M687" s="4" t="s">
        <v>1255</v>
      </c>
      <c r="N687" s="3">
        <v>0</v>
      </c>
    </row>
    <row r="688" spans="1:14" hidden="1" x14ac:dyDescent="0.35">
      <c r="A688">
        <v>1606</v>
      </c>
      <c r="B688" s="4" t="s">
        <v>230</v>
      </c>
      <c r="C688" s="4" t="s">
        <v>703</v>
      </c>
      <c r="D688" s="4" t="s">
        <v>28</v>
      </c>
      <c r="E688">
        <v>6</v>
      </c>
      <c r="F688" s="3">
        <v>2674.4638</v>
      </c>
      <c r="G688" s="2">
        <v>0.65172468354430402</v>
      </c>
      <c r="H688" s="3">
        <v>0</v>
      </c>
      <c r="I688" s="1">
        <v>45694</v>
      </c>
      <c r="J688" s="4" t="s">
        <v>7</v>
      </c>
      <c r="K688" s="4" t="s">
        <v>40</v>
      </c>
      <c r="L688" s="3">
        <v>-527.17999999999995</v>
      </c>
      <c r="M688" s="4" t="s">
        <v>1255</v>
      </c>
      <c r="N688" s="3">
        <v>16046.782800000001</v>
      </c>
    </row>
    <row r="689" spans="1:14" x14ac:dyDescent="0.35">
      <c r="A689">
        <v>1607</v>
      </c>
      <c r="B689" s="4" t="s">
        <v>228</v>
      </c>
      <c r="C689" s="4" t="s">
        <v>619</v>
      </c>
      <c r="D689" s="4" t="s">
        <v>13</v>
      </c>
      <c r="E689">
        <v>0</v>
      </c>
      <c r="F689" s="3">
        <v>4941.2700000000004</v>
      </c>
      <c r="G689" s="2">
        <v>0.65172468354430402</v>
      </c>
      <c r="H689" s="3">
        <v>0</v>
      </c>
      <c r="I689" s="1">
        <v>45207</v>
      </c>
      <c r="J689" s="4" t="s">
        <v>7</v>
      </c>
      <c r="K689" s="4" t="s">
        <v>8</v>
      </c>
      <c r="L689" s="3">
        <v>515.05999999999995</v>
      </c>
      <c r="M689" s="4" t="s">
        <v>1255</v>
      </c>
      <c r="N689" s="3">
        <v>0</v>
      </c>
    </row>
    <row r="690" spans="1:14" x14ac:dyDescent="0.35">
      <c r="A690">
        <v>1608</v>
      </c>
      <c r="B690" s="4" t="s">
        <v>481</v>
      </c>
      <c r="C690" s="4" t="s">
        <v>114</v>
      </c>
      <c r="D690" s="4" t="s">
        <v>38</v>
      </c>
      <c r="E690">
        <v>3</v>
      </c>
      <c r="F690" s="3">
        <v>3536.61</v>
      </c>
      <c r="G690" s="2">
        <v>0.79</v>
      </c>
      <c r="H690" s="3">
        <v>2228.06</v>
      </c>
      <c r="I690" s="1">
        <v>45708</v>
      </c>
      <c r="J690" s="4" t="s">
        <v>11</v>
      </c>
      <c r="K690" s="4" t="s">
        <v>8</v>
      </c>
      <c r="L690" s="3">
        <v>-55.01</v>
      </c>
      <c r="M690" s="4" t="s">
        <v>1256</v>
      </c>
      <c r="N690" s="3">
        <v>10609.83</v>
      </c>
    </row>
    <row r="691" spans="1:14" x14ac:dyDescent="0.35">
      <c r="A691">
        <v>1609</v>
      </c>
      <c r="B691" s="4" t="s">
        <v>43</v>
      </c>
      <c r="C691" s="4" t="s">
        <v>399</v>
      </c>
      <c r="D691" s="4" t="s">
        <v>13</v>
      </c>
      <c r="E691">
        <v>4</v>
      </c>
      <c r="F691" s="3">
        <v>2672.1947</v>
      </c>
      <c r="G691" s="2">
        <v>0.65150554675118799</v>
      </c>
      <c r="H691" s="3">
        <v>0</v>
      </c>
      <c r="I691" s="1">
        <v>45855</v>
      </c>
      <c r="J691" s="4" t="s">
        <v>23</v>
      </c>
      <c r="K691" s="4" t="s">
        <v>8</v>
      </c>
      <c r="L691" s="3">
        <v>-939.39</v>
      </c>
      <c r="M691" s="4" t="s">
        <v>1255</v>
      </c>
      <c r="N691" s="3">
        <v>10688.7788</v>
      </c>
    </row>
    <row r="692" spans="1:14" x14ac:dyDescent="0.35">
      <c r="A692">
        <v>1610</v>
      </c>
      <c r="B692" s="4" t="s">
        <v>704</v>
      </c>
      <c r="C692" s="4" t="s">
        <v>401</v>
      </c>
      <c r="D692" s="4" t="s">
        <v>21</v>
      </c>
      <c r="E692">
        <v>5</v>
      </c>
      <c r="F692" s="3">
        <v>2671.3285999999998</v>
      </c>
      <c r="G692" s="2">
        <v>0.65150554675118799</v>
      </c>
      <c r="H692" s="3">
        <v>0</v>
      </c>
      <c r="I692" s="1">
        <v>45806</v>
      </c>
      <c r="J692" s="4" t="s">
        <v>23</v>
      </c>
      <c r="K692" s="4" t="s">
        <v>12</v>
      </c>
      <c r="L692" s="3">
        <v>-361.65</v>
      </c>
      <c r="M692" s="4" t="s">
        <v>1255</v>
      </c>
      <c r="N692" s="3">
        <v>13356.643</v>
      </c>
    </row>
    <row r="693" spans="1:14" hidden="1" x14ac:dyDescent="0.35">
      <c r="A693">
        <v>1611</v>
      </c>
      <c r="B693" s="4" t="s">
        <v>705</v>
      </c>
      <c r="C693" s="4" t="s">
        <v>706</v>
      </c>
      <c r="D693" s="4" t="s">
        <v>28</v>
      </c>
      <c r="E693">
        <v>0</v>
      </c>
      <c r="F693" s="3">
        <v>2671.3285999999998</v>
      </c>
      <c r="G693" s="2">
        <v>1.07</v>
      </c>
      <c r="H693" s="3">
        <v>0</v>
      </c>
      <c r="I693" s="1">
        <v>45604</v>
      </c>
      <c r="J693" s="4" t="s">
        <v>7</v>
      </c>
      <c r="K693" s="4" t="s">
        <v>40</v>
      </c>
      <c r="L693" s="3">
        <v>-351.41</v>
      </c>
      <c r="M693" s="4" t="s">
        <v>1255</v>
      </c>
      <c r="N693" s="3">
        <v>0</v>
      </c>
    </row>
    <row r="694" spans="1:14" hidden="1" x14ac:dyDescent="0.35">
      <c r="A694">
        <v>1612</v>
      </c>
      <c r="B694" s="4" t="s">
        <v>141</v>
      </c>
      <c r="C694" s="4" t="s">
        <v>66</v>
      </c>
      <c r="D694" s="4" t="s">
        <v>10</v>
      </c>
      <c r="E694">
        <v>5</v>
      </c>
      <c r="F694" s="3">
        <v>1010.24</v>
      </c>
      <c r="G694" s="2">
        <v>0.65084126984127</v>
      </c>
      <c r="H694" s="3">
        <v>0</v>
      </c>
      <c r="I694" s="1">
        <v>45714</v>
      </c>
      <c r="J694" s="4" t="s">
        <v>20</v>
      </c>
      <c r="K694" s="4" t="s">
        <v>40</v>
      </c>
      <c r="L694" s="3">
        <v>2174.98</v>
      </c>
      <c r="M694" s="4" t="s">
        <v>1255</v>
      </c>
      <c r="N694" s="3">
        <v>5051.2</v>
      </c>
    </row>
    <row r="695" spans="1:14" x14ac:dyDescent="0.35">
      <c r="A695">
        <v>1613</v>
      </c>
      <c r="B695" s="4" t="s">
        <v>306</v>
      </c>
      <c r="C695" s="4" t="s">
        <v>707</v>
      </c>
      <c r="D695" s="4" t="s">
        <v>33</v>
      </c>
      <c r="E695">
        <v>1</v>
      </c>
      <c r="F695" s="3">
        <v>1575.26</v>
      </c>
      <c r="G695" s="2">
        <v>0.65084126984127</v>
      </c>
      <c r="H695" s="3">
        <v>0</v>
      </c>
      <c r="I695" s="1">
        <v>45665</v>
      </c>
      <c r="J695" s="4" t="s">
        <v>7</v>
      </c>
      <c r="K695" s="4" t="s">
        <v>8</v>
      </c>
      <c r="L695" s="3">
        <v>-641.72</v>
      </c>
      <c r="M695" s="4" t="s">
        <v>1255</v>
      </c>
      <c r="N695" s="3">
        <v>1575.26</v>
      </c>
    </row>
    <row r="696" spans="1:14" hidden="1" x14ac:dyDescent="0.35">
      <c r="A696">
        <v>1614</v>
      </c>
      <c r="B696" s="4" t="s">
        <v>224</v>
      </c>
      <c r="C696" s="4" t="s">
        <v>389</v>
      </c>
      <c r="D696" s="4" t="s">
        <v>19</v>
      </c>
      <c r="E696">
        <v>-1</v>
      </c>
      <c r="F696" s="3">
        <v>2672.9946</v>
      </c>
      <c r="G696" s="2">
        <v>0.65084126984127</v>
      </c>
      <c r="H696" s="3">
        <v>0</v>
      </c>
      <c r="I696" s="1">
        <v>45764</v>
      </c>
      <c r="J696" s="4" t="s">
        <v>11</v>
      </c>
      <c r="K696" s="4" t="s">
        <v>40</v>
      </c>
      <c r="L696" s="3">
        <v>319.85000000000002</v>
      </c>
      <c r="M696" s="4" t="s">
        <v>1255</v>
      </c>
      <c r="N696" s="3">
        <v>-2672.9946</v>
      </c>
    </row>
    <row r="697" spans="1:14" x14ac:dyDescent="0.35">
      <c r="A697">
        <v>1615</v>
      </c>
      <c r="B697" s="4" t="s">
        <v>243</v>
      </c>
      <c r="C697" s="4" t="s">
        <v>708</v>
      </c>
      <c r="D697" s="4" t="s">
        <v>17</v>
      </c>
      <c r="E697">
        <v>6</v>
      </c>
      <c r="F697" s="3">
        <v>4962.7</v>
      </c>
      <c r="G697" s="2">
        <v>0.02</v>
      </c>
      <c r="H697" s="3">
        <v>29180.68</v>
      </c>
      <c r="I697" s="1">
        <v>45142</v>
      </c>
      <c r="J697" s="4" t="s">
        <v>23</v>
      </c>
      <c r="K697" s="4" t="s">
        <v>8</v>
      </c>
      <c r="L697" s="3">
        <v>61.6</v>
      </c>
      <c r="M697" s="4" t="s">
        <v>1256</v>
      </c>
      <c r="N697" s="3">
        <v>29776.2</v>
      </c>
    </row>
    <row r="698" spans="1:14" x14ac:dyDescent="0.35">
      <c r="A698">
        <v>1616</v>
      </c>
      <c r="B698" s="4" t="s">
        <v>709</v>
      </c>
      <c r="C698" s="4" t="s">
        <v>710</v>
      </c>
      <c r="D698" s="4" t="s">
        <v>13</v>
      </c>
      <c r="E698">
        <v>0</v>
      </c>
      <c r="F698" s="3">
        <v>4443.82</v>
      </c>
      <c r="G698" s="2">
        <v>0.65184419713831399</v>
      </c>
      <c r="H698" s="3">
        <v>0</v>
      </c>
      <c r="I698" s="1">
        <v>45212</v>
      </c>
      <c r="J698" s="4" t="s">
        <v>18</v>
      </c>
      <c r="K698" s="4" t="s">
        <v>8</v>
      </c>
      <c r="L698" s="3">
        <v>1611.45</v>
      </c>
      <c r="M698" s="4" t="s">
        <v>1255</v>
      </c>
      <c r="N698" s="3">
        <v>0</v>
      </c>
    </row>
    <row r="699" spans="1:14" x14ac:dyDescent="0.35">
      <c r="A699">
        <v>1617</v>
      </c>
      <c r="B699" s="4" t="s">
        <v>445</v>
      </c>
      <c r="C699" s="4" t="s">
        <v>368</v>
      </c>
      <c r="D699" s="4" t="s">
        <v>16</v>
      </c>
      <c r="E699">
        <v>0</v>
      </c>
      <c r="F699" s="3">
        <v>1144.47</v>
      </c>
      <c r="G699" s="2">
        <v>0.65184419713831399</v>
      </c>
      <c r="H699" s="3">
        <v>0</v>
      </c>
      <c r="I699" s="1">
        <v>45361</v>
      </c>
      <c r="J699" s="4" t="s">
        <v>20</v>
      </c>
      <c r="K699" s="4" t="s">
        <v>8</v>
      </c>
      <c r="L699" s="3">
        <v>-863.76</v>
      </c>
      <c r="M699" s="4" t="s">
        <v>1255</v>
      </c>
      <c r="N699" s="3">
        <v>0</v>
      </c>
    </row>
    <row r="700" spans="1:14" x14ac:dyDescent="0.35">
      <c r="A700">
        <v>1618</v>
      </c>
      <c r="B700" s="4" t="s">
        <v>111</v>
      </c>
      <c r="C700" s="4" t="s">
        <v>561</v>
      </c>
      <c r="D700" s="4" t="s">
        <v>25</v>
      </c>
      <c r="E700">
        <v>0</v>
      </c>
      <c r="F700" s="3">
        <v>2670.0140000000001</v>
      </c>
      <c r="G700" s="2">
        <v>0.85</v>
      </c>
      <c r="H700" s="3">
        <v>0</v>
      </c>
      <c r="I700" s="1">
        <v>45162</v>
      </c>
      <c r="J700" s="4" t="s">
        <v>11</v>
      </c>
      <c r="K700" s="4" t="s">
        <v>12</v>
      </c>
      <c r="L700" s="3">
        <v>2113.08</v>
      </c>
      <c r="M700" s="4" t="s">
        <v>1255</v>
      </c>
      <c r="N700" s="3">
        <v>0</v>
      </c>
    </row>
    <row r="701" spans="1:14" x14ac:dyDescent="0.35">
      <c r="A701">
        <v>1619</v>
      </c>
      <c r="B701" s="4" t="s">
        <v>711</v>
      </c>
      <c r="C701" s="4" t="s">
        <v>149</v>
      </c>
      <c r="D701" s="4" t="s">
        <v>21</v>
      </c>
      <c r="E701">
        <v>0</v>
      </c>
      <c r="F701" s="3">
        <v>1470.99</v>
      </c>
      <c r="G701" s="2">
        <v>0.7</v>
      </c>
      <c r="H701" s="3">
        <v>0</v>
      </c>
      <c r="I701" s="1">
        <v>45640</v>
      </c>
      <c r="J701" s="4" t="s">
        <v>18</v>
      </c>
      <c r="K701" s="4" t="s">
        <v>12</v>
      </c>
      <c r="L701" s="3">
        <v>-668.13</v>
      </c>
      <c r="M701" s="4" t="s">
        <v>1255</v>
      </c>
      <c r="N701" s="3">
        <v>0</v>
      </c>
    </row>
    <row r="702" spans="1:14" hidden="1" x14ac:dyDescent="0.35">
      <c r="A702">
        <v>1620</v>
      </c>
      <c r="B702" s="4" t="s">
        <v>93</v>
      </c>
      <c r="C702" s="4" t="s">
        <v>293</v>
      </c>
      <c r="D702" s="4" t="s">
        <v>24</v>
      </c>
      <c r="E702">
        <v>6</v>
      </c>
      <c r="F702" s="3">
        <v>2671.5502999999999</v>
      </c>
      <c r="G702" s="2">
        <v>1.17</v>
      </c>
      <c r="H702" s="3">
        <v>0</v>
      </c>
      <c r="I702" s="1">
        <v>45551</v>
      </c>
      <c r="J702" s="4" t="s">
        <v>7</v>
      </c>
      <c r="K702" s="4" t="s">
        <v>40</v>
      </c>
      <c r="L702" s="3">
        <v>1796.21</v>
      </c>
      <c r="M702" s="4" t="s">
        <v>1255</v>
      </c>
      <c r="N702" s="3">
        <v>16029.301799999999</v>
      </c>
    </row>
    <row r="703" spans="1:14" x14ac:dyDescent="0.35">
      <c r="A703">
        <v>1621</v>
      </c>
      <c r="B703" s="4" t="s">
        <v>388</v>
      </c>
      <c r="C703" s="4" t="s">
        <v>331</v>
      </c>
      <c r="D703" s="4" t="s">
        <v>26</v>
      </c>
      <c r="E703">
        <v>6</v>
      </c>
      <c r="F703" s="3">
        <v>639.66999999999996</v>
      </c>
      <c r="G703" s="2">
        <v>0.65062300319488797</v>
      </c>
      <c r="H703" s="3">
        <v>0</v>
      </c>
      <c r="I703" s="1">
        <v>45563</v>
      </c>
      <c r="J703" s="4" t="s">
        <v>23</v>
      </c>
      <c r="K703" s="4" t="s">
        <v>12</v>
      </c>
      <c r="L703" s="3">
        <v>1599.1</v>
      </c>
      <c r="M703" s="4" t="s">
        <v>1255</v>
      </c>
      <c r="N703" s="3">
        <v>3838.02</v>
      </c>
    </row>
    <row r="704" spans="1:14" x14ac:dyDescent="0.35">
      <c r="A704">
        <v>1622</v>
      </c>
      <c r="B704" s="4" t="s">
        <v>56</v>
      </c>
      <c r="C704" s="4" t="s">
        <v>712</v>
      </c>
      <c r="D704" s="4" t="s">
        <v>38</v>
      </c>
      <c r="E704">
        <v>1</v>
      </c>
      <c r="F704" s="3">
        <v>2672.7604999999999</v>
      </c>
      <c r="G704" s="2">
        <v>0.65062300319488797</v>
      </c>
      <c r="H704" s="3">
        <v>0</v>
      </c>
      <c r="I704" s="1">
        <v>45563</v>
      </c>
      <c r="J704" s="4" t="s">
        <v>18</v>
      </c>
      <c r="K704" s="4" t="s">
        <v>8</v>
      </c>
      <c r="L704" s="3">
        <v>-880.92</v>
      </c>
      <c r="M704" s="4" t="s">
        <v>1255</v>
      </c>
      <c r="N704" s="3">
        <v>2672.7604999999999</v>
      </c>
    </row>
    <row r="705" spans="1:14" x14ac:dyDescent="0.35">
      <c r="A705">
        <v>1624</v>
      </c>
      <c r="B705" s="4" t="s">
        <v>60</v>
      </c>
      <c r="C705" s="4" t="s">
        <v>713</v>
      </c>
      <c r="D705" s="4" t="s">
        <v>6</v>
      </c>
      <c r="E705">
        <v>5</v>
      </c>
      <c r="F705" s="3">
        <v>977.2</v>
      </c>
      <c r="G705" s="2">
        <v>0.65062300319488797</v>
      </c>
      <c r="H705" s="3">
        <v>0</v>
      </c>
      <c r="I705" s="1">
        <v>45664</v>
      </c>
      <c r="J705" s="4" t="s">
        <v>20</v>
      </c>
      <c r="K705" s="4" t="s">
        <v>12</v>
      </c>
      <c r="L705" s="3">
        <v>1003.06</v>
      </c>
      <c r="M705" s="4" t="s">
        <v>1255</v>
      </c>
      <c r="N705" s="3">
        <v>4886</v>
      </c>
    </row>
    <row r="706" spans="1:14" hidden="1" x14ac:dyDescent="0.35">
      <c r="A706">
        <v>1625</v>
      </c>
      <c r="B706" s="4" t="s">
        <v>714</v>
      </c>
      <c r="C706" s="4" t="s">
        <v>715</v>
      </c>
      <c r="D706" s="4" t="s">
        <v>33</v>
      </c>
      <c r="E706">
        <v>0</v>
      </c>
      <c r="F706" s="3">
        <v>735.97</v>
      </c>
      <c r="G706" s="2">
        <v>0.26</v>
      </c>
      <c r="H706" s="3">
        <v>0</v>
      </c>
      <c r="I706" s="1">
        <v>45651</v>
      </c>
      <c r="J706" s="4" t="s">
        <v>7</v>
      </c>
      <c r="K706" s="4" t="s">
        <v>40</v>
      </c>
      <c r="L706" s="3">
        <v>1690.22</v>
      </c>
      <c r="M706" s="4" t="s">
        <v>1255</v>
      </c>
      <c r="N706" s="3">
        <v>0</v>
      </c>
    </row>
    <row r="707" spans="1:14" x14ac:dyDescent="0.35">
      <c r="A707">
        <v>1626</v>
      </c>
      <c r="B707" s="4" t="s">
        <v>262</v>
      </c>
      <c r="C707" s="4" t="s">
        <v>716</v>
      </c>
      <c r="D707" s="4" t="s">
        <v>24</v>
      </c>
      <c r="E707">
        <v>0</v>
      </c>
      <c r="F707" s="3">
        <v>4695.1499999999996</v>
      </c>
      <c r="G707" s="2">
        <v>0.65124800000000005</v>
      </c>
      <c r="H707" s="3">
        <v>0</v>
      </c>
      <c r="I707" s="1">
        <v>45651</v>
      </c>
      <c r="J707" s="4" t="s">
        <v>20</v>
      </c>
      <c r="K707" s="4" t="s">
        <v>8</v>
      </c>
      <c r="L707" s="3">
        <v>1584.44</v>
      </c>
      <c r="M707" s="4" t="s">
        <v>1255</v>
      </c>
      <c r="N707" s="3">
        <v>0</v>
      </c>
    </row>
    <row r="708" spans="1:14" hidden="1" x14ac:dyDescent="0.35">
      <c r="A708">
        <v>1628</v>
      </c>
      <c r="B708" s="4" t="s">
        <v>641</v>
      </c>
      <c r="C708" s="4" t="s">
        <v>717</v>
      </c>
      <c r="D708" s="4" t="s">
        <v>31</v>
      </c>
      <c r="E708">
        <v>1</v>
      </c>
      <c r="F708" s="3">
        <v>3345.58</v>
      </c>
      <c r="G708" s="2">
        <v>0.26</v>
      </c>
      <c r="H708" s="3">
        <v>2475.73</v>
      </c>
      <c r="I708" s="1">
        <v>45397</v>
      </c>
      <c r="J708" s="4" t="s">
        <v>23</v>
      </c>
      <c r="K708" s="4" t="s">
        <v>40</v>
      </c>
      <c r="L708" s="3">
        <v>2274.54</v>
      </c>
      <c r="M708" s="4" t="s">
        <v>1256</v>
      </c>
      <c r="N708" s="3">
        <v>3345.58</v>
      </c>
    </row>
    <row r="709" spans="1:14" x14ac:dyDescent="0.35">
      <c r="A709">
        <v>1629</v>
      </c>
      <c r="B709" s="4" t="s">
        <v>96</v>
      </c>
      <c r="C709" s="4" t="s">
        <v>328</v>
      </c>
      <c r="D709" s="4" t="s">
        <v>29</v>
      </c>
      <c r="E709">
        <v>0</v>
      </c>
      <c r="F709" s="3">
        <v>829.14</v>
      </c>
      <c r="G709" s="2">
        <v>0.65187499999999998</v>
      </c>
      <c r="H709" s="3">
        <v>0</v>
      </c>
      <c r="I709" s="1">
        <v>45397</v>
      </c>
      <c r="J709" s="4" t="s">
        <v>9</v>
      </c>
      <c r="K709" s="4" t="s">
        <v>8</v>
      </c>
      <c r="L709" s="3">
        <v>2172.06</v>
      </c>
      <c r="M709" s="4" t="s">
        <v>1255</v>
      </c>
      <c r="N709" s="3">
        <v>0</v>
      </c>
    </row>
    <row r="710" spans="1:14" hidden="1" x14ac:dyDescent="0.35">
      <c r="A710">
        <v>1630</v>
      </c>
      <c r="B710" s="4" t="s">
        <v>197</v>
      </c>
      <c r="C710" s="4" t="s">
        <v>718</v>
      </c>
      <c r="D710" s="4" t="s">
        <v>32</v>
      </c>
      <c r="E710">
        <v>0</v>
      </c>
      <c r="F710" s="3">
        <v>2393.14</v>
      </c>
      <c r="G710" s="2">
        <v>1</v>
      </c>
      <c r="H710" s="3">
        <v>0</v>
      </c>
      <c r="I710" s="1">
        <v>45178</v>
      </c>
      <c r="J710" s="4" t="s">
        <v>18</v>
      </c>
      <c r="K710" s="4" t="s">
        <v>40</v>
      </c>
      <c r="L710" s="3">
        <v>715.08</v>
      </c>
      <c r="M710" s="4" t="s">
        <v>1255</v>
      </c>
      <c r="N710" s="3">
        <v>0</v>
      </c>
    </row>
    <row r="711" spans="1:14" x14ac:dyDescent="0.35">
      <c r="A711">
        <v>1631</v>
      </c>
      <c r="B711" s="4" t="s">
        <v>264</v>
      </c>
      <c r="C711" s="4" t="s">
        <v>719</v>
      </c>
      <c r="D711" s="4" t="s">
        <v>17</v>
      </c>
      <c r="E711">
        <v>0</v>
      </c>
      <c r="F711" s="3">
        <v>2678.6572999999999</v>
      </c>
      <c r="G711" s="2">
        <v>0.65131621187800903</v>
      </c>
      <c r="H711" s="3">
        <v>0</v>
      </c>
      <c r="I711" s="1">
        <v>45821</v>
      </c>
      <c r="J711" s="4" t="s">
        <v>23</v>
      </c>
      <c r="K711" s="4" t="s">
        <v>8</v>
      </c>
      <c r="L711" s="3">
        <v>186.7</v>
      </c>
      <c r="M711" s="4" t="s">
        <v>1255</v>
      </c>
      <c r="N711" s="3">
        <v>0</v>
      </c>
    </row>
    <row r="712" spans="1:14" x14ac:dyDescent="0.35">
      <c r="A712">
        <v>1632</v>
      </c>
      <c r="B712" s="4" t="s">
        <v>687</v>
      </c>
      <c r="C712" s="4" t="s">
        <v>329</v>
      </c>
      <c r="D712" s="4" t="s">
        <v>27</v>
      </c>
      <c r="E712">
        <v>0</v>
      </c>
      <c r="F712" s="3">
        <v>2618.69</v>
      </c>
      <c r="G712" s="2">
        <v>0.11</v>
      </c>
      <c r="H712" s="3">
        <v>0</v>
      </c>
      <c r="I712" s="1">
        <v>45621</v>
      </c>
      <c r="J712" s="4" t="s">
        <v>20</v>
      </c>
      <c r="K712" s="4" t="s">
        <v>8</v>
      </c>
      <c r="L712" s="3">
        <v>130.88999999999999</v>
      </c>
      <c r="M712" s="4" t="s">
        <v>1255</v>
      </c>
      <c r="N712" s="3">
        <v>0</v>
      </c>
    </row>
    <row r="713" spans="1:14" x14ac:dyDescent="0.35">
      <c r="A713">
        <v>1633</v>
      </c>
      <c r="B713" s="4" t="s">
        <v>116</v>
      </c>
      <c r="C713" s="4" t="s">
        <v>197</v>
      </c>
      <c r="D713" s="4" t="s">
        <v>27</v>
      </c>
      <c r="E713">
        <v>0</v>
      </c>
      <c r="F713" s="3">
        <v>4599.41</v>
      </c>
      <c r="G713" s="2">
        <v>0.65218649517684901</v>
      </c>
      <c r="H713" s="3">
        <v>0</v>
      </c>
      <c r="I713" s="1">
        <v>45651</v>
      </c>
      <c r="J713" s="4" t="s">
        <v>7</v>
      </c>
      <c r="K713" s="4" t="s">
        <v>12</v>
      </c>
      <c r="L713" s="3">
        <v>182.46</v>
      </c>
      <c r="M713" s="4" t="s">
        <v>1255</v>
      </c>
      <c r="N713" s="3">
        <v>0</v>
      </c>
    </row>
    <row r="714" spans="1:14" x14ac:dyDescent="0.35">
      <c r="A714">
        <v>1634</v>
      </c>
      <c r="B714" s="4" t="s">
        <v>153</v>
      </c>
      <c r="C714" s="4" t="s">
        <v>720</v>
      </c>
      <c r="D714" s="4" t="s">
        <v>10</v>
      </c>
      <c r="E714">
        <v>0</v>
      </c>
      <c r="F714" s="3">
        <v>2679.0091000000002</v>
      </c>
      <c r="G714" s="2">
        <v>0.65218649517684901</v>
      </c>
      <c r="H714" s="3">
        <v>0</v>
      </c>
      <c r="I714" s="1">
        <v>45748</v>
      </c>
      <c r="J714" s="4" t="s">
        <v>9</v>
      </c>
      <c r="K714" s="4" t="s">
        <v>12</v>
      </c>
      <c r="L714" s="3">
        <v>108.15</v>
      </c>
      <c r="M714" s="4" t="s">
        <v>1255</v>
      </c>
      <c r="N714" s="3">
        <v>0</v>
      </c>
    </row>
    <row r="715" spans="1:14" x14ac:dyDescent="0.35">
      <c r="A715">
        <v>1635</v>
      </c>
      <c r="B715" s="4" t="s">
        <v>164</v>
      </c>
      <c r="C715" s="4" t="s">
        <v>721</v>
      </c>
      <c r="D715" s="4" t="s">
        <v>35</v>
      </c>
      <c r="E715">
        <v>0</v>
      </c>
      <c r="F715" s="3">
        <v>2677.0515</v>
      </c>
      <c r="G715" s="2">
        <v>0.65218649517684901</v>
      </c>
      <c r="H715" s="3">
        <v>0</v>
      </c>
      <c r="I715" s="1">
        <v>45520</v>
      </c>
      <c r="J715" s="4" t="s">
        <v>7</v>
      </c>
      <c r="K715" s="4" t="s">
        <v>8</v>
      </c>
      <c r="L715" s="3">
        <v>857.97</v>
      </c>
      <c r="M715" s="4" t="s">
        <v>1255</v>
      </c>
      <c r="N715" s="3">
        <v>0</v>
      </c>
    </row>
    <row r="716" spans="1:14" x14ac:dyDescent="0.35">
      <c r="A716">
        <v>1636</v>
      </c>
      <c r="B716" s="4" t="s">
        <v>116</v>
      </c>
      <c r="C716" s="4" t="s">
        <v>712</v>
      </c>
      <c r="D716" s="4" t="s">
        <v>30</v>
      </c>
      <c r="E716">
        <v>-2</v>
      </c>
      <c r="F716" s="3">
        <v>2677.0515</v>
      </c>
      <c r="G716" s="2">
        <v>0.65218649517684901</v>
      </c>
      <c r="H716" s="3">
        <v>0</v>
      </c>
      <c r="I716" s="1">
        <v>45817</v>
      </c>
      <c r="J716" s="4" t="s">
        <v>20</v>
      </c>
      <c r="K716" s="4" t="s">
        <v>8</v>
      </c>
      <c r="L716" s="3">
        <v>2569.59</v>
      </c>
      <c r="M716" s="4" t="s">
        <v>1255</v>
      </c>
      <c r="N716" s="3">
        <v>-5354.1030000000001</v>
      </c>
    </row>
    <row r="717" spans="1:14" x14ac:dyDescent="0.35">
      <c r="A717">
        <v>1637</v>
      </c>
      <c r="B717" s="4" t="s">
        <v>477</v>
      </c>
      <c r="C717" s="4" t="s">
        <v>110</v>
      </c>
      <c r="D717" s="4" t="s">
        <v>38</v>
      </c>
      <c r="E717">
        <v>0</v>
      </c>
      <c r="F717" s="3">
        <v>2644.73</v>
      </c>
      <c r="G717" s="2">
        <v>0.65218649517684901</v>
      </c>
      <c r="H717" s="3">
        <v>0</v>
      </c>
      <c r="I717" s="1">
        <v>45817</v>
      </c>
      <c r="J717" s="4" t="s">
        <v>7</v>
      </c>
      <c r="K717" s="4" t="s">
        <v>12</v>
      </c>
      <c r="L717" s="3">
        <v>1402.25</v>
      </c>
      <c r="M717" s="4" t="s">
        <v>1255</v>
      </c>
      <c r="N717" s="3">
        <v>0</v>
      </c>
    </row>
    <row r="718" spans="1:14" hidden="1" x14ac:dyDescent="0.35">
      <c r="A718">
        <v>1638</v>
      </c>
      <c r="B718" s="4" t="s">
        <v>121</v>
      </c>
      <c r="C718" s="4" t="s">
        <v>82</v>
      </c>
      <c r="D718" s="4" t="s">
        <v>16</v>
      </c>
      <c r="E718">
        <v>0</v>
      </c>
      <c r="F718" s="3">
        <v>2677.0515</v>
      </c>
      <c r="G718" s="2">
        <v>0.54</v>
      </c>
      <c r="H718" s="3">
        <v>0</v>
      </c>
      <c r="I718" s="1">
        <v>45758</v>
      </c>
      <c r="J718" s="4" t="s">
        <v>11</v>
      </c>
      <c r="K718" s="4" t="s">
        <v>40</v>
      </c>
      <c r="L718" s="3">
        <v>2346.2199999999998</v>
      </c>
      <c r="M718" s="4" t="s">
        <v>1255</v>
      </c>
      <c r="N718" s="3">
        <v>0</v>
      </c>
    </row>
    <row r="719" spans="1:14" hidden="1" x14ac:dyDescent="0.35">
      <c r="A719">
        <v>1639</v>
      </c>
      <c r="B719" s="4" t="s">
        <v>722</v>
      </c>
      <c r="C719" s="4" t="s">
        <v>336</v>
      </c>
      <c r="D719" s="4" t="s">
        <v>16</v>
      </c>
      <c r="E719">
        <v>0</v>
      </c>
      <c r="F719" s="3">
        <v>4183.22</v>
      </c>
      <c r="G719" s="2">
        <v>0.652367149758454</v>
      </c>
      <c r="H719" s="3">
        <v>0</v>
      </c>
      <c r="I719" s="1">
        <v>45840</v>
      </c>
      <c r="J719" s="4" t="s">
        <v>18</v>
      </c>
      <c r="K719" s="4" t="s">
        <v>40</v>
      </c>
      <c r="L719" s="3">
        <v>532.80999999999995</v>
      </c>
      <c r="M719" s="4" t="s">
        <v>1255</v>
      </c>
      <c r="N719" s="3">
        <v>0</v>
      </c>
    </row>
    <row r="720" spans="1:14" x14ac:dyDescent="0.35">
      <c r="A720">
        <v>1640</v>
      </c>
      <c r="B720" s="4" t="s">
        <v>228</v>
      </c>
      <c r="C720" s="4" t="s">
        <v>448</v>
      </c>
      <c r="D720" s="4" t="s">
        <v>14</v>
      </c>
      <c r="E720">
        <v>0</v>
      </c>
      <c r="F720" s="3">
        <v>2677.0844999999999</v>
      </c>
      <c r="G720" s="2">
        <v>0.652367149758454</v>
      </c>
      <c r="H720" s="3">
        <v>0</v>
      </c>
      <c r="I720" s="1">
        <v>45629</v>
      </c>
      <c r="J720" s="4" t="s">
        <v>20</v>
      </c>
      <c r="K720" s="4" t="s">
        <v>8</v>
      </c>
      <c r="L720" s="3">
        <v>1823.75</v>
      </c>
      <c r="M720" s="4" t="s">
        <v>1255</v>
      </c>
      <c r="N720" s="3">
        <v>0</v>
      </c>
    </row>
    <row r="721" spans="1:14" x14ac:dyDescent="0.35">
      <c r="A721">
        <v>1641</v>
      </c>
      <c r="B721" s="4" t="s">
        <v>71</v>
      </c>
      <c r="C721" s="4" t="s">
        <v>444</v>
      </c>
      <c r="D721" s="4" t="s">
        <v>35</v>
      </c>
      <c r="E721">
        <v>0</v>
      </c>
      <c r="F721" s="3">
        <v>1278.98</v>
      </c>
      <c r="G721" s="2">
        <v>0.54</v>
      </c>
      <c r="H721" s="3">
        <v>0</v>
      </c>
      <c r="I721" s="1">
        <v>45830</v>
      </c>
      <c r="J721" s="4" t="s">
        <v>9</v>
      </c>
      <c r="K721" s="4" t="s">
        <v>8</v>
      </c>
      <c r="L721" s="3">
        <v>34.99</v>
      </c>
      <c r="M721" s="4" t="s">
        <v>1255</v>
      </c>
      <c r="N721" s="3">
        <v>0</v>
      </c>
    </row>
    <row r="722" spans="1:14" x14ac:dyDescent="0.35">
      <c r="A722">
        <v>1642</v>
      </c>
      <c r="B722" s="4" t="s">
        <v>723</v>
      </c>
      <c r="C722" s="4" t="s">
        <v>632</v>
      </c>
      <c r="D722" s="4" t="s">
        <v>30</v>
      </c>
      <c r="E722">
        <v>3</v>
      </c>
      <c r="F722" s="3">
        <v>2675.5461</v>
      </c>
      <c r="G722" s="2">
        <v>0.65254838709677399</v>
      </c>
      <c r="H722" s="3">
        <v>0</v>
      </c>
      <c r="I722" s="1">
        <v>45545</v>
      </c>
      <c r="J722" s="4" t="s">
        <v>23</v>
      </c>
      <c r="K722" s="4" t="s">
        <v>8</v>
      </c>
      <c r="L722" s="3">
        <v>2906.72</v>
      </c>
      <c r="M722" s="4" t="s">
        <v>1255</v>
      </c>
      <c r="N722" s="3">
        <v>8026.6382999999996</v>
      </c>
    </row>
    <row r="723" spans="1:14" x14ac:dyDescent="0.35">
      <c r="A723">
        <v>1643</v>
      </c>
      <c r="B723" s="4" t="s">
        <v>581</v>
      </c>
      <c r="C723" s="4" t="s">
        <v>724</v>
      </c>
      <c r="D723" s="4" t="s">
        <v>29</v>
      </c>
      <c r="E723">
        <v>-1</v>
      </c>
      <c r="F723" s="3">
        <v>2676.9740999999999</v>
      </c>
      <c r="G723" s="2">
        <v>0.35</v>
      </c>
      <c r="H723" s="3">
        <v>0</v>
      </c>
      <c r="I723" s="1">
        <v>45559</v>
      </c>
      <c r="J723" s="4" t="s">
        <v>18</v>
      </c>
      <c r="K723" s="4" t="s">
        <v>12</v>
      </c>
      <c r="L723" s="3">
        <v>2589.4299999999998</v>
      </c>
      <c r="M723" s="4" t="s">
        <v>1255</v>
      </c>
      <c r="N723" s="3">
        <v>-2676.9740999999999</v>
      </c>
    </row>
    <row r="724" spans="1:14" x14ac:dyDescent="0.35">
      <c r="A724">
        <v>1644</v>
      </c>
      <c r="B724" s="4" t="s">
        <v>50</v>
      </c>
      <c r="C724" s="4" t="s">
        <v>725</v>
      </c>
      <c r="D724" s="4" t="s">
        <v>25</v>
      </c>
      <c r="E724">
        <v>0</v>
      </c>
      <c r="F724" s="3">
        <v>2676.9740999999999</v>
      </c>
      <c r="G724" s="2">
        <v>0.65303715670436202</v>
      </c>
      <c r="H724" s="3">
        <v>0</v>
      </c>
      <c r="I724" s="1">
        <v>45559</v>
      </c>
      <c r="J724" s="4" t="s">
        <v>23</v>
      </c>
      <c r="K724" s="4" t="s">
        <v>8</v>
      </c>
      <c r="L724" s="3">
        <v>1343.06</v>
      </c>
      <c r="M724" s="4" t="s">
        <v>1255</v>
      </c>
      <c r="N724" s="3">
        <v>0</v>
      </c>
    </row>
    <row r="725" spans="1:14" x14ac:dyDescent="0.35">
      <c r="A725">
        <v>1645</v>
      </c>
      <c r="B725" s="4" t="s">
        <v>43</v>
      </c>
      <c r="C725" s="4" t="s">
        <v>726</v>
      </c>
      <c r="D725" s="4" t="s">
        <v>26</v>
      </c>
      <c r="E725">
        <v>-2</v>
      </c>
      <c r="F725" s="3">
        <v>2660.45</v>
      </c>
      <c r="G725" s="2">
        <v>0.22</v>
      </c>
      <c r="H725" s="3">
        <v>-4150.3</v>
      </c>
      <c r="I725" s="1">
        <v>45207</v>
      </c>
      <c r="J725" s="4" t="s">
        <v>18</v>
      </c>
      <c r="K725" s="4" t="s">
        <v>12</v>
      </c>
      <c r="L725" s="3">
        <v>-825.82</v>
      </c>
      <c r="M725" s="4" t="s">
        <v>1255</v>
      </c>
      <c r="N725" s="3">
        <v>-5320.9</v>
      </c>
    </row>
    <row r="726" spans="1:14" hidden="1" x14ac:dyDescent="0.35">
      <c r="A726">
        <v>1646</v>
      </c>
      <c r="B726" s="4" t="s">
        <v>260</v>
      </c>
      <c r="C726" s="4" t="s">
        <v>727</v>
      </c>
      <c r="D726" s="4" t="s">
        <v>32</v>
      </c>
      <c r="E726">
        <v>0</v>
      </c>
      <c r="F726" s="3">
        <v>3393.47</v>
      </c>
      <c r="G726" s="2">
        <v>0.38</v>
      </c>
      <c r="H726" s="3">
        <v>0</v>
      </c>
      <c r="I726" s="1">
        <v>45695</v>
      </c>
      <c r="J726" s="4" t="s">
        <v>9</v>
      </c>
      <c r="K726" s="4" t="s">
        <v>40</v>
      </c>
      <c r="L726" s="3">
        <v>925.07</v>
      </c>
      <c r="M726" s="4" t="s">
        <v>1255</v>
      </c>
      <c r="N726" s="3">
        <v>0</v>
      </c>
    </row>
    <row r="727" spans="1:14" x14ac:dyDescent="0.35">
      <c r="A727">
        <v>1647</v>
      </c>
      <c r="B727" s="4" t="s">
        <v>365</v>
      </c>
      <c r="C727" s="4" t="s">
        <v>257</v>
      </c>
      <c r="D727" s="4" t="s">
        <v>29</v>
      </c>
      <c r="E727">
        <v>0</v>
      </c>
      <c r="F727" s="3">
        <v>498.95</v>
      </c>
      <c r="G727" s="2">
        <v>1.19</v>
      </c>
      <c r="H727" s="3">
        <v>0</v>
      </c>
      <c r="I727" s="1">
        <v>45837</v>
      </c>
      <c r="J727" s="4" t="s">
        <v>11</v>
      </c>
      <c r="K727" s="4" t="s">
        <v>8</v>
      </c>
      <c r="L727" s="3">
        <v>-433.87</v>
      </c>
      <c r="M727" s="4" t="s">
        <v>1255</v>
      </c>
      <c r="N727" s="3">
        <v>0</v>
      </c>
    </row>
    <row r="728" spans="1:14" x14ac:dyDescent="0.35">
      <c r="A728">
        <v>1648</v>
      </c>
      <c r="B728" s="4" t="s">
        <v>373</v>
      </c>
      <c r="C728" s="4" t="s">
        <v>728</v>
      </c>
      <c r="D728" s="4" t="s">
        <v>27</v>
      </c>
      <c r="E728">
        <v>0</v>
      </c>
      <c r="F728" s="3">
        <v>2676.2568999999999</v>
      </c>
      <c r="G728" s="2">
        <v>0.65331168831168795</v>
      </c>
      <c r="H728" s="3">
        <v>0</v>
      </c>
      <c r="I728" s="1">
        <v>45746</v>
      </c>
      <c r="J728" s="4" t="s">
        <v>11</v>
      </c>
      <c r="K728" s="4" t="s">
        <v>12</v>
      </c>
      <c r="L728" s="3">
        <v>-952.5</v>
      </c>
      <c r="M728" s="4" t="s">
        <v>1255</v>
      </c>
      <c r="N728" s="3">
        <v>0</v>
      </c>
    </row>
    <row r="729" spans="1:14" x14ac:dyDescent="0.35">
      <c r="A729">
        <v>1649</v>
      </c>
      <c r="B729" s="4" t="s">
        <v>145</v>
      </c>
      <c r="C729" s="4" t="s">
        <v>194</v>
      </c>
      <c r="D729" s="4" t="s">
        <v>29</v>
      </c>
      <c r="E729">
        <v>0</v>
      </c>
      <c r="F729" s="3">
        <v>2678.49</v>
      </c>
      <c r="G729" s="2">
        <v>0.06</v>
      </c>
      <c r="H729" s="3">
        <v>0</v>
      </c>
      <c r="I729" s="1">
        <v>45666</v>
      </c>
      <c r="J729" s="4" t="s">
        <v>23</v>
      </c>
      <c r="K729" s="4" t="s">
        <v>12</v>
      </c>
      <c r="L729" s="3">
        <v>-640.58000000000004</v>
      </c>
      <c r="M729" s="4" t="s">
        <v>1255</v>
      </c>
      <c r="N729" s="3">
        <v>0</v>
      </c>
    </row>
    <row r="730" spans="1:14" hidden="1" x14ac:dyDescent="0.35">
      <c r="A730">
        <v>1650</v>
      </c>
      <c r="B730" s="4" t="s">
        <v>711</v>
      </c>
      <c r="C730" s="4" t="s">
        <v>505</v>
      </c>
      <c r="D730" s="4" t="s">
        <v>25</v>
      </c>
      <c r="E730">
        <v>2</v>
      </c>
      <c r="F730" s="3">
        <v>2678.49</v>
      </c>
      <c r="G730" s="2">
        <v>0.96</v>
      </c>
      <c r="H730" s="3">
        <v>0</v>
      </c>
      <c r="I730" s="1">
        <v>45617</v>
      </c>
      <c r="J730" s="4" t="s">
        <v>11</v>
      </c>
      <c r="K730" s="4" t="s">
        <v>40</v>
      </c>
      <c r="L730" s="3">
        <v>1943.2</v>
      </c>
      <c r="M730" s="4" t="s">
        <v>1255</v>
      </c>
      <c r="N730" s="3">
        <v>5356.98</v>
      </c>
    </row>
    <row r="731" spans="1:14" hidden="1" x14ac:dyDescent="0.35">
      <c r="A731">
        <v>1651</v>
      </c>
      <c r="B731" s="4" t="s">
        <v>262</v>
      </c>
      <c r="C731" s="4" t="s">
        <v>236</v>
      </c>
      <c r="D731" s="4" t="s">
        <v>22</v>
      </c>
      <c r="E731">
        <v>3</v>
      </c>
      <c r="F731" s="3">
        <v>2678.49</v>
      </c>
      <c r="G731" s="2">
        <v>0.05</v>
      </c>
      <c r="H731" s="3">
        <v>0</v>
      </c>
      <c r="I731" s="1">
        <v>45617</v>
      </c>
      <c r="J731" s="4" t="s">
        <v>11</v>
      </c>
      <c r="K731" s="4" t="s">
        <v>40</v>
      </c>
      <c r="L731" s="3">
        <v>-551.78</v>
      </c>
      <c r="M731" s="4" t="s">
        <v>1255</v>
      </c>
      <c r="N731" s="3">
        <v>8035.47</v>
      </c>
    </row>
    <row r="732" spans="1:14" hidden="1" x14ac:dyDescent="0.35">
      <c r="A732">
        <v>1652</v>
      </c>
      <c r="B732" s="4" t="s">
        <v>139</v>
      </c>
      <c r="C732" s="4" t="s">
        <v>420</v>
      </c>
      <c r="D732" s="4" t="s">
        <v>24</v>
      </c>
      <c r="E732">
        <v>0</v>
      </c>
      <c r="F732" s="3">
        <v>2375.56</v>
      </c>
      <c r="G732" s="2">
        <v>0.59</v>
      </c>
      <c r="H732" s="3">
        <v>0</v>
      </c>
      <c r="I732" s="1">
        <v>45617</v>
      </c>
      <c r="J732" s="4" t="s">
        <v>23</v>
      </c>
      <c r="K732" s="4" t="s">
        <v>40</v>
      </c>
      <c r="L732" s="3">
        <v>2699.88</v>
      </c>
      <c r="M732" s="4" t="s">
        <v>1255</v>
      </c>
      <c r="N732" s="3">
        <v>0</v>
      </c>
    </row>
    <row r="733" spans="1:14" x14ac:dyDescent="0.35">
      <c r="A733">
        <v>1653</v>
      </c>
      <c r="B733" s="4" t="s">
        <v>200</v>
      </c>
      <c r="C733" s="4" t="s">
        <v>149</v>
      </c>
      <c r="D733" s="4" t="s">
        <v>30</v>
      </c>
      <c r="E733">
        <v>0</v>
      </c>
      <c r="F733" s="3">
        <v>2563.6</v>
      </c>
      <c r="G733" s="2">
        <v>0.88</v>
      </c>
      <c r="H733" s="3">
        <v>0</v>
      </c>
      <c r="I733" s="1">
        <v>45822</v>
      </c>
      <c r="J733" s="4" t="s">
        <v>11</v>
      </c>
      <c r="K733" s="4" t="s">
        <v>12</v>
      </c>
      <c r="L733" s="3">
        <v>516.95000000000005</v>
      </c>
      <c r="M733" s="4" t="s">
        <v>1255</v>
      </c>
      <c r="N733" s="3">
        <v>0</v>
      </c>
    </row>
    <row r="734" spans="1:14" x14ac:dyDescent="0.35">
      <c r="A734">
        <v>1654</v>
      </c>
      <c r="B734" s="4" t="s">
        <v>79</v>
      </c>
      <c r="C734" s="4" t="s">
        <v>316</v>
      </c>
      <c r="D734" s="4" t="s">
        <v>35</v>
      </c>
      <c r="E734">
        <v>1</v>
      </c>
      <c r="F734" s="3">
        <v>2678.8009999999999</v>
      </c>
      <c r="G734" s="2">
        <v>0.65450081833060503</v>
      </c>
      <c r="H734" s="3">
        <v>0</v>
      </c>
      <c r="I734" s="1">
        <v>45523</v>
      </c>
      <c r="J734" s="4" t="s">
        <v>9</v>
      </c>
      <c r="K734" s="4" t="s">
        <v>12</v>
      </c>
      <c r="L734" s="3">
        <v>1433.43</v>
      </c>
      <c r="M734" s="4" t="s">
        <v>1255</v>
      </c>
      <c r="N734" s="3">
        <v>2678.8009999999999</v>
      </c>
    </row>
    <row r="735" spans="1:14" x14ac:dyDescent="0.35">
      <c r="A735">
        <v>1655</v>
      </c>
      <c r="B735" s="4" t="s">
        <v>468</v>
      </c>
      <c r="C735" s="4" t="s">
        <v>613</v>
      </c>
      <c r="D735" s="4" t="s">
        <v>16</v>
      </c>
      <c r="E735">
        <v>5</v>
      </c>
      <c r="F735" s="3">
        <v>1385.86</v>
      </c>
      <c r="G735" s="2">
        <v>0.71</v>
      </c>
      <c r="H735" s="3">
        <v>2009.5</v>
      </c>
      <c r="I735" s="1">
        <v>45809</v>
      </c>
      <c r="J735" s="4" t="s">
        <v>11</v>
      </c>
      <c r="K735" s="4" t="s">
        <v>8</v>
      </c>
      <c r="L735" s="3">
        <v>1839.94</v>
      </c>
      <c r="M735" s="4" t="s">
        <v>1256</v>
      </c>
      <c r="N735" s="3">
        <v>6929.3</v>
      </c>
    </row>
    <row r="736" spans="1:14" hidden="1" x14ac:dyDescent="0.35">
      <c r="A736">
        <v>1656</v>
      </c>
      <c r="B736" s="4" t="s">
        <v>93</v>
      </c>
      <c r="C736" s="4" t="s">
        <v>374</v>
      </c>
      <c r="D736" s="4" t="s">
        <v>38</v>
      </c>
      <c r="E736">
        <v>0</v>
      </c>
      <c r="F736" s="3">
        <v>2678.9194000000002</v>
      </c>
      <c r="G736" s="2">
        <v>0.65440983606557301</v>
      </c>
      <c r="H736" s="3">
        <v>0</v>
      </c>
      <c r="I736" s="1">
        <v>45647</v>
      </c>
      <c r="J736" s="4" t="s">
        <v>7</v>
      </c>
      <c r="K736" s="4" t="s">
        <v>40</v>
      </c>
      <c r="L736" s="3">
        <v>1872.27</v>
      </c>
      <c r="M736" s="4" t="s">
        <v>1255</v>
      </c>
      <c r="N736" s="3">
        <v>0</v>
      </c>
    </row>
    <row r="737" spans="1:14" x14ac:dyDescent="0.35">
      <c r="A737">
        <v>1657</v>
      </c>
      <c r="B737" s="4" t="s">
        <v>65</v>
      </c>
      <c r="C737" s="4" t="s">
        <v>186</v>
      </c>
      <c r="D737" s="4" t="s">
        <v>32</v>
      </c>
      <c r="E737">
        <v>0</v>
      </c>
      <c r="F737" s="3">
        <v>2680.2496999999998</v>
      </c>
      <c r="G737" s="2">
        <v>0.65440983606557301</v>
      </c>
      <c r="H737" s="3">
        <v>0</v>
      </c>
      <c r="I737" s="1">
        <v>45520</v>
      </c>
      <c r="J737" s="4" t="s">
        <v>18</v>
      </c>
      <c r="K737" s="4" t="s">
        <v>12</v>
      </c>
      <c r="L737" s="3">
        <v>2507.9299999999998</v>
      </c>
      <c r="M737" s="4" t="s">
        <v>1255</v>
      </c>
      <c r="N737" s="3">
        <v>0</v>
      </c>
    </row>
    <row r="738" spans="1:14" hidden="1" x14ac:dyDescent="0.35">
      <c r="A738">
        <v>1658</v>
      </c>
      <c r="B738" s="4" t="s">
        <v>116</v>
      </c>
      <c r="C738" s="4" t="s">
        <v>682</v>
      </c>
      <c r="D738" s="4" t="s">
        <v>10</v>
      </c>
      <c r="E738">
        <v>0</v>
      </c>
      <c r="F738" s="3">
        <v>2680.2496999999998</v>
      </c>
      <c r="G738" s="2">
        <v>0.65440983606557301</v>
      </c>
      <c r="H738" s="3">
        <v>0</v>
      </c>
      <c r="I738" s="1">
        <v>45750</v>
      </c>
      <c r="J738" s="4" t="s">
        <v>18</v>
      </c>
      <c r="K738" s="4" t="s">
        <v>40</v>
      </c>
      <c r="L738" s="3">
        <v>2996.16</v>
      </c>
      <c r="M738" s="4" t="s">
        <v>1255</v>
      </c>
      <c r="N738" s="3">
        <v>0</v>
      </c>
    </row>
    <row r="739" spans="1:14" x14ac:dyDescent="0.35">
      <c r="A739">
        <v>1659</v>
      </c>
      <c r="B739" s="4" t="s">
        <v>224</v>
      </c>
      <c r="C739" s="4" t="s">
        <v>209</v>
      </c>
      <c r="D739" s="4" t="s">
        <v>22</v>
      </c>
      <c r="E739">
        <v>0</v>
      </c>
      <c r="F739" s="3">
        <v>1014.86</v>
      </c>
      <c r="G739" s="2">
        <v>0.31</v>
      </c>
      <c r="H739" s="3">
        <v>0</v>
      </c>
      <c r="I739" s="1">
        <v>45750</v>
      </c>
      <c r="J739" s="4" t="s">
        <v>20</v>
      </c>
      <c r="K739" s="4" t="s">
        <v>8</v>
      </c>
      <c r="L739" s="3">
        <v>-379.55</v>
      </c>
      <c r="M739" s="4" t="s">
        <v>1255</v>
      </c>
      <c r="N739" s="3">
        <v>0</v>
      </c>
    </row>
    <row r="740" spans="1:14" x14ac:dyDescent="0.35">
      <c r="A740">
        <v>1660</v>
      </c>
      <c r="B740" s="4" t="s">
        <v>729</v>
      </c>
      <c r="C740" s="4" t="s">
        <v>82</v>
      </c>
      <c r="D740" s="4" t="s">
        <v>6</v>
      </c>
      <c r="E740">
        <v>0</v>
      </c>
      <c r="F740" s="3">
        <v>2680.2496999999998</v>
      </c>
      <c r="G740" s="2">
        <v>1.1000000000000001</v>
      </c>
      <c r="H740" s="3">
        <v>0</v>
      </c>
      <c r="I740" s="1">
        <v>45737</v>
      </c>
      <c r="J740" s="4" t="s">
        <v>11</v>
      </c>
      <c r="K740" s="4" t="s">
        <v>12</v>
      </c>
      <c r="L740" s="3">
        <v>2345.37</v>
      </c>
      <c r="M740" s="4" t="s">
        <v>1255</v>
      </c>
      <c r="N740" s="3">
        <v>0</v>
      </c>
    </row>
    <row r="741" spans="1:14" hidden="1" x14ac:dyDescent="0.35">
      <c r="A741">
        <v>1661</v>
      </c>
      <c r="B741" s="4" t="s">
        <v>439</v>
      </c>
      <c r="C741" s="4" t="s">
        <v>412</v>
      </c>
      <c r="D741" s="4" t="s">
        <v>29</v>
      </c>
      <c r="E741">
        <v>-2</v>
      </c>
      <c r="F741" s="3">
        <v>2681.9648999999999</v>
      </c>
      <c r="G741" s="2">
        <v>0.654243421052631</v>
      </c>
      <c r="H741" s="3">
        <v>0</v>
      </c>
      <c r="I741" s="1">
        <v>45633</v>
      </c>
      <c r="J741" s="4" t="s">
        <v>18</v>
      </c>
      <c r="K741" s="4" t="s">
        <v>40</v>
      </c>
      <c r="L741" s="3">
        <v>49.2</v>
      </c>
      <c r="M741" s="4" t="s">
        <v>1255</v>
      </c>
      <c r="N741" s="3">
        <v>-5363.9297999999999</v>
      </c>
    </row>
    <row r="742" spans="1:14" x14ac:dyDescent="0.35">
      <c r="A742">
        <v>1662</v>
      </c>
      <c r="B742" s="4" t="s">
        <v>172</v>
      </c>
      <c r="C742" s="4" t="s">
        <v>449</v>
      </c>
      <c r="D742" s="4" t="s">
        <v>14</v>
      </c>
      <c r="E742">
        <v>6</v>
      </c>
      <c r="F742" s="3">
        <v>2681.9648999999999</v>
      </c>
      <c r="G742" s="2">
        <v>0.96</v>
      </c>
      <c r="H742" s="3">
        <v>0</v>
      </c>
      <c r="I742" s="1">
        <v>45633</v>
      </c>
      <c r="J742" s="4" t="s">
        <v>9</v>
      </c>
      <c r="K742" s="4" t="s">
        <v>8</v>
      </c>
      <c r="L742" s="3">
        <v>665.51</v>
      </c>
      <c r="M742" s="4" t="s">
        <v>1255</v>
      </c>
      <c r="N742" s="3">
        <v>16091.7894</v>
      </c>
    </row>
    <row r="743" spans="1:14" hidden="1" x14ac:dyDescent="0.35">
      <c r="A743">
        <v>1663</v>
      </c>
      <c r="B743" s="4" t="s">
        <v>198</v>
      </c>
      <c r="C743" s="4" t="s">
        <v>730</v>
      </c>
      <c r="D743" s="4" t="s">
        <v>13</v>
      </c>
      <c r="E743">
        <v>3</v>
      </c>
      <c r="F743" s="3">
        <v>2681.9648999999999</v>
      </c>
      <c r="G743" s="2">
        <v>0.65373970345963694</v>
      </c>
      <c r="H743" s="3">
        <v>0</v>
      </c>
      <c r="I743" s="1">
        <v>45514</v>
      </c>
      <c r="J743" s="4" t="s">
        <v>18</v>
      </c>
      <c r="K743" s="4" t="s">
        <v>40</v>
      </c>
      <c r="L743" s="3">
        <v>2091.5300000000002</v>
      </c>
      <c r="M743" s="4" t="s">
        <v>1255</v>
      </c>
      <c r="N743" s="3">
        <v>8045.8946999999998</v>
      </c>
    </row>
    <row r="744" spans="1:14" hidden="1" x14ac:dyDescent="0.35">
      <c r="A744">
        <v>1664</v>
      </c>
      <c r="B744" s="4" t="s">
        <v>128</v>
      </c>
      <c r="C744" s="4" t="s">
        <v>102</v>
      </c>
      <c r="D744" s="4" t="s">
        <v>29</v>
      </c>
      <c r="E744">
        <v>-1</v>
      </c>
      <c r="F744" s="3">
        <v>2681.9648999999999</v>
      </c>
      <c r="G744" s="2">
        <v>0.65373970345963694</v>
      </c>
      <c r="H744" s="3">
        <v>0</v>
      </c>
      <c r="I744" s="1">
        <v>45797</v>
      </c>
      <c r="J744" s="4" t="s">
        <v>23</v>
      </c>
      <c r="K744" s="4" t="s">
        <v>40</v>
      </c>
      <c r="L744" s="3">
        <v>844.94</v>
      </c>
      <c r="M744" s="4" t="s">
        <v>1255</v>
      </c>
      <c r="N744" s="3">
        <v>-2681.9648999999999</v>
      </c>
    </row>
    <row r="745" spans="1:14" x14ac:dyDescent="0.35">
      <c r="A745">
        <v>1665</v>
      </c>
      <c r="B745" s="4" t="s">
        <v>65</v>
      </c>
      <c r="C745" s="4" t="s">
        <v>270</v>
      </c>
      <c r="D745" s="4" t="s">
        <v>15</v>
      </c>
      <c r="E745">
        <v>0</v>
      </c>
      <c r="F745" s="3">
        <v>4504.03</v>
      </c>
      <c r="G745" s="2">
        <v>0.65373970345963694</v>
      </c>
      <c r="H745" s="3">
        <v>0</v>
      </c>
      <c r="I745" s="1">
        <v>45739</v>
      </c>
      <c r="J745" s="4" t="s">
        <v>7</v>
      </c>
      <c r="K745" s="4" t="s">
        <v>8</v>
      </c>
      <c r="L745" s="3">
        <v>1488.95</v>
      </c>
      <c r="M745" s="4" t="s">
        <v>1255</v>
      </c>
      <c r="N745" s="3">
        <v>0</v>
      </c>
    </row>
    <row r="746" spans="1:14" x14ac:dyDescent="0.35">
      <c r="A746">
        <v>1666</v>
      </c>
      <c r="B746" s="4" t="s">
        <v>549</v>
      </c>
      <c r="C746" s="4" t="s">
        <v>731</v>
      </c>
      <c r="D746" s="4" t="s">
        <v>21</v>
      </c>
      <c r="E746">
        <v>0</v>
      </c>
      <c r="F746" s="3">
        <v>973.63</v>
      </c>
      <c r="G746" s="2">
        <v>0.65373970345963694</v>
      </c>
      <c r="H746" s="3">
        <v>0</v>
      </c>
      <c r="I746" s="1">
        <v>45609</v>
      </c>
      <c r="J746" s="4" t="s">
        <v>7</v>
      </c>
      <c r="K746" s="4" t="s">
        <v>8</v>
      </c>
      <c r="L746" s="3">
        <v>-148.66999999999999</v>
      </c>
      <c r="M746" s="4" t="s">
        <v>1255</v>
      </c>
      <c r="N746" s="3">
        <v>0</v>
      </c>
    </row>
    <row r="747" spans="1:14" x14ac:dyDescent="0.35">
      <c r="A747">
        <v>1667</v>
      </c>
      <c r="B747" s="4" t="s">
        <v>197</v>
      </c>
      <c r="C747" s="4" t="s">
        <v>732</v>
      </c>
      <c r="D747" s="4" t="s">
        <v>22</v>
      </c>
      <c r="E747">
        <v>0</v>
      </c>
      <c r="F747" s="3">
        <v>4021</v>
      </c>
      <c r="G747" s="2">
        <v>0.65373970345963694</v>
      </c>
      <c r="H747" s="3">
        <v>0</v>
      </c>
      <c r="I747" s="1">
        <v>45598</v>
      </c>
      <c r="J747" s="4" t="s">
        <v>11</v>
      </c>
      <c r="K747" s="4" t="s">
        <v>12</v>
      </c>
      <c r="L747" s="3">
        <v>2323.66</v>
      </c>
      <c r="M747" s="4" t="s">
        <v>1255</v>
      </c>
      <c r="N747" s="3">
        <v>0</v>
      </c>
    </row>
    <row r="748" spans="1:14" hidden="1" x14ac:dyDescent="0.35">
      <c r="A748">
        <v>1668</v>
      </c>
      <c r="B748" s="4" t="s">
        <v>355</v>
      </c>
      <c r="C748" s="4" t="s">
        <v>733</v>
      </c>
      <c r="D748" s="4" t="s">
        <v>16</v>
      </c>
      <c r="E748">
        <v>0</v>
      </c>
      <c r="F748" s="3">
        <v>2534.08</v>
      </c>
      <c r="G748" s="2">
        <v>0.65373970345963694</v>
      </c>
      <c r="H748" s="3">
        <v>0</v>
      </c>
      <c r="I748" s="1">
        <v>45587</v>
      </c>
      <c r="J748" s="4" t="s">
        <v>23</v>
      </c>
      <c r="K748" s="4" t="s">
        <v>40</v>
      </c>
      <c r="L748" s="3">
        <v>941.2</v>
      </c>
      <c r="M748" s="4" t="s">
        <v>1255</v>
      </c>
      <c r="N748" s="3">
        <v>0</v>
      </c>
    </row>
    <row r="749" spans="1:14" x14ac:dyDescent="0.35">
      <c r="A749">
        <v>1669</v>
      </c>
      <c r="B749" s="4" t="s">
        <v>678</v>
      </c>
      <c r="C749" s="4" t="s">
        <v>734</v>
      </c>
      <c r="D749" s="4" t="s">
        <v>29</v>
      </c>
      <c r="E749">
        <v>0</v>
      </c>
      <c r="F749" s="3">
        <v>1838.63</v>
      </c>
      <c r="G749" s="2">
        <v>0.65373970345963694</v>
      </c>
      <c r="H749" s="3">
        <v>0</v>
      </c>
      <c r="I749" s="1">
        <v>45587</v>
      </c>
      <c r="J749" s="4" t="s">
        <v>20</v>
      </c>
      <c r="K749" s="4" t="s">
        <v>8</v>
      </c>
      <c r="L749" s="3">
        <v>-524.25</v>
      </c>
      <c r="M749" s="4" t="s">
        <v>1255</v>
      </c>
      <c r="N749" s="3">
        <v>0</v>
      </c>
    </row>
    <row r="750" spans="1:14" x14ac:dyDescent="0.35">
      <c r="A750">
        <v>1670</v>
      </c>
      <c r="B750" s="4" t="s">
        <v>262</v>
      </c>
      <c r="C750" s="4" t="s">
        <v>388</v>
      </c>
      <c r="D750" s="4" t="s">
        <v>26</v>
      </c>
      <c r="E750">
        <v>0</v>
      </c>
      <c r="F750" s="3">
        <v>2680.6154999999999</v>
      </c>
      <c r="G750" s="2">
        <v>0.69</v>
      </c>
      <c r="H750" s="3">
        <v>0</v>
      </c>
      <c r="I750" s="1">
        <v>45518</v>
      </c>
      <c r="J750" s="4" t="s">
        <v>23</v>
      </c>
      <c r="K750" s="4" t="s">
        <v>12</v>
      </c>
      <c r="L750" s="3">
        <v>462.22</v>
      </c>
      <c r="M750" s="4" t="s">
        <v>1255</v>
      </c>
      <c r="N750" s="3">
        <v>0</v>
      </c>
    </row>
    <row r="751" spans="1:14" x14ac:dyDescent="0.35">
      <c r="A751">
        <v>1671</v>
      </c>
      <c r="B751" s="4" t="s">
        <v>185</v>
      </c>
      <c r="C751" s="4" t="s">
        <v>46</v>
      </c>
      <c r="D751" s="4" t="s">
        <v>6</v>
      </c>
      <c r="E751">
        <v>0</v>
      </c>
      <c r="F751" s="3">
        <v>4417.34</v>
      </c>
      <c r="G751" s="2">
        <v>0.653679867986798</v>
      </c>
      <c r="H751" s="3">
        <v>0</v>
      </c>
      <c r="I751" s="1">
        <v>45626</v>
      </c>
      <c r="J751" s="4" t="s">
        <v>9</v>
      </c>
      <c r="K751" s="4" t="s">
        <v>12</v>
      </c>
      <c r="L751" s="3">
        <v>-72.28</v>
      </c>
      <c r="M751" s="4" t="s">
        <v>1255</v>
      </c>
      <c r="N751" s="3">
        <v>0</v>
      </c>
    </row>
    <row r="752" spans="1:14" x14ac:dyDescent="0.35">
      <c r="A752">
        <v>1672</v>
      </c>
      <c r="B752" s="4" t="s">
        <v>278</v>
      </c>
      <c r="C752" s="4" t="s">
        <v>735</v>
      </c>
      <c r="D752" s="4" t="s">
        <v>14</v>
      </c>
      <c r="E752">
        <v>5</v>
      </c>
      <c r="F752" s="3">
        <v>2681.4870999999998</v>
      </c>
      <c r="G752" s="2">
        <v>0.653679867986798</v>
      </c>
      <c r="H752" s="3">
        <v>0</v>
      </c>
      <c r="I752" s="1">
        <v>45626</v>
      </c>
      <c r="J752" s="4" t="s">
        <v>7</v>
      </c>
      <c r="K752" s="4" t="s">
        <v>12</v>
      </c>
      <c r="L752" s="3">
        <v>-587.27</v>
      </c>
      <c r="M752" s="4" t="s">
        <v>1255</v>
      </c>
      <c r="N752" s="3">
        <v>13407.4355</v>
      </c>
    </row>
    <row r="753" spans="1:14" hidden="1" x14ac:dyDescent="0.35">
      <c r="A753">
        <v>1673</v>
      </c>
      <c r="B753" s="4" t="s">
        <v>452</v>
      </c>
      <c r="C753" s="4" t="s">
        <v>336</v>
      </c>
      <c r="D753" s="4" t="s">
        <v>33</v>
      </c>
      <c r="E753">
        <v>0</v>
      </c>
      <c r="F753" s="3">
        <v>3992.21</v>
      </c>
      <c r="G753" s="2">
        <v>0.67</v>
      </c>
      <c r="H753" s="3">
        <v>0</v>
      </c>
      <c r="I753" s="1">
        <v>45626</v>
      </c>
      <c r="J753" s="4" t="s">
        <v>11</v>
      </c>
      <c r="K753" s="4" t="s">
        <v>40</v>
      </c>
      <c r="L753" s="3">
        <v>617.12</v>
      </c>
      <c r="M753" s="4" t="s">
        <v>1255</v>
      </c>
      <c r="N753" s="3">
        <v>0</v>
      </c>
    </row>
    <row r="754" spans="1:14" hidden="1" x14ac:dyDescent="0.35">
      <c r="A754">
        <v>1674</v>
      </c>
      <c r="B754" s="4" t="s">
        <v>130</v>
      </c>
      <c r="C754" s="4" t="s">
        <v>736</v>
      </c>
      <c r="D754" s="4" t="s">
        <v>21</v>
      </c>
      <c r="E754">
        <v>0</v>
      </c>
      <c r="F754" s="3">
        <v>2679.6882999999998</v>
      </c>
      <c r="G754" s="2">
        <v>0.19</v>
      </c>
      <c r="H754" s="3">
        <v>0</v>
      </c>
      <c r="I754" s="1">
        <v>45781</v>
      </c>
      <c r="J754" s="4" t="s">
        <v>18</v>
      </c>
      <c r="K754" s="4" t="s">
        <v>40</v>
      </c>
      <c r="L754" s="3">
        <v>-680.26</v>
      </c>
      <c r="M754" s="4" t="s">
        <v>1255</v>
      </c>
      <c r="N754" s="3">
        <v>0</v>
      </c>
    </row>
    <row r="755" spans="1:14" x14ac:dyDescent="0.35">
      <c r="A755">
        <v>1675</v>
      </c>
      <c r="B755" s="4" t="s">
        <v>77</v>
      </c>
      <c r="C755" s="4" t="s">
        <v>737</v>
      </c>
      <c r="D755" s="4" t="s">
        <v>17</v>
      </c>
      <c r="E755">
        <v>0</v>
      </c>
      <c r="F755" s="3">
        <v>2678.3267000000001</v>
      </c>
      <c r="G755" s="2">
        <v>0.65442052980132404</v>
      </c>
      <c r="H755" s="3">
        <v>0</v>
      </c>
      <c r="I755" s="1">
        <v>45778</v>
      </c>
      <c r="J755" s="4" t="s">
        <v>11</v>
      </c>
      <c r="K755" s="4" t="s">
        <v>8</v>
      </c>
      <c r="L755" s="3">
        <v>340.43</v>
      </c>
      <c r="M755" s="4" t="s">
        <v>1255</v>
      </c>
      <c r="N755" s="3">
        <v>0</v>
      </c>
    </row>
    <row r="756" spans="1:14" hidden="1" x14ac:dyDescent="0.35">
      <c r="A756">
        <v>1676</v>
      </c>
      <c r="B756" s="4" t="s">
        <v>392</v>
      </c>
      <c r="C756" s="4" t="s">
        <v>738</v>
      </c>
      <c r="D756" s="4" t="s">
        <v>24</v>
      </c>
      <c r="E756">
        <v>0</v>
      </c>
      <c r="F756" s="3">
        <v>4351.82</v>
      </c>
      <c r="G756" s="2">
        <v>0.65442052980132404</v>
      </c>
      <c r="H756" s="3">
        <v>0</v>
      </c>
      <c r="I756" s="1">
        <v>45778</v>
      </c>
      <c r="J756" s="4" t="s">
        <v>18</v>
      </c>
      <c r="K756" s="4" t="s">
        <v>40</v>
      </c>
      <c r="L756" s="3">
        <v>1818.14</v>
      </c>
      <c r="M756" s="4" t="s">
        <v>1255</v>
      </c>
      <c r="N756" s="3">
        <v>0</v>
      </c>
    </row>
    <row r="757" spans="1:14" hidden="1" x14ac:dyDescent="0.35">
      <c r="A757">
        <v>1677</v>
      </c>
      <c r="B757" s="4" t="s">
        <v>145</v>
      </c>
      <c r="C757" s="4" t="s">
        <v>227</v>
      </c>
      <c r="D757" s="4" t="s">
        <v>27</v>
      </c>
      <c r="E757">
        <v>0</v>
      </c>
      <c r="F757" s="3">
        <v>4639.8599999999997</v>
      </c>
      <c r="G757" s="2">
        <v>0.69</v>
      </c>
      <c r="H757" s="3">
        <v>0</v>
      </c>
      <c r="I757" s="1">
        <v>45209</v>
      </c>
      <c r="J757" s="4" t="s">
        <v>23</v>
      </c>
      <c r="K757" s="4" t="s">
        <v>40</v>
      </c>
      <c r="L757" s="3">
        <v>1323.79</v>
      </c>
      <c r="M757" s="4" t="s">
        <v>1255</v>
      </c>
      <c r="N757" s="3">
        <v>0</v>
      </c>
    </row>
    <row r="758" spans="1:14" hidden="1" x14ac:dyDescent="0.35">
      <c r="A758">
        <v>1679</v>
      </c>
      <c r="B758" s="4" t="s">
        <v>544</v>
      </c>
      <c r="C758" s="4" t="s">
        <v>598</v>
      </c>
      <c r="D758" s="4" t="s">
        <v>26</v>
      </c>
      <c r="E758">
        <v>1</v>
      </c>
      <c r="F758" s="3">
        <v>4198.5</v>
      </c>
      <c r="G758" s="2">
        <v>0.65436152570480899</v>
      </c>
      <c r="H758" s="3">
        <v>0</v>
      </c>
      <c r="I758" s="1">
        <v>45494</v>
      </c>
      <c r="J758" s="4" t="s">
        <v>20</v>
      </c>
      <c r="K758" s="4" t="s">
        <v>40</v>
      </c>
      <c r="L758" s="3">
        <v>2518.86</v>
      </c>
      <c r="M758" s="4" t="s">
        <v>1255</v>
      </c>
      <c r="N758" s="3">
        <v>4198.5</v>
      </c>
    </row>
    <row r="759" spans="1:14" x14ac:dyDescent="0.35">
      <c r="A759">
        <v>1680</v>
      </c>
      <c r="B759" s="4" t="s">
        <v>116</v>
      </c>
      <c r="C759" s="4" t="s">
        <v>739</v>
      </c>
      <c r="D759" s="4" t="s">
        <v>21</v>
      </c>
      <c r="E759">
        <v>0</v>
      </c>
      <c r="F759" s="3">
        <v>2675.8431999999998</v>
      </c>
      <c r="G759" s="2">
        <v>0.65436152570480899</v>
      </c>
      <c r="H759" s="3">
        <v>0</v>
      </c>
      <c r="I759" s="1">
        <v>45561</v>
      </c>
      <c r="J759" s="4" t="s">
        <v>9</v>
      </c>
      <c r="K759" s="4" t="s">
        <v>12</v>
      </c>
      <c r="L759" s="3">
        <v>2873.92</v>
      </c>
      <c r="M759" s="4" t="s">
        <v>1255</v>
      </c>
      <c r="N759" s="3">
        <v>0</v>
      </c>
    </row>
    <row r="760" spans="1:14" x14ac:dyDescent="0.35">
      <c r="A760">
        <v>1681</v>
      </c>
      <c r="B760" s="4" t="s">
        <v>54</v>
      </c>
      <c r="C760" s="4" t="s">
        <v>607</v>
      </c>
      <c r="D760" s="4" t="s">
        <v>24</v>
      </c>
      <c r="E760">
        <v>0</v>
      </c>
      <c r="F760" s="3">
        <v>2674.2570999999998</v>
      </c>
      <c r="G760" s="2">
        <v>0.26</v>
      </c>
      <c r="H760" s="3">
        <v>0</v>
      </c>
      <c r="I760" s="1">
        <v>45337</v>
      </c>
      <c r="J760" s="4" t="s">
        <v>9</v>
      </c>
      <c r="K760" s="4" t="s">
        <v>12</v>
      </c>
      <c r="L760" s="3">
        <v>-579.16</v>
      </c>
      <c r="M760" s="4" t="s">
        <v>1255</v>
      </c>
      <c r="N760" s="3">
        <v>0</v>
      </c>
    </row>
    <row r="761" spans="1:14" x14ac:dyDescent="0.35">
      <c r="A761">
        <v>1682</v>
      </c>
      <c r="B761" s="4" t="s">
        <v>740</v>
      </c>
      <c r="C761" s="4" t="s">
        <v>741</v>
      </c>
      <c r="D761" s="4" t="s">
        <v>19</v>
      </c>
      <c r="E761">
        <v>5</v>
      </c>
      <c r="F761" s="3">
        <v>4307.08</v>
      </c>
      <c r="G761" s="2">
        <v>1.26</v>
      </c>
      <c r="H761" s="3">
        <v>-5599.2</v>
      </c>
      <c r="I761" s="1">
        <v>45654</v>
      </c>
      <c r="J761" s="4" t="s">
        <v>7</v>
      </c>
      <c r="K761" s="4" t="s">
        <v>8</v>
      </c>
      <c r="L761" s="3">
        <v>961.46</v>
      </c>
      <c r="M761" s="4" t="s">
        <v>1255</v>
      </c>
      <c r="N761" s="3">
        <v>21535.4</v>
      </c>
    </row>
    <row r="762" spans="1:14" x14ac:dyDescent="0.35">
      <c r="A762">
        <v>1683</v>
      </c>
      <c r="B762" s="4" t="s">
        <v>373</v>
      </c>
      <c r="C762" s="4" t="s">
        <v>197</v>
      </c>
      <c r="D762" s="4" t="s">
        <v>32</v>
      </c>
      <c r="E762">
        <v>0</v>
      </c>
      <c r="F762" s="3">
        <v>1743.64</v>
      </c>
      <c r="G762" s="2">
        <v>0.65400998336106397</v>
      </c>
      <c r="H762" s="3">
        <v>0</v>
      </c>
      <c r="I762" s="1">
        <v>45654</v>
      </c>
      <c r="J762" s="4" t="s">
        <v>20</v>
      </c>
      <c r="K762" s="4" t="s">
        <v>8</v>
      </c>
      <c r="L762" s="3">
        <v>32.33</v>
      </c>
      <c r="M762" s="4" t="s">
        <v>1255</v>
      </c>
      <c r="N762" s="3">
        <v>0</v>
      </c>
    </row>
    <row r="763" spans="1:14" hidden="1" x14ac:dyDescent="0.35">
      <c r="A763">
        <v>1684</v>
      </c>
      <c r="B763" s="4" t="s">
        <v>60</v>
      </c>
      <c r="C763" s="4" t="s">
        <v>742</v>
      </c>
      <c r="D763" s="4" t="s">
        <v>24</v>
      </c>
      <c r="E763">
        <v>-2</v>
      </c>
      <c r="F763" s="3">
        <v>3537.97</v>
      </c>
      <c r="G763" s="2">
        <v>0.26</v>
      </c>
      <c r="H763" s="3">
        <v>-5236.2</v>
      </c>
      <c r="I763" s="1">
        <v>45509</v>
      </c>
      <c r="J763" s="4" t="s">
        <v>18</v>
      </c>
      <c r="K763" s="4" t="s">
        <v>40</v>
      </c>
      <c r="L763" s="3">
        <v>1385.75</v>
      </c>
      <c r="M763" s="4" t="s">
        <v>1255</v>
      </c>
      <c r="N763" s="3">
        <v>-7075.94</v>
      </c>
    </row>
    <row r="764" spans="1:14" x14ac:dyDescent="0.35">
      <c r="A764">
        <v>1685</v>
      </c>
      <c r="B764" s="4" t="s">
        <v>743</v>
      </c>
      <c r="C764" s="4" t="s">
        <v>744</v>
      </c>
      <c r="D764" s="4" t="s">
        <v>31</v>
      </c>
      <c r="E764">
        <v>4</v>
      </c>
      <c r="F764" s="3">
        <v>2673.5241999999998</v>
      </c>
      <c r="G764" s="2">
        <v>0.65466666666666595</v>
      </c>
      <c r="H764" s="3">
        <v>0</v>
      </c>
      <c r="I764" s="1">
        <v>45509</v>
      </c>
      <c r="J764" s="4" t="s">
        <v>23</v>
      </c>
      <c r="K764" s="4" t="s">
        <v>12</v>
      </c>
      <c r="L764" s="3">
        <v>1108.04</v>
      </c>
      <c r="M764" s="4" t="s">
        <v>1255</v>
      </c>
      <c r="N764" s="3">
        <v>10694.096799999999</v>
      </c>
    </row>
    <row r="765" spans="1:14" hidden="1" x14ac:dyDescent="0.35">
      <c r="A765">
        <v>1686</v>
      </c>
      <c r="B765" s="4" t="s">
        <v>172</v>
      </c>
      <c r="C765" s="4" t="s">
        <v>191</v>
      </c>
      <c r="D765" s="4" t="s">
        <v>16</v>
      </c>
      <c r="E765">
        <v>1</v>
      </c>
      <c r="F765" s="3">
        <v>2672.6208999999999</v>
      </c>
      <c r="G765" s="2">
        <v>0.06</v>
      </c>
      <c r="H765" s="3">
        <v>0</v>
      </c>
      <c r="I765" s="1">
        <v>45509</v>
      </c>
      <c r="J765" s="4" t="s">
        <v>20</v>
      </c>
      <c r="K765" s="4" t="s">
        <v>40</v>
      </c>
      <c r="L765" s="3">
        <v>718.58</v>
      </c>
      <c r="M765" s="4" t="s">
        <v>1255</v>
      </c>
      <c r="N765" s="3">
        <v>2672.6208999999999</v>
      </c>
    </row>
    <row r="766" spans="1:14" hidden="1" x14ac:dyDescent="0.35">
      <c r="A766">
        <v>1687</v>
      </c>
      <c r="B766" s="4" t="s">
        <v>79</v>
      </c>
      <c r="C766" s="4" t="s">
        <v>92</v>
      </c>
      <c r="D766" s="4" t="s">
        <v>30</v>
      </c>
      <c r="E766">
        <v>0</v>
      </c>
      <c r="F766" s="3">
        <v>2672.6208999999999</v>
      </c>
      <c r="G766" s="2">
        <v>0.65565943238731195</v>
      </c>
      <c r="H766" s="3">
        <v>0</v>
      </c>
      <c r="I766" s="1">
        <v>45850</v>
      </c>
      <c r="J766" s="4" t="s">
        <v>23</v>
      </c>
      <c r="K766" s="4" t="s">
        <v>40</v>
      </c>
      <c r="L766" s="3">
        <v>1132.23</v>
      </c>
      <c r="M766" s="4" t="s">
        <v>1255</v>
      </c>
      <c r="N766" s="3">
        <v>0</v>
      </c>
    </row>
    <row r="767" spans="1:14" hidden="1" x14ac:dyDescent="0.35">
      <c r="A767">
        <v>1688</v>
      </c>
      <c r="B767" s="4" t="s">
        <v>745</v>
      </c>
      <c r="C767" s="4" t="s">
        <v>746</v>
      </c>
      <c r="D767" s="4" t="s">
        <v>33</v>
      </c>
      <c r="E767">
        <v>0</v>
      </c>
      <c r="F767" s="3">
        <v>4177.8599999999997</v>
      </c>
      <c r="G767" s="2">
        <v>0.65565943238731195</v>
      </c>
      <c r="H767" s="3">
        <v>0</v>
      </c>
      <c r="I767" s="1">
        <v>45850</v>
      </c>
      <c r="J767" s="4" t="s">
        <v>23</v>
      </c>
      <c r="K767" s="4" t="s">
        <v>40</v>
      </c>
      <c r="L767" s="3">
        <v>2610.69</v>
      </c>
      <c r="M767" s="4" t="s">
        <v>1255</v>
      </c>
      <c r="N767" s="3">
        <v>0</v>
      </c>
    </row>
    <row r="768" spans="1:14" hidden="1" x14ac:dyDescent="0.35">
      <c r="A768">
        <v>1689</v>
      </c>
      <c r="B768" s="4" t="s">
        <v>49</v>
      </c>
      <c r="C768" s="4" t="s">
        <v>151</v>
      </c>
      <c r="D768" s="4" t="s">
        <v>37</v>
      </c>
      <c r="E768">
        <v>0</v>
      </c>
      <c r="F768" s="3">
        <v>1193.48</v>
      </c>
      <c r="G768" s="2">
        <v>0.65565943238731195</v>
      </c>
      <c r="H768" s="3">
        <v>0</v>
      </c>
      <c r="I768" s="1">
        <v>45850</v>
      </c>
      <c r="J768" s="4" t="s">
        <v>20</v>
      </c>
      <c r="K768" s="4" t="s">
        <v>40</v>
      </c>
      <c r="L768" s="3">
        <v>2629.51</v>
      </c>
      <c r="M768" s="4" t="s">
        <v>1255</v>
      </c>
      <c r="N768" s="3">
        <v>0</v>
      </c>
    </row>
    <row r="769" spans="1:14" x14ac:dyDescent="0.35">
      <c r="A769">
        <v>1690</v>
      </c>
      <c r="B769" s="4" t="s">
        <v>317</v>
      </c>
      <c r="C769" s="4" t="s">
        <v>747</v>
      </c>
      <c r="D769" s="4" t="s">
        <v>10</v>
      </c>
      <c r="E769">
        <v>5</v>
      </c>
      <c r="F769" s="3">
        <v>1941.39</v>
      </c>
      <c r="G769" s="2">
        <v>0.54</v>
      </c>
      <c r="H769" s="3">
        <v>4465.2</v>
      </c>
      <c r="I769" s="1">
        <v>45720</v>
      </c>
      <c r="J769" s="4" t="s">
        <v>7</v>
      </c>
      <c r="K769" s="4" t="s">
        <v>8</v>
      </c>
      <c r="L769" s="3">
        <v>206.95</v>
      </c>
      <c r="M769" s="4" t="s">
        <v>1256</v>
      </c>
      <c r="N769" s="3">
        <v>9706.9500000000007</v>
      </c>
    </row>
    <row r="770" spans="1:14" hidden="1" x14ac:dyDescent="0.35">
      <c r="A770">
        <v>1691</v>
      </c>
      <c r="B770" s="4" t="s">
        <v>97</v>
      </c>
      <c r="C770" s="4" t="s">
        <v>748</v>
      </c>
      <c r="D770" s="4" t="s">
        <v>29</v>
      </c>
      <c r="E770">
        <v>6</v>
      </c>
      <c r="F770" s="3">
        <v>2878.51</v>
      </c>
      <c r="G770" s="2">
        <v>0.65585284280936396</v>
      </c>
      <c r="H770" s="3">
        <v>0</v>
      </c>
      <c r="I770" s="1">
        <v>45765</v>
      </c>
      <c r="J770" s="4" t="s">
        <v>11</v>
      </c>
      <c r="K770" s="4" t="s">
        <v>40</v>
      </c>
      <c r="L770" s="3">
        <v>2503.5100000000002</v>
      </c>
      <c r="M770" s="4" t="s">
        <v>1255</v>
      </c>
      <c r="N770" s="3">
        <v>17271.060000000001</v>
      </c>
    </row>
    <row r="771" spans="1:14" x14ac:dyDescent="0.35">
      <c r="A771">
        <v>1692</v>
      </c>
      <c r="B771" s="4" t="s">
        <v>224</v>
      </c>
      <c r="C771" s="4" t="s">
        <v>749</v>
      </c>
      <c r="D771" s="4" t="s">
        <v>37</v>
      </c>
      <c r="E771">
        <v>0</v>
      </c>
      <c r="F771" s="3">
        <v>2509.38</v>
      </c>
      <c r="G771" s="2">
        <v>0.67</v>
      </c>
      <c r="H771" s="3">
        <v>0</v>
      </c>
      <c r="I771" s="1">
        <v>45567</v>
      </c>
      <c r="J771" s="4" t="s">
        <v>9</v>
      </c>
      <c r="K771" s="4" t="s">
        <v>8</v>
      </c>
      <c r="L771" s="3">
        <v>39.25</v>
      </c>
      <c r="M771" s="4" t="s">
        <v>1255</v>
      </c>
      <c r="N771" s="3">
        <v>0</v>
      </c>
    </row>
    <row r="772" spans="1:14" x14ac:dyDescent="0.35">
      <c r="A772">
        <v>1693</v>
      </c>
      <c r="B772" s="4" t="s">
        <v>294</v>
      </c>
      <c r="C772" s="4" t="s">
        <v>750</v>
      </c>
      <c r="D772" s="4" t="s">
        <v>34</v>
      </c>
      <c r="E772">
        <v>1</v>
      </c>
      <c r="F772" s="3">
        <v>2673.1446999999998</v>
      </c>
      <c r="G772" s="2">
        <v>0.65582914572864304</v>
      </c>
      <c r="H772" s="3">
        <v>0</v>
      </c>
      <c r="I772" s="1">
        <v>45562</v>
      </c>
      <c r="J772" s="4" t="s">
        <v>18</v>
      </c>
      <c r="K772" s="4" t="s">
        <v>8</v>
      </c>
      <c r="L772" s="3">
        <v>2028.4</v>
      </c>
      <c r="M772" s="4" t="s">
        <v>1255</v>
      </c>
      <c r="N772" s="3">
        <v>2673.1446999999998</v>
      </c>
    </row>
    <row r="773" spans="1:14" x14ac:dyDescent="0.35">
      <c r="A773">
        <v>1694</v>
      </c>
      <c r="B773" s="4" t="s">
        <v>91</v>
      </c>
      <c r="C773" s="4" t="s">
        <v>293</v>
      </c>
      <c r="D773" s="4" t="s">
        <v>16</v>
      </c>
      <c r="E773">
        <v>0</v>
      </c>
      <c r="F773" s="3">
        <v>2673.3168000000001</v>
      </c>
      <c r="G773" s="2">
        <v>0.65582914572864304</v>
      </c>
      <c r="H773" s="3">
        <v>0</v>
      </c>
      <c r="I773" s="1">
        <v>45693</v>
      </c>
      <c r="J773" s="4" t="s">
        <v>23</v>
      </c>
      <c r="K773" s="4" t="s">
        <v>12</v>
      </c>
      <c r="L773" s="3">
        <v>264.60000000000002</v>
      </c>
      <c r="M773" s="4" t="s">
        <v>1255</v>
      </c>
      <c r="N773" s="3">
        <v>0</v>
      </c>
    </row>
    <row r="774" spans="1:14" x14ac:dyDescent="0.35">
      <c r="A774">
        <v>1695</v>
      </c>
      <c r="B774" s="4" t="s">
        <v>751</v>
      </c>
      <c r="C774" s="4" t="s">
        <v>337</v>
      </c>
      <c r="D774" s="4" t="s">
        <v>34</v>
      </c>
      <c r="E774">
        <v>0</v>
      </c>
      <c r="F774" s="3">
        <v>3785.14</v>
      </c>
      <c r="G774" s="2">
        <v>0.65582914572864304</v>
      </c>
      <c r="H774" s="3">
        <v>0</v>
      </c>
      <c r="I774" s="1">
        <v>45693</v>
      </c>
      <c r="J774" s="4" t="s">
        <v>11</v>
      </c>
      <c r="K774" s="4" t="s">
        <v>8</v>
      </c>
      <c r="L774" s="3">
        <v>-982.7</v>
      </c>
      <c r="M774" s="4" t="s">
        <v>1255</v>
      </c>
      <c r="N774" s="3">
        <v>0</v>
      </c>
    </row>
    <row r="775" spans="1:14" x14ac:dyDescent="0.35">
      <c r="A775">
        <v>1696</v>
      </c>
      <c r="B775" s="4" t="s">
        <v>752</v>
      </c>
      <c r="C775" s="4" t="s">
        <v>135</v>
      </c>
      <c r="D775" s="4" t="s">
        <v>22</v>
      </c>
      <c r="E775">
        <v>0</v>
      </c>
      <c r="F775" s="3">
        <v>532.47</v>
      </c>
      <c r="G775" s="2">
        <v>0.65582914572864304</v>
      </c>
      <c r="H775" s="3">
        <v>0</v>
      </c>
      <c r="I775" s="1">
        <v>45693</v>
      </c>
      <c r="J775" s="4" t="s">
        <v>11</v>
      </c>
      <c r="K775" s="4" t="s">
        <v>12</v>
      </c>
      <c r="L775" s="3">
        <v>666.49</v>
      </c>
      <c r="M775" s="4" t="s">
        <v>1255</v>
      </c>
      <c r="N775" s="3">
        <v>0</v>
      </c>
    </row>
    <row r="776" spans="1:14" hidden="1" x14ac:dyDescent="0.35">
      <c r="A776">
        <v>1697</v>
      </c>
      <c r="B776" s="4" t="s">
        <v>67</v>
      </c>
      <c r="C776" s="4" t="s">
        <v>633</v>
      </c>
      <c r="D776" s="4" t="s">
        <v>14</v>
      </c>
      <c r="E776">
        <v>2</v>
      </c>
      <c r="F776" s="3">
        <v>1758.97</v>
      </c>
      <c r="G776" s="2">
        <v>0.65582914572864304</v>
      </c>
      <c r="H776" s="3">
        <v>0</v>
      </c>
      <c r="I776" s="1">
        <v>45700</v>
      </c>
      <c r="J776" s="4" t="s">
        <v>7</v>
      </c>
      <c r="K776" s="4" t="s">
        <v>40</v>
      </c>
      <c r="L776" s="3">
        <v>2026.97</v>
      </c>
      <c r="M776" s="4" t="s">
        <v>1255</v>
      </c>
      <c r="N776" s="3">
        <v>3517.94</v>
      </c>
    </row>
    <row r="777" spans="1:14" x14ac:dyDescent="0.35">
      <c r="A777">
        <v>1698</v>
      </c>
      <c r="B777" s="4" t="s">
        <v>563</v>
      </c>
      <c r="C777" s="4" t="s">
        <v>753</v>
      </c>
      <c r="D777" s="4" t="s">
        <v>13</v>
      </c>
      <c r="E777">
        <v>0</v>
      </c>
      <c r="F777" s="3">
        <v>2111.87</v>
      </c>
      <c r="G777" s="2">
        <v>0.65582914572864304</v>
      </c>
      <c r="H777" s="3">
        <v>0</v>
      </c>
      <c r="I777" s="1">
        <v>45502</v>
      </c>
      <c r="J777" s="4" t="s">
        <v>23</v>
      </c>
      <c r="K777" s="4" t="s">
        <v>8</v>
      </c>
      <c r="L777" s="3">
        <v>-621</v>
      </c>
      <c r="M777" s="4" t="s">
        <v>1255</v>
      </c>
      <c r="N777" s="3">
        <v>0</v>
      </c>
    </row>
    <row r="778" spans="1:14" x14ac:dyDescent="0.35">
      <c r="A778">
        <v>1699</v>
      </c>
      <c r="B778" s="4" t="s">
        <v>646</v>
      </c>
      <c r="C778" s="4" t="s">
        <v>168</v>
      </c>
      <c r="D778" s="4" t="s">
        <v>22</v>
      </c>
      <c r="E778">
        <v>6</v>
      </c>
      <c r="F778" s="3">
        <v>701.16</v>
      </c>
      <c r="G778" s="2">
        <v>0.65582914572864304</v>
      </c>
      <c r="H778" s="3">
        <v>0</v>
      </c>
      <c r="I778" s="1">
        <v>45697</v>
      </c>
      <c r="J778" s="4" t="s">
        <v>7</v>
      </c>
      <c r="K778" s="4" t="s">
        <v>8</v>
      </c>
      <c r="L778" s="3">
        <v>2632.17</v>
      </c>
      <c r="M778" s="4" t="s">
        <v>1255</v>
      </c>
      <c r="N778" s="3">
        <v>4206.96</v>
      </c>
    </row>
    <row r="779" spans="1:14" hidden="1" x14ac:dyDescent="0.35">
      <c r="A779">
        <v>1700</v>
      </c>
      <c r="B779" s="4" t="s">
        <v>361</v>
      </c>
      <c r="C779" s="4" t="s">
        <v>754</v>
      </c>
      <c r="D779" s="4" t="s">
        <v>37</v>
      </c>
      <c r="E779">
        <v>0</v>
      </c>
      <c r="F779" s="3">
        <v>3332.06</v>
      </c>
      <c r="G779" s="2">
        <v>0.47</v>
      </c>
      <c r="H779" s="3">
        <v>0</v>
      </c>
      <c r="I779" s="1">
        <v>45593</v>
      </c>
      <c r="J779" s="4" t="s">
        <v>11</v>
      </c>
      <c r="K779" s="4" t="s">
        <v>40</v>
      </c>
      <c r="L779" s="3">
        <v>1969.67</v>
      </c>
      <c r="M779" s="4" t="s">
        <v>1255</v>
      </c>
      <c r="N779" s="3">
        <v>0</v>
      </c>
    </row>
    <row r="780" spans="1:14" hidden="1" x14ac:dyDescent="0.35">
      <c r="A780">
        <v>1701</v>
      </c>
      <c r="B780" s="4" t="s">
        <v>246</v>
      </c>
      <c r="C780" s="4" t="s">
        <v>755</v>
      </c>
      <c r="D780" s="4" t="s">
        <v>25</v>
      </c>
      <c r="E780">
        <v>2</v>
      </c>
      <c r="F780" s="3">
        <v>3402.47</v>
      </c>
      <c r="G780" s="2">
        <v>1.05</v>
      </c>
      <c r="H780" s="3">
        <v>-340.25</v>
      </c>
      <c r="I780" s="1">
        <v>45593</v>
      </c>
      <c r="J780" s="4" t="s">
        <v>9</v>
      </c>
      <c r="K780" s="4" t="s">
        <v>40</v>
      </c>
      <c r="L780" s="3">
        <v>1713.45</v>
      </c>
      <c r="M780" s="4" t="s">
        <v>1255</v>
      </c>
      <c r="N780" s="3">
        <v>6804.94</v>
      </c>
    </row>
    <row r="781" spans="1:14" hidden="1" x14ac:dyDescent="0.35">
      <c r="A781">
        <v>1702</v>
      </c>
      <c r="B781" s="4" t="s">
        <v>65</v>
      </c>
      <c r="C781" s="4" t="s">
        <v>697</v>
      </c>
      <c r="D781" s="4" t="s">
        <v>22</v>
      </c>
      <c r="E781">
        <v>0</v>
      </c>
      <c r="F781" s="3">
        <v>792.36</v>
      </c>
      <c r="G781" s="2">
        <v>0.65547899159663803</v>
      </c>
      <c r="H781" s="3">
        <v>0</v>
      </c>
      <c r="I781" s="1">
        <v>45745</v>
      </c>
      <c r="J781" s="4" t="s">
        <v>9</v>
      </c>
      <c r="K781" s="4" t="s">
        <v>40</v>
      </c>
      <c r="L781" s="3">
        <v>990.35</v>
      </c>
      <c r="M781" s="4" t="s">
        <v>1255</v>
      </c>
      <c r="N781" s="3">
        <v>0</v>
      </c>
    </row>
    <row r="782" spans="1:14" x14ac:dyDescent="0.35">
      <c r="A782">
        <v>1703</v>
      </c>
      <c r="B782" s="4" t="s">
        <v>756</v>
      </c>
      <c r="C782" s="4" t="s">
        <v>293</v>
      </c>
      <c r="D782" s="4" t="s">
        <v>6</v>
      </c>
      <c r="E782">
        <v>0</v>
      </c>
      <c r="F782" s="3">
        <v>2676.5855999999999</v>
      </c>
      <c r="G782" s="2">
        <v>0.92</v>
      </c>
      <c r="H782" s="3">
        <v>0</v>
      </c>
      <c r="I782" s="1">
        <v>45687</v>
      </c>
      <c r="J782" s="4" t="s">
        <v>20</v>
      </c>
      <c r="K782" s="4" t="s">
        <v>12</v>
      </c>
      <c r="L782" s="3">
        <v>-96.41</v>
      </c>
      <c r="M782" s="4" t="s">
        <v>1255</v>
      </c>
      <c r="N782" s="3">
        <v>0</v>
      </c>
    </row>
    <row r="783" spans="1:14" x14ac:dyDescent="0.35">
      <c r="A783">
        <v>1704</v>
      </c>
      <c r="B783" s="4" t="s">
        <v>116</v>
      </c>
      <c r="C783" s="4" t="s">
        <v>757</v>
      </c>
      <c r="D783" s="4" t="s">
        <v>26</v>
      </c>
      <c r="E783">
        <v>0</v>
      </c>
      <c r="F783" s="3">
        <v>2678.5816</v>
      </c>
      <c r="G783" s="2">
        <v>0.47</v>
      </c>
      <c r="H783" s="3">
        <v>0</v>
      </c>
      <c r="I783" s="1">
        <v>45556</v>
      </c>
      <c r="J783" s="4" t="s">
        <v>18</v>
      </c>
      <c r="K783" s="4" t="s">
        <v>12</v>
      </c>
      <c r="L783" s="3">
        <v>2611.36</v>
      </c>
      <c r="M783" s="4" t="s">
        <v>1255</v>
      </c>
      <c r="N783" s="3">
        <v>0</v>
      </c>
    </row>
    <row r="784" spans="1:14" hidden="1" x14ac:dyDescent="0.35">
      <c r="A784">
        <v>1705</v>
      </c>
      <c r="B784" s="4" t="s">
        <v>758</v>
      </c>
      <c r="C784" s="4" t="s">
        <v>759</v>
      </c>
      <c r="D784" s="4" t="s">
        <v>22</v>
      </c>
      <c r="E784">
        <v>-2</v>
      </c>
      <c r="F784" s="3">
        <v>4170.76</v>
      </c>
      <c r="G784" s="2">
        <v>0.65534569983136604</v>
      </c>
      <c r="H784" s="3">
        <v>0</v>
      </c>
      <c r="I784" s="1">
        <v>45789</v>
      </c>
      <c r="J784" s="4" t="s">
        <v>18</v>
      </c>
      <c r="K784" s="4" t="s">
        <v>40</v>
      </c>
      <c r="L784" s="3">
        <v>826.76</v>
      </c>
      <c r="M784" s="4" t="s">
        <v>1255</v>
      </c>
      <c r="N784" s="3">
        <v>-8341.52</v>
      </c>
    </row>
    <row r="785" spans="1:14" x14ac:dyDescent="0.35">
      <c r="A785">
        <v>1706</v>
      </c>
      <c r="B785" s="4" t="s">
        <v>56</v>
      </c>
      <c r="C785" s="4" t="s">
        <v>44</v>
      </c>
      <c r="D785" s="4" t="s">
        <v>30</v>
      </c>
      <c r="E785">
        <v>5</v>
      </c>
      <c r="F785" s="3">
        <v>4827.8900000000003</v>
      </c>
      <c r="G785" s="2">
        <v>0.84</v>
      </c>
      <c r="H785" s="3">
        <v>3862.31</v>
      </c>
      <c r="I785" s="1">
        <v>45789</v>
      </c>
      <c r="J785" s="4" t="s">
        <v>9</v>
      </c>
      <c r="K785" s="4" t="s">
        <v>8</v>
      </c>
      <c r="L785" s="3">
        <v>2824.1</v>
      </c>
      <c r="M785" s="4" t="s">
        <v>1256</v>
      </c>
      <c r="N785" s="3">
        <v>24139.45</v>
      </c>
    </row>
    <row r="786" spans="1:14" x14ac:dyDescent="0.35">
      <c r="A786">
        <v>1707</v>
      </c>
      <c r="B786" s="4" t="s">
        <v>460</v>
      </c>
      <c r="C786" s="4" t="s">
        <v>760</v>
      </c>
      <c r="D786" s="4" t="s">
        <v>10</v>
      </c>
      <c r="E786">
        <v>6</v>
      </c>
      <c r="F786" s="3">
        <v>2676.9992000000002</v>
      </c>
      <c r="G786" s="2">
        <v>0.65503378378378396</v>
      </c>
      <c r="H786" s="3">
        <v>0</v>
      </c>
      <c r="I786" s="1">
        <v>45789</v>
      </c>
      <c r="J786" s="4" t="s">
        <v>11</v>
      </c>
      <c r="K786" s="4" t="s">
        <v>12</v>
      </c>
      <c r="L786" s="3">
        <v>1903.2</v>
      </c>
      <c r="M786" s="4" t="s">
        <v>1255</v>
      </c>
      <c r="N786" s="3">
        <v>16061.995199999999</v>
      </c>
    </row>
    <row r="787" spans="1:14" hidden="1" x14ac:dyDescent="0.35">
      <c r="A787">
        <v>1708</v>
      </c>
      <c r="B787" s="4" t="s">
        <v>333</v>
      </c>
      <c r="C787" s="4" t="s">
        <v>663</v>
      </c>
      <c r="D787" s="4" t="s">
        <v>19</v>
      </c>
      <c r="E787">
        <v>0</v>
      </c>
      <c r="F787" s="3">
        <v>2674.7159000000001</v>
      </c>
      <c r="G787" s="2">
        <v>0.55000000000000004</v>
      </c>
      <c r="H787" s="3">
        <v>0</v>
      </c>
      <c r="I787" s="1">
        <v>45813</v>
      </c>
      <c r="J787" s="4" t="s">
        <v>7</v>
      </c>
      <c r="K787" s="4" t="s">
        <v>40</v>
      </c>
      <c r="L787" s="3">
        <v>1400.39</v>
      </c>
      <c r="M787" s="4" t="s">
        <v>1255</v>
      </c>
      <c r="N787" s="3">
        <v>0</v>
      </c>
    </row>
    <row r="788" spans="1:14" x14ac:dyDescent="0.35">
      <c r="A788">
        <v>1709</v>
      </c>
      <c r="B788" s="4" t="s">
        <v>644</v>
      </c>
      <c r="C788" s="4" t="s">
        <v>692</v>
      </c>
      <c r="D788" s="4" t="s">
        <v>30</v>
      </c>
      <c r="E788">
        <v>5</v>
      </c>
      <c r="F788" s="3">
        <v>1717.79</v>
      </c>
      <c r="G788" s="2">
        <v>0.65521150592216604</v>
      </c>
      <c r="H788" s="3">
        <v>0</v>
      </c>
      <c r="I788" s="1">
        <v>45563</v>
      </c>
      <c r="J788" s="4" t="s">
        <v>9</v>
      </c>
      <c r="K788" s="4" t="s">
        <v>12</v>
      </c>
      <c r="L788" s="3">
        <v>2264.16</v>
      </c>
      <c r="M788" s="4" t="s">
        <v>1255</v>
      </c>
      <c r="N788" s="3">
        <v>8588.9500000000007</v>
      </c>
    </row>
    <row r="789" spans="1:14" x14ac:dyDescent="0.35">
      <c r="A789">
        <v>1710</v>
      </c>
      <c r="B789" s="4" t="s">
        <v>121</v>
      </c>
      <c r="C789" s="4" t="s">
        <v>307</v>
      </c>
      <c r="D789" s="4" t="s">
        <v>33</v>
      </c>
      <c r="E789">
        <v>-1</v>
      </c>
      <c r="F789" s="3">
        <v>2674.7159000000001</v>
      </c>
      <c r="G789" s="2">
        <v>0.45</v>
      </c>
      <c r="H789" s="3">
        <v>0</v>
      </c>
      <c r="I789" s="1">
        <v>45576</v>
      </c>
      <c r="J789" s="4" t="s">
        <v>9</v>
      </c>
      <c r="K789" s="4" t="s">
        <v>8</v>
      </c>
      <c r="L789" s="3">
        <v>-333.46</v>
      </c>
      <c r="M789" s="4" t="s">
        <v>1255</v>
      </c>
      <c r="N789" s="3">
        <v>-2674.7159000000001</v>
      </c>
    </row>
    <row r="790" spans="1:14" x14ac:dyDescent="0.35">
      <c r="A790">
        <v>1711</v>
      </c>
      <c r="B790" s="4" t="s">
        <v>284</v>
      </c>
      <c r="C790" s="4" t="s">
        <v>221</v>
      </c>
      <c r="D790" s="4" t="s">
        <v>33</v>
      </c>
      <c r="E790">
        <v>0</v>
      </c>
      <c r="F790" s="3">
        <v>2685.92</v>
      </c>
      <c r="G790" s="2">
        <v>0.655559322033898</v>
      </c>
      <c r="H790" s="3">
        <v>0</v>
      </c>
      <c r="I790" s="1">
        <v>45585</v>
      </c>
      <c r="J790" s="4" t="s">
        <v>20</v>
      </c>
      <c r="K790" s="4" t="s">
        <v>12</v>
      </c>
      <c r="L790" s="3">
        <v>2804.29</v>
      </c>
      <c r="M790" s="4" t="s">
        <v>1255</v>
      </c>
      <c r="N790" s="3">
        <v>0</v>
      </c>
    </row>
    <row r="791" spans="1:14" x14ac:dyDescent="0.35">
      <c r="A791">
        <v>1712</v>
      </c>
      <c r="B791" s="4" t="s">
        <v>612</v>
      </c>
      <c r="C791" s="4" t="s">
        <v>685</v>
      </c>
      <c r="D791" s="4" t="s">
        <v>14</v>
      </c>
      <c r="E791">
        <v>-1</v>
      </c>
      <c r="F791" s="3">
        <v>2386.58</v>
      </c>
      <c r="G791" s="2">
        <v>0.655559322033898</v>
      </c>
      <c r="H791" s="3">
        <v>0</v>
      </c>
      <c r="I791" s="1">
        <v>45518</v>
      </c>
      <c r="J791" s="4" t="s">
        <v>20</v>
      </c>
      <c r="K791" s="4" t="s">
        <v>12</v>
      </c>
      <c r="L791" s="3">
        <v>1879.59</v>
      </c>
      <c r="M791" s="4" t="s">
        <v>1255</v>
      </c>
      <c r="N791" s="3">
        <v>-2386.58</v>
      </c>
    </row>
    <row r="792" spans="1:14" x14ac:dyDescent="0.35">
      <c r="A792">
        <v>1713</v>
      </c>
      <c r="B792" s="4" t="s">
        <v>761</v>
      </c>
      <c r="C792" s="4" t="s">
        <v>762</v>
      </c>
      <c r="D792" s="4" t="s">
        <v>28</v>
      </c>
      <c r="E792">
        <v>0</v>
      </c>
      <c r="F792" s="3">
        <v>2675.7220000000002</v>
      </c>
      <c r="G792" s="2">
        <v>0.655559322033898</v>
      </c>
      <c r="H792" s="3">
        <v>0</v>
      </c>
      <c r="I792" s="1">
        <v>45597</v>
      </c>
      <c r="J792" s="4" t="s">
        <v>20</v>
      </c>
      <c r="K792" s="4" t="s">
        <v>8</v>
      </c>
      <c r="L792" s="3">
        <v>832.34</v>
      </c>
      <c r="M792" s="4" t="s">
        <v>1255</v>
      </c>
      <c r="N792" s="3">
        <v>0</v>
      </c>
    </row>
    <row r="793" spans="1:14" x14ac:dyDescent="0.35">
      <c r="A793">
        <v>1714</v>
      </c>
      <c r="B793" s="4" t="s">
        <v>330</v>
      </c>
      <c r="C793" s="4" t="s">
        <v>307</v>
      </c>
      <c r="D793" s="4" t="s">
        <v>28</v>
      </c>
      <c r="E793">
        <v>0</v>
      </c>
      <c r="F793" s="3">
        <v>2676.0299</v>
      </c>
      <c r="G793" s="2">
        <v>0.655559322033898</v>
      </c>
      <c r="H793" s="3">
        <v>0</v>
      </c>
      <c r="I793" s="1">
        <v>45597</v>
      </c>
      <c r="J793" s="4" t="s">
        <v>23</v>
      </c>
      <c r="K793" s="4" t="s">
        <v>8</v>
      </c>
      <c r="L793" s="3">
        <v>-746.03</v>
      </c>
      <c r="M793" s="4" t="s">
        <v>1255</v>
      </c>
      <c r="N793" s="3">
        <v>0</v>
      </c>
    </row>
    <row r="794" spans="1:14" x14ac:dyDescent="0.35">
      <c r="A794">
        <v>1715</v>
      </c>
      <c r="B794" s="4" t="s">
        <v>655</v>
      </c>
      <c r="C794" s="4" t="s">
        <v>763</v>
      </c>
      <c r="D794" s="4" t="s">
        <v>33</v>
      </c>
      <c r="E794">
        <v>0</v>
      </c>
      <c r="F794" s="3">
        <v>3863.51</v>
      </c>
      <c r="G794" s="2">
        <v>0.655559322033898</v>
      </c>
      <c r="H794" s="3">
        <v>0</v>
      </c>
      <c r="I794" s="1">
        <v>45796</v>
      </c>
      <c r="J794" s="4" t="s">
        <v>11</v>
      </c>
      <c r="K794" s="4" t="s">
        <v>8</v>
      </c>
      <c r="L794" s="3">
        <v>-830.55</v>
      </c>
      <c r="M794" s="4" t="s">
        <v>1255</v>
      </c>
      <c r="N794" s="3">
        <v>0</v>
      </c>
    </row>
    <row r="795" spans="1:14" x14ac:dyDescent="0.35">
      <c r="A795">
        <v>1716</v>
      </c>
      <c r="B795" s="4" t="s">
        <v>121</v>
      </c>
      <c r="C795" s="4" t="s">
        <v>442</v>
      </c>
      <c r="D795" s="4" t="s">
        <v>17</v>
      </c>
      <c r="E795">
        <v>0</v>
      </c>
      <c r="F795" s="3">
        <v>980.17</v>
      </c>
      <c r="G795" s="2">
        <v>0.655559322033898</v>
      </c>
      <c r="H795" s="3">
        <v>0</v>
      </c>
      <c r="I795" s="1">
        <v>45496</v>
      </c>
      <c r="J795" s="4" t="s">
        <v>11</v>
      </c>
      <c r="K795" s="4" t="s">
        <v>12</v>
      </c>
      <c r="L795" s="3">
        <v>275.05</v>
      </c>
      <c r="M795" s="4" t="s">
        <v>1255</v>
      </c>
      <c r="N795" s="3">
        <v>0</v>
      </c>
    </row>
    <row r="796" spans="1:14" x14ac:dyDescent="0.35">
      <c r="A796">
        <v>1717</v>
      </c>
      <c r="B796" s="4" t="s">
        <v>98</v>
      </c>
      <c r="C796" s="4" t="s">
        <v>253</v>
      </c>
      <c r="D796" s="4" t="s">
        <v>15</v>
      </c>
      <c r="E796">
        <v>4</v>
      </c>
      <c r="F796" s="3">
        <v>1279.2</v>
      </c>
      <c r="G796" s="2">
        <v>0.27</v>
      </c>
      <c r="H796" s="3">
        <v>3735.26</v>
      </c>
      <c r="I796" s="1">
        <v>45611</v>
      </c>
      <c r="J796" s="4" t="s">
        <v>7</v>
      </c>
      <c r="K796" s="4" t="s">
        <v>8</v>
      </c>
      <c r="L796" s="3">
        <v>453.7</v>
      </c>
      <c r="M796" s="4" t="s">
        <v>1256</v>
      </c>
      <c r="N796" s="3">
        <v>5116.8</v>
      </c>
    </row>
    <row r="797" spans="1:14" x14ac:dyDescent="0.35">
      <c r="A797">
        <v>1718</v>
      </c>
      <c r="B797" s="4" t="s">
        <v>575</v>
      </c>
      <c r="C797" s="4" t="s">
        <v>764</v>
      </c>
      <c r="D797" s="4" t="s">
        <v>30</v>
      </c>
      <c r="E797">
        <v>5</v>
      </c>
      <c r="F797" s="3">
        <v>3988.99</v>
      </c>
      <c r="G797" s="2">
        <v>0.65621392190152805</v>
      </c>
      <c r="H797" s="3">
        <v>0</v>
      </c>
      <c r="I797" s="1">
        <v>45802</v>
      </c>
      <c r="J797" s="4" t="s">
        <v>23</v>
      </c>
      <c r="K797" s="4" t="s">
        <v>8</v>
      </c>
      <c r="L797" s="3">
        <v>1430.08</v>
      </c>
      <c r="M797" s="4" t="s">
        <v>1255</v>
      </c>
      <c r="N797" s="3">
        <v>19944.95</v>
      </c>
    </row>
    <row r="798" spans="1:14" x14ac:dyDescent="0.35">
      <c r="A798">
        <v>1719</v>
      </c>
      <c r="B798" s="4" t="s">
        <v>85</v>
      </c>
      <c r="C798" s="4" t="s">
        <v>562</v>
      </c>
      <c r="D798" s="4" t="s">
        <v>16</v>
      </c>
      <c r="E798">
        <v>3</v>
      </c>
      <c r="F798" s="3">
        <v>4407.79</v>
      </c>
      <c r="G798" s="2">
        <v>0.64</v>
      </c>
      <c r="H798" s="3">
        <v>4760.41</v>
      </c>
      <c r="I798" s="1">
        <v>45731</v>
      </c>
      <c r="J798" s="4" t="s">
        <v>7</v>
      </c>
      <c r="K798" s="4" t="s">
        <v>12</v>
      </c>
      <c r="L798" s="3">
        <v>1150.06</v>
      </c>
      <c r="M798" s="4" t="s">
        <v>1256</v>
      </c>
      <c r="N798" s="3">
        <v>13223.37</v>
      </c>
    </row>
    <row r="799" spans="1:14" x14ac:dyDescent="0.35">
      <c r="A799">
        <v>1720</v>
      </c>
      <c r="B799" s="4" t="s">
        <v>294</v>
      </c>
      <c r="C799" s="4" t="s">
        <v>765</v>
      </c>
      <c r="D799" s="4" t="s">
        <v>34</v>
      </c>
      <c r="E799">
        <v>3</v>
      </c>
      <c r="F799" s="3">
        <v>3667.54</v>
      </c>
      <c r="G799" s="2">
        <v>0.56999999999999995</v>
      </c>
      <c r="H799" s="3">
        <v>4731.13</v>
      </c>
      <c r="I799" s="1">
        <v>45138</v>
      </c>
      <c r="J799" s="4" t="s">
        <v>9</v>
      </c>
      <c r="K799" s="4" t="s">
        <v>12</v>
      </c>
      <c r="L799" s="3">
        <v>459.43</v>
      </c>
      <c r="M799" s="4" t="s">
        <v>1256</v>
      </c>
      <c r="N799" s="3">
        <v>11002.62</v>
      </c>
    </row>
    <row r="800" spans="1:14" x14ac:dyDescent="0.35">
      <c r="A800">
        <v>1721</v>
      </c>
      <c r="B800" s="4" t="s">
        <v>330</v>
      </c>
      <c r="C800" s="4" t="s">
        <v>618</v>
      </c>
      <c r="D800" s="4" t="s">
        <v>25</v>
      </c>
      <c r="E800">
        <v>0</v>
      </c>
      <c r="F800" s="3">
        <v>2674.8099000000002</v>
      </c>
      <c r="G800" s="2">
        <v>0.65638841567291295</v>
      </c>
      <c r="H800" s="3">
        <v>0</v>
      </c>
      <c r="I800" s="1">
        <v>45575</v>
      </c>
      <c r="J800" s="4" t="s">
        <v>7</v>
      </c>
      <c r="K800" s="4" t="s">
        <v>8</v>
      </c>
      <c r="L800" s="3">
        <v>788.55</v>
      </c>
      <c r="M800" s="4" t="s">
        <v>1255</v>
      </c>
      <c r="N800" s="3">
        <v>0</v>
      </c>
    </row>
    <row r="801" spans="1:14" x14ac:dyDescent="0.35">
      <c r="A801">
        <v>1722</v>
      </c>
      <c r="B801" s="4" t="s">
        <v>164</v>
      </c>
      <c r="C801" s="4" t="s">
        <v>766</v>
      </c>
      <c r="D801" s="4" t="s">
        <v>27</v>
      </c>
      <c r="E801">
        <v>0</v>
      </c>
      <c r="F801" s="3">
        <v>2673.7458999999999</v>
      </c>
      <c r="G801" s="2">
        <v>0.85</v>
      </c>
      <c r="H801" s="3">
        <v>0</v>
      </c>
      <c r="I801" s="1">
        <v>45575</v>
      </c>
      <c r="J801" s="4" t="s">
        <v>11</v>
      </c>
      <c r="K801" s="4" t="s">
        <v>8</v>
      </c>
      <c r="L801" s="3">
        <v>1010.08</v>
      </c>
      <c r="M801" s="4" t="s">
        <v>1255</v>
      </c>
      <c r="N801" s="3">
        <v>0</v>
      </c>
    </row>
    <row r="802" spans="1:14" x14ac:dyDescent="0.35">
      <c r="A802">
        <v>1723</v>
      </c>
      <c r="B802" s="4" t="s">
        <v>317</v>
      </c>
      <c r="C802" s="4" t="s">
        <v>767</v>
      </c>
      <c r="D802" s="4" t="s">
        <v>31</v>
      </c>
      <c r="E802">
        <v>4</v>
      </c>
      <c r="F802" s="3">
        <v>2673.7458999999999</v>
      </c>
      <c r="G802" s="2">
        <v>0.2</v>
      </c>
      <c r="H802" s="3">
        <v>0</v>
      </c>
      <c r="I802" s="1">
        <v>45827</v>
      </c>
      <c r="J802" s="4" t="s">
        <v>9</v>
      </c>
      <c r="K802" s="4" t="s">
        <v>12</v>
      </c>
      <c r="L802" s="3">
        <v>351.59</v>
      </c>
      <c r="M802" s="4" t="s">
        <v>1255</v>
      </c>
      <c r="N802" s="3">
        <v>10694.9836</v>
      </c>
    </row>
    <row r="803" spans="1:14" x14ac:dyDescent="0.35">
      <c r="A803">
        <v>1724</v>
      </c>
      <c r="B803" s="4" t="s">
        <v>136</v>
      </c>
      <c r="C803" s="4" t="s">
        <v>277</v>
      </c>
      <c r="D803" s="4" t="s">
        <v>32</v>
      </c>
      <c r="E803">
        <v>0</v>
      </c>
      <c r="F803" s="3">
        <v>2047.6</v>
      </c>
      <c r="G803" s="2">
        <v>0.92</v>
      </c>
      <c r="H803" s="3">
        <v>0</v>
      </c>
      <c r="I803" s="1">
        <v>45556</v>
      </c>
      <c r="J803" s="4" t="s">
        <v>18</v>
      </c>
      <c r="K803" s="4" t="s">
        <v>12</v>
      </c>
      <c r="L803" s="3">
        <v>123.78</v>
      </c>
      <c r="M803" s="4" t="s">
        <v>1255</v>
      </c>
      <c r="N803" s="3">
        <v>0</v>
      </c>
    </row>
    <row r="804" spans="1:14" x14ac:dyDescent="0.35">
      <c r="A804">
        <v>1725</v>
      </c>
      <c r="B804" s="4" t="s">
        <v>130</v>
      </c>
      <c r="C804" s="4" t="s">
        <v>281</v>
      </c>
      <c r="D804" s="4" t="s">
        <v>24</v>
      </c>
      <c r="E804">
        <v>3</v>
      </c>
      <c r="F804" s="3">
        <v>671.5</v>
      </c>
      <c r="G804" s="2">
        <v>0.65638698630137005</v>
      </c>
      <c r="H804" s="3">
        <v>0</v>
      </c>
      <c r="I804" s="1">
        <v>45517</v>
      </c>
      <c r="J804" s="4" t="s">
        <v>23</v>
      </c>
      <c r="K804" s="4" t="s">
        <v>12</v>
      </c>
      <c r="L804" s="3">
        <v>1938.72</v>
      </c>
      <c r="M804" s="4" t="s">
        <v>1255</v>
      </c>
      <c r="N804" s="3">
        <v>2014.5</v>
      </c>
    </row>
    <row r="805" spans="1:14" x14ac:dyDescent="0.35">
      <c r="A805">
        <v>1726</v>
      </c>
      <c r="B805" s="4" t="s">
        <v>356</v>
      </c>
      <c r="C805" s="4" t="s">
        <v>768</v>
      </c>
      <c r="D805" s="4" t="s">
        <v>31</v>
      </c>
      <c r="E805">
        <v>5</v>
      </c>
      <c r="F805" s="3">
        <v>1363.51</v>
      </c>
      <c r="G805" s="2">
        <v>1.26</v>
      </c>
      <c r="H805" s="3">
        <v>-1772.56</v>
      </c>
      <c r="I805" s="1">
        <v>45691</v>
      </c>
      <c r="J805" s="4" t="s">
        <v>18</v>
      </c>
      <c r="K805" s="4" t="s">
        <v>8</v>
      </c>
      <c r="L805" s="3">
        <v>2854.74</v>
      </c>
      <c r="M805" s="4" t="s">
        <v>1255</v>
      </c>
      <c r="N805" s="3">
        <v>6817.55</v>
      </c>
    </row>
    <row r="806" spans="1:14" hidden="1" x14ac:dyDescent="0.35">
      <c r="A806">
        <v>1727</v>
      </c>
      <c r="B806" s="4" t="s">
        <v>192</v>
      </c>
      <c r="C806" s="4" t="s">
        <v>769</v>
      </c>
      <c r="D806" s="4" t="s">
        <v>33</v>
      </c>
      <c r="E806">
        <v>5</v>
      </c>
      <c r="F806" s="3">
        <v>2676.5691000000002</v>
      </c>
      <c r="G806" s="2">
        <v>0.76</v>
      </c>
      <c r="H806" s="3">
        <v>0</v>
      </c>
      <c r="I806" s="1">
        <v>45691</v>
      </c>
      <c r="J806" s="4" t="s">
        <v>11</v>
      </c>
      <c r="K806" s="4" t="s">
        <v>40</v>
      </c>
      <c r="L806" s="3">
        <v>1252.83</v>
      </c>
      <c r="M806" s="4" t="s">
        <v>1255</v>
      </c>
      <c r="N806" s="3">
        <v>13382.845499999999</v>
      </c>
    </row>
    <row r="807" spans="1:14" x14ac:dyDescent="0.35">
      <c r="A807">
        <v>1728</v>
      </c>
      <c r="B807" s="4" t="s">
        <v>770</v>
      </c>
      <c r="C807" s="4" t="s">
        <v>349</v>
      </c>
      <c r="D807" s="4" t="s">
        <v>13</v>
      </c>
      <c r="E807">
        <v>1</v>
      </c>
      <c r="F807" s="3">
        <v>733.15</v>
      </c>
      <c r="G807" s="2">
        <v>0.27</v>
      </c>
      <c r="H807" s="3">
        <v>535.20000000000005</v>
      </c>
      <c r="I807" s="1">
        <v>45682</v>
      </c>
      <c r="J807" s="4" t="s">
        <v>9</v>
      </c>
      <c r="K807" s="4" t="s">
        <v>12</v>
      </c>
      <c r="L807" s="3">
        <v>273.12</v>
      </c>
      <c r="M807" s="4" t="s">
        <v>1256</v>
      </c>
      <c r="N807" s="3">
        <v>733.15</v>
      </c>
    </row>
    <row r="808" spans="1:14" x14ac:dyDescent="0.35">
      <c r="A808">
        <v>1729</v>
      </c>
      <c r="B808" s="4" t="s">
        <v>771</v>
      </c>
      <c r="C808" s="4" t="s">
        <v>772</v>
      </c>
      <c r="D808" s="4" t="s">
        <v>16</v>
      </c>
      <c r="E808">
        <v>0</v>
      </c>
      <c r="F808" s="3">
        <v>416.58</v>
      </c>
      <c r="G808" s="2">
        <v>0.655834767641996</v>
      </c>
      <c r="H808" s="3">
        <v>0</v>
      </c>
      <c r="I808" s="1">
        <v>45682</v>
      </c>
      <c r="J808" s="4" t="s">
        <v>18</v>
      </c>
      <c r="K808" s="4" t="s">
        <v>12</v>
      </c>
      <c r="L808" s="3">
        <v>-765.44</v>
      </c>
      <c r="M808" s="4" t="s">
        <v>1255</v>
      </c>
      <c r="N808" s="3">
        <v>0</v>
      </c>
    </row>
    <row r="809" spans="1:14" x14ac:dyDescent="0.35">
      <c r="A809">
        <v>1730</v>
      </c>
      <c r="B809" s="4" t="s">
        <v>54</v>
      </c>
      <c r="C809" s="4" t="s">
        <v>580</v>
      </c>
      <c r="D809" s="4" t="s">
        <v>25</v>
      </c>
      <c r="E809">
        <v>0</v>
      </c>
      <c r="F809" s="3">
        <v>3933.55</v>
      </c>
      <c r="G809" s="2">
        <v>0.655834767641996</v>
      </c>
      <c r="H809" s="3">
        <v>0</v>
      </c>
      <c r="I809" s="1">
        <v>45666</v>
      </c>
      <c r="J809" s="4" t="s">
        <v>18</v>
      </c>
      <c r="K809" s="4" t="s">
        <v>8</v>
      </c>
      <c r="L809" s="3">
        <v>2728.66</v>
      </c>
      <c r="M809" s="4" t="s">
        <v>1255</v>
      </c>
      <c r="N809" s="3">
        <v>0</v>
      </c>
    </row>
    <row r="810" spans="1:14" hidden="1" x14ac:dyDescent="0.35">
      <c r="A810">
        <v>1731</v>
      </c>
      <c r="B810" s="4" t="s">
        <v>773</v>
      </c>
      <c r="C810" s="4" t="s">
        <v>72</v>
      </c>
      <c r="D810" s="4" t="s">
        <v>34</v>
      </c>
      <c r="E810">
        <v>0</v>
      </c>
      <c r="F810" s="3">
        <v>2682.5135</v>
      </c>
      <c r="G810" s="2">
        <v>1</v>
      </c>
      <c r="H810" s="3">
        <v>0</v>
      </c>
      <c r="I810" s="1">
        <v>45532</v>
      </c>
      <c r="J810" s="4" t="s">
        <v>11</v>
      </c>
      <c r="K810" s="4" t="s">
        <v>40</v>
      </c>
      <c r="L810" s="3">
        <v>2108.61</v>
      </c>
      <c r="M810" s="4" t="s">
        <v>1255</v>
      </c>
      <c r="N810" s="3">
        <v>0</v>
      </c>
    </row>
    <row r="811" spans="1:14" x14ac:dyDescent="0.35">
      <c r="A811">
        <v>1732</v>
      </c>
      <c r="B811" s="4" t="s">
        <v>317</v>
      </c>
      <c r="C811" s="4" t="s">
        <v>774</v>
      </c>
      <c r="D811" s="4" t="s">
        <v>25</v>
      </c>
      <c r="E811">
        <v>5</v>
      </c>
      <c r="F811" s="3">
        <v>4982.68</v>
      </c>
      <c r="G811" s="2">
        <v>0.65524137931034498</v>
      </c>
      <c r="H811" s="3">
        <v>0</v>
      </c>
      <c r="I811" s="1">
        <v>45236</v>
      </c>
      <c r="J811" s="4" t="s">
        <v>11</v>
      </c>
      <c r="K811" s="4" t="s">
        <v>12</v>
      </c>
      <c r="L811" s="3">
        <v>2239.42</v>
      </c>
      <c r="M811" s="4" t="s">
        <v>1255</v>
      </c>
      <c r="N811" s="3">
        <v>24913.4</v>
      </c>
    </row>
    <row r="812" spans="1:14" hidden="1" x14ac:dyDescent="0.35">
      <c r="A812">
        <v>1733</v>
      </c>
      <c r="B812" s="4" t="s">
        <v>775</v>
      </c>
      <c r="C812" s="4" t="s">
        <v>76</v>
      </c>
      <c r="D812" s="4" t="s">
        <v>27</v>
      </c>
      <c r="E812">
        <v>-2</v>
      </c>
      <c r="F812" s="3">
        <v>721.25</v>
      </c>
      <c r="G812" s="2">
        <v>0.65524137931034498</v>
      </c>
      <c r="H812" s="3">
        <v>0</v>
      </c>
      <c r="I812" s="1">
        <v>45686</v>
      </c>
      <c r="J812" s="4" t="s">
        <v>7</v>
      </c>
      <c r="K812" s="4" t="s">
        <v>40</v>
      </c>
      <c r="L812" s="3">
        <v>-936.38</v>
      </c>
      <c r="M812" s="4" t="s">
        <v>1255</v>
      </c>
      <c r="N812" s="3">
        <v>-1442.5</v>
      </c>
    </row>
    <row r="813" spans="1:14" hidden="1" x14ac:dyDescent="0.35">
      <c r="A813">
        <v>1734</v>
      </c>
      <c r="B813" s="4" t="s">
        <v>477</v>
      </c>
      <c r="C813" s="4" t="s">
        <v>776</v>
      </c>
      <c r="D813" s="4" t="s">
        <v>34</v>
      </c>
      <c r="E813">
        <v>0</v>
      </c>
      <c r="F813" s="3">
        <v>2678.6786000000002</v>
      </c>
      <c r="G813" s="2">
        <v>0.65524137931034498</v>
      </c>
      <c r="H813" s="3">
        <v>0</v>
      </c>
      <c r="I813" s="1">
        <v>45687</v>
      </c>
      <c r="J813" s="4" t="s">
        <v>23</v>
      </c>
      <c r="K813" s="4" t="s">
        <v>40</v>
      </c>
      <c r="L813" s="3">
        <v>-461.7</v>
      </c>
      <c r="M813" s="4" t="s">
        <v>1255</v>
      </c>
      <c r="N813" s="3">
        <v>0</v>
      </c>
    </row>
    <row r="814" spans="1:14" hidden="1" x14ac:dyDescent="0.35">
      <c r="A814">
        <v>1735</v>
      </c>
      <c r="B814" s="4" t="s">
        <v>723</v>
      </c>
      <c r="C814" s="4" t="s">
        <v>777</v>
      </c>
      <c r="D814" s="4" t="s">
        <v>10</v>
      </c>
      <c r="E814">
        <v>4</v>
      </c>
      <c r="F814" s="3">
        <v>2680.7946999999999</v>
      </c>
      <c r="G814" s="2">
        <v>1.06</v>
      </c>
      <c r="H814" s="3">
        <v>0</v>
      </c>
      <c r="I814" s="1">
        <v>45654</v>
      </c>
      <c r="J814" s="4" t="s">
        <v>11</v>
      </c>
      <c r="K814" s="4" t="s">
        <v>40</v>
      </c>
      <c r="L814" s="3">
        <v>2607.4299999999998</v>
      </c>
      <c r="M814" s="4" t="s">
        <v>1255</v>
      </c>
      <c r="N814" s="3">
        <v>10723.1788</v>
      </c>
    </row>
    <row r="815" spans="1:14" x14ac:dyDescent="0.35">
      <c r="A815">
        <v>1736</v>
      </c>
      <c r="B815" s="4" t="s">
        <v>778</v>
      </c>
      <c r="C815" s="4" t="s">
        <v>82</v>
      </c>
      <c r="D815" s="4" t="s">
        <v>10</v>
      </c>
      <c r="E815">
        <v>0</v>
      </c>
      <c r="F815" s="3">
        <v>1144.47</v>
      </c>
      <c r="G815" s="2">
        <v>0.09</v>
      </c>
      <c r="H815" s="3">
        <v>0</v>
      </c>
      <c r="I815" s="1">
        <v>45511</v>
      </c>
      <c r="J815" s="4" t="s">
        <v>18</v>
      </c>
      <c r="K815" s="4" t="s">
        <v>12</v>
      </c>
      <c r="L815" s="3">
        <v>1236.6199999999999</v>
      </c>
      <c r="M815" s="4" t="s">
        <v>1255</v>
      </c>
      <c r="N815" s="3">
        <v>0</v>
      </c>
    </row>
    <row r="816" spans="1:14" x14ac:dyDescent="0.35">
      <c r="A816">
        <v>1737</v>
      </c>
      <c r="B816" s="4" t="s">
        <v>110</v>
      </c>
      <c r="C816" s="4" t="s">
        <v>99</v>
      </c>
      <c r="D816" s="4" t="s">
        <v>17</v>
      </c>
      <c r="E816">
        <v>5</v>
      </c>
      <c r="F816" s="3">
        <v>2220.4699999999998</v>
      </c>
      <c r="G816" s="2">
        <v>0.65551903114186805</v>
      </c>
      <c r="H816" s="3">
        <v>0</v>
      </c>
      <c r="I816" s="1">
        <v>45511</v>
      </c>
      <c r="J816" s="4" t="s">
        <v>20</v>
      </c>
      <c r="K816" s="4" t="s">
        <v>8</v>
      </c>
      <c r="L816" s="3">
        <v>-156.87</v>
      </c>
      <c r="M816" s="4" t="s">
        <v>1255</v>
      </c>
      <c r="N816" s="3">
        <v>11102.35</v>
      </c>
    </row>
    <row r="817" spans="1:14" x14ac:dyDescent="0.35">
      <c r="A817">
        <v>1738</v>
      </c>
      <c r="B817" s="4" t="s">
        <v>572</v>
      </c>
      <c r="C817" s="4" t="s">
        <v>683</v>
      </c>
      <c r="D817" s="4" t="s">
        <v>26</v>
      </c>
      <c r="E817">
        <v>0</v>
      </c>
      <c r="F817" s="3">
        <v>1171.19</v>
      </c>
      <c r="G817" s="2">
        <v>0.65551903114186805</v>
      </c>
      <c r="H817" s="3">
        <v>0</v>
      </c>
      <c r="I817" s="1">
        <v>45698</v>
      </c>
      <c r="J817" s="4" t="s">
        <v>9</v>
      </c>
      <c r="K817" s="4" t="s">
        <v>8</v>
      </c>
      <c r="L817" s="3">
        <v>2205.44</v>
      </c>
      <c r="M817" s="4" t="s">
        <v>1255</v>
      </c>
      <c r="N817" s="3">
        <v>0</v>
      </c>
    </row>
    <row r="818" spans="1:14" x14ac:dyDescent="0.35">
      <c r="A818">
        <v>1739</v>
      </c>
      <c r="B818" s="4" t="s">
        <v>779</v>
      </c>
      <c r="C818" s="4" t="s">
        <v>126</v>
      </c>
      <c r="D818" s="4" t="s">
        <v>30</v>
      </c>
      <c r="E818">
        <v>3</v>
      </c>
      <c r="F818" s="3">
        <v>963.18</v>
      </c>
      <c r="G818" s="2">
        <v>0.65551903114186805</v>
      </c>
      <c r="H818" s="3">
        <v>0</v>
      </c>
      <c r="I818" s="1">
        <v>45658</v>
      </c>
      <c r="J818" s="4" t="s">
        <v>11</v>
      </c>
      <c r="K818" s="4" t="s">
        <v>12</v>
      </c>
      <c r="L818" s="3">
        <v>-114.6</v>
      </c>
      <c r="M818" s="4" t="s">
        <v>1255</v>
      </c>
      <c r="N818" s="3">
        <v>2889.54</v>
      </c>
    </row>
    <row r="819" spans="1:14" x14ac:dyDescent="0.35">
      <c r="A819">
        <v>1740</v>
      </c>
      <c r="B819" s="4" t="s">
        <v>780</v>
      </c>
      <c r="C819" s="4" t="s">
        <v>247</v>
      </c>
      <c r="D819" s="4" t="s">
        <v>6</v>
      </c>
      <c r="E819">
        <v>2</v>
      </c>
      <c r="F819" s="3">
        <v>2684.5976000000001</v>
      </c>
      <c r="G819" s="2">
        <v>0.65551903114186805</v>
      </c>
      <c r="H819" s="3">
        <v>0</v>
      </c>
      <c r="I819" s="1">
        <v>45832</v>
      </c>
      <c r="J819" s="4" t="s">
        <v>9</v>
      </c>
      <c r="K819" s="4" t="s">
        <v>12</v>
      </c>
      <c r="L819" s="3">
        <v>796.49</v>
      </c>
      <c r="M819" s="4" t="s">
        <v>1255</v>
      </c>
      <c r="N819" s="3">
        <v>5369.1952000000001</v>
      </c>
    </row>
    <row r="820" spans="1:14" x14ac:dyDescent="0.35">
      <c r="A820">
        <v>1741</v>
      </c>
      <c r="B820" s="4" t="s">
        <v>262</v>
      </c>
      <c r="C820" s="4" t="s">
        <v>781</v>
      </c>
      <c r="D820" s="4" t="s">
        <v>28</v>
      </c>
      <c r="E820">
        <v>1</v>
      </c>
      <c r="F820" s="3">
        <v>1762.56</v>
      </c>
      <c r="G820" s="2">
        <v>0.98</v>
      </c>
      <c r="H820" s="3">
        <v>35.25</v>
      </c>
      <c r="I820" s="1">
        <v>45304</v>
      </c>
      <c r="J820" s="4" t="s">
        <v>9</v>
      </c>
      <c r="K820" s="4" t="s">
        <v>12</v>
      </c>
      <c r="L820" s="3">
        <v>1217.93</v>
      </c>
      <c r="M820" s="4" t="s">
        <v>1256</v>
      </c>
      <c r="N820" s="3">
        <v>1762.56</v>
      </c>
    </row>
    <row r="821" spans="1:14" x14ac:dyDescent="0.35">
      <c r="A821">
        <v>1742</v>
      </c>
      <c r="B821" s="4" t="s">
        <v>782</v>
      </c>
      <c r="C821" s="4" t="s">
        <v>783</v>
      </c>
      <c r="D821" s="4" t="s">
        <v>32</v>
      </c>
      <c r="E821">
        <v>0</v>
      </c>
      <c r="F821" s="3">
        <v>2686.4666000000002</v>
      </c>
      <c r="G821" s="2">
        <v>0.03</v>
      </c>
      <c r="H821" s="3">
        <v>0</v>
      </c>
      <c r="I821" s="1">
        <v>45304</v>
      </c>
      <c r="J821" s="4" t="s">
        <v>18</v>
      </c>
      <c r="K821" s="4" t="s">
        <v>8</v>
      </c>
      <c r="L821" s="3">
        <v>-222.56</v>
      </c>
      <c r="M821" s="4" t="s">
        <v>1255</v>
      </c>
      <c r="N821" s="3">
        <v>0</v>
      </c>
    </row>
    <row r="822" spans="1:14" x14ac:dyDescent="0.35">
      <c r="A822">
        <v>1743</v>
      </c>
      <c r="B822" s="4" t="s">
        <v>117</v>
      </c>
      <c r="C822" s="4" t="s">
        <v>104</v>
      </c>
      <c r="D822" s="4" t="s">
        <v>15</v>
      </c>
      <c r="E822">
        <v>0</v>
      </c>
      <c r="F822" s="3">
        <v>2687.4708999999998</v>
      </c>
      <c r="G822" s="2">
        <v>0.65604166666666597</v>
      </c>
      <c r="H822" s="3">
        <v>0</v>
      </c>
      <c r="I822" s="1">
        <v>45782</v>
      </c>
      <c r="J822" s="4" t="s">
        <v>20</v>
      </c>
      <c r="K822" s="4" t="s">
        <v>8</v>
      </c>
      <c r="L822" s="3">
        <v>1490.6</v>
      </c>
      <c r="M822" s="4" t="s">
        <v>1255</v>
      </c>
      <c r="N822" s="3">
        <v>0</v>
      </c>
    </row>
    <row r="823" spans="1:14" x14ac:dyDescent="0.35">
      <c r="A823">
        <v>1744</v>
      </c>
      <c r="B823" s="4" t="s">
        <v>264</v>
      </c>
      <c r="C823" s="4" t="s">
        <v>149</v>
      </c>
      <c r="D823" s="4" t="s">
        <v>29</v>
      </c>
      <c r="E823">
        <v>0</v>
      </c>
      <c r="F823" s="3">
        <v>2687.4708999999998</v>
      </c>
      <c r="G823" s="2">
        <v>0.65604166666666597</v>
      </c>
      <c r="H823" s="3">
        <v>0</v>
      </c>
      <c r="I823" s="1">
        <v>45389</v>
      </c>
      <c r="J823" s="4" t="s">
        <v>11</v>
      </c>
      <c r="K823" s="4" t="s">
        <v>8</v>
      </c>
      <c r="L823" s="3">
        <v>1939.6</v>
      </c>
      <c r="M823" s="4" t="s">
        <v>1255</v>
      </c>
      <c r="N823" s="3">
        <v>0</v>
      </c>
    </row>
    <row r="824" spans="1:14" hidden="1" x14ac:dyDescent="0.35">
      <c r="A824">
        <v>1745</v>
      </c>
      <c r="B824" s="4" t="s">
        <v>219</v>
      </c>
      <c r="C824" s="4" t="s">
        <v>784</v>
      </c>
      <c r="D824" s="4" t="s">
        <v>28</v>
      </c>
      <c r="E824">
        <v>4</v>
      </c>
      <c r="F824" s="3">
        <v>2687.4708999999998</v>
      </c>
      <c r="G824" s="2">
        <v>0.43</v>
      </c>
      <c r="H824" s="3">
        <v>0</v>
      </c>
      <c r="I824" s="1">
        <v>45490</v>
      </c>
      <c r="J824" s="4" t="s">
        <v>18</v>
      </c>
      <c r="K824" s="4" t="s">
        <v>40</v>
      </c>
      <c r="L824" s="3">
        <v>723.22</v>
      </c>
      <c r="M824" s="4" t="s">
        <v>1255</v>
      </c>
      <c r="N824" s="3">
        <v>10749.883599999999</v>
      </c>
    </row>
    <row r="825" spans="1:14" hidden="1" x14ac:dyDescent="0.35">
      <c r="A825">
        <v>1746</v>
      </c>
      <c r="B825" s="4" t="s">
        <v>141</v>
      </c>
      <c r="C825" s="4" t="s">
        <v>784</v>
      </c>
      <c r="D825" s="4" t="s">
        <v>6</v>
      </c>
      <c r="E825">
        <v>0</v>
      </c>
      <c r="F825" s="3">
        <v>2687.4708999999998</v>
      </c>
      <c r="G825" s="2">
        <v>0.37</v>
      </c>
      <c r="H825" s="3">
        <v>0</v>
      </c>
      <c r="I825" s="1">
        <v>45176</v>
      </c>
      <c r="J825" s="4" t="s">
        <v>18</v>
      </c>
      <c r="K825" s="4" t="s">
        <v>40</v>
      </c>
      <c r="L825" s="3">
        <v>2037.45</v>
      </c>
      <c r="M825" s="4" t="s">
        <v>1255</v>
      </c>
      <c r="N825" s="3">
        <v>0</v>
      </c>
    </row>
    <row r="826" spans="1:14" x14ac:dyDescent="0.35">
      <c r="A826">
        <v>1747</v>
      </c>
      <c r="B826" s="4" t="s">
        <v>569</v>
      </c>
      <c r="C826" s="4" t="s">
        <v>160</v>
      </c>
      <c r="D826" s="4" t="s">
        <v>37</v>
      </c>
      <c r="E826">
        <v>0</v>
      </c>
      <c r="F826" s="3">
        <v>405.37</v>
      </c>
      <c r="G826" s="2">
        <v>0.65693379790940798</v>
      </c>
      <c r="H826" s="3">
        <v>0</v>
      </c>
      <c r="I826" s="1">
        <v>45176</v>
      </c>
      <c r="J826" s="4" t="s">
        <v>20</v>
      </c>
      <c r="K826" s="4" t="s">
        <v>8</v>
      </c>
      <c r="L826" s="3">
        <v>375.4</v>
      </c>
      <c r="M826" s="4" t="s">
        <v>1255</v>
      </c>
      <c r="N826" s="3">
        <v>0</v>
      </c>
    </row>
    <row r="827" spans="1:14" x14ac:dyDescent="0.35">
      <c r="A827">
        <v>1748</v>
      </c>
      <c r="B827" s="4" t="s">
        <v>228</v>
      </c>
      <c r="C827" s="4" t="s">
        <v>516</v>
      </c>
      <c r="D827" s="4" t="s">
        <v>25</v>
      </c>
      <c r="E827">
        <v>0</v>
      </c>
      <c r="F827" s="3">
        <v>2687.4708999999998</v>
      </c>
      <c r="G827" s="2">
        <v>0.65693379790940798</v>
      </c>
      <c r="H827" s="3">
        <v>0</v>
      </c>
      <c r="I827" s="1">
        <v>45547</v>
      </c>
      <c r="J827" s="4" t="s">
        <v>9</v>
      </c>
      <c r="K827" s="4" t="s">
        <v>12</v>
      </c>
      <c r="L827" s="3">
        <v>1687.82</v>
      </c>
      <c r="M827" s="4" t="s">
        <v>1255</v>
      </c>
      <c r="N827" s="3">
        <v>0</v>
      </c>
    </row>
    <row r="828" spans="1:14" x14ac:dyDescent="0.35">
      <c r="A828">
        <v>1749</v>
      </c>
      <c r="B828" s="4" t="s">
        <v>264</v>
      </c>
      <c r="C828" s="4" t="s">
        <v>257</v>
      </c>
      <c r="D828" s="4" t="s">
        <v>13</v>
      </c>
      <c r="E828">
        <v>0</v>
      </c>
      <c r="F828" s="3">
        <v>4499.3900000000003</v>
      </c>
      <c r="G828" s="2">
        <v>0.65693379790940798</v>
      </c>
      <c r="H828" s="3">
        <v>0</v>
      </c>
      <c r="I828" s="1">
        <v>45743</v>
      </c>
      <c r="J828" s="4" t="s">
        <v>7</v>
      </c>
      <c r="K828" s="4" t="s">
        <v>8</v>
      </c>
      <c r="L828" s="3">
        <v>17.489999999999998</v>
      </c>
      <c r="M828" s="4" t="s">
        <v>1255</v>
      </c>
      <c r="N828" s="3">
        <v>0</v>
      </c>
    </row>
    <row r="829" spans="1:14" x14ac:dyDescent="0.35">
      <c r="A829">
        <v>1750</v>
      </c>
      <c r="B829" s="4" t="s">
        <v>282</v>
      </c>
      <c r="C829" s="4" t="s">
        <v>395</v>
      </c>
      <c r="D829" s="4" t="s">
        <v>24</v>
      </c>
      <c r="E829">
        <v>0</v>
      </c>
      <c r="F829" s="3">
        <v>2653.9</v>
      </c>
      <c r="G829" s="2">
        <v>0.56000000000000005</v>
      </c>
      <c r="H829" s="3">
        <v>0</v>
      </c>
      <c r="I829" s="1">
        <v>45853</v>
      </c>
      <c r="J829" s="4" t="s">
        <v>18</v>
      </c>
      <c r="K829" s="4" t="s">
        <v>12</v>
      </c>
      <c r="L829" s="3">
        <v>2394.02</v>
      </c>
      <c r="M829" s="4" t="s">
        <v>1255</v>
      </c>
      <c r="N829" s="3">
        <v>0</v>
      </c>
    </row>
    <row r="830" spans="1:14" hidden="1" x14ac:dyDescent="0.35">
      <c r="A830">
        <v>1751</v>
      </c>
      <c r="B830" s="4" t="s">
        <v>494</v>
      </c>
      <c r="C830" s="4" t="s">
        <v>293</v>
      </c>
      <c r="D830" s="4" t="s">
        <v>10</v>
      </c>
      <c r="E830">
        <v>0</v>
      </c>
      <c r="F830" s="3">
        <v>2687.9830999999999</v>
      </c>
      <c r="G830" s="2">
        <v>0.65710296684118696</v>
      </c>
      <c r="H830" s="3">
        <v>0</v>
      </c>
      <c r="I830" s="1">
        <v>45853</v>
      </c>
      <c r="J830" s="4" t="s">
        <v>20</v>
      </c>
      <c r="K830" s="4" t="s">
        <v>40</v>
      </c>
      <c r="L830" s="3">
        <v>59.73</v>
      </c>
      <c r="M830" s="4" t="s">
        <v>1255</v>
      </c>
      <c r="N830" s="3">
        <v>0</v>
      </c>
    </row>
    <row r="831" spans="1:14" x14ac:dyDescent="0.35">
      <c r="A831">
        <v>1752</v>
      </c>
      <c r="B831" s="4" t="s">
        <v>296</v>
      </c>
      <c r="C831" s="4" t="s">
        <v>438</v>
      </c>
      <c r="D831" s="4" t="s">
        <v>6</v>
      </c>
      <c r="E831">
        <v>5</v>
      </c>
      <c r="F831" s="3">
        <v>2177.1999999999998</v>
      </c>
      <c r="G831" s="2">
        <v>0.65710296684118696</v>
      </c>
      <c r="H831" s="3">
        <v>0</v>
      </c>
      <c r="I831" s="1">
        <v>45853</v>
      </c>
      <c r="J831" s="4" t="s">
        <v>20</v>
      </c>
      <c r="K831" s="4" t="s">
        <v>12</v>
      </c>
      <c r="L831" s="3">
        <v>-341.7</v>
      </c>
      <c r="M831" s="4" t="s">
        <v>1255</v>
      </c>
      <c r="N831" s="3">
        <v>10886</v>
      </c>
    </row>
    <row r="832" spans="1:14" hidden="1" x14ac:dyDescent="0.35">
      <c r="A832">
        <v>1753</v>
      </c>
      <c r="B832" s="4" t="s">
        <v>785</v>
      </c>
      <c r="C832" s="4" t="s">
        <v>786</v>
      </c>
      <c r="D832" s="4" t="s">
        <v>10</v>
      </c>
      <c r="E832">
        <v>-2</v>
      </c>
      <c r="F832" s="3">
        <v>2688.0201999999999</v>
      </c>
      <c r="G832" s="2">
        <v>0.65710296684118696</v>
      </c>
      <c r="H832" s="3">
        <v>0</v>
      </c>
      <c r="I832" s="1">
        <v>45137</v>
      </c>
      <c r="J832" s="4" t="s">
        <v>9</v>
      </c>
      <c r="K832" s="4" t="s">
        <v>40</v>
      </c>
      <c r="L832" s="3">
        <v>1848.5</v>
      </c>
      <c r="M832" s="4" t="s">
        <v>1255</v>
      </c>
      <c r="N832" s="3">
        <v>-5376.0403999999999</v>
      </c>
    </row>
    <row r="833" spans="1:14" hidden="1" x14ac:dyDescent="0.35">
      <c r="A833">
        <v>1754</v>
      </c>
      <c r="B833" s="4" t="s">
        <v>274</v>
      </c>
      <c r="C833" s="4" t="s">
        <v>505</v>
      </c>
      <c r="D833" s="4" t="s">
        <v>35</v>
      </c>
      <c r="E833">
        <v>0</v>
      </c>
      <c r="F833" s="3">
        <v>2688.5779000000002</v>
      </c>
      <c r="G833" s="2">
        <v>0.56999999999999995</v>
      </c>
      <c r="H833" s="3">
        <v>0</v>
      </c>
      <c r="I833" s="1">
        <v>45727</v>
      </c>
      <c r="J833" s="4" t="s">
        <v>7</v>
      </c>
      <c r="K833" s="4" t="s">
        <v>40</v>
      </c>
      <c r="L833" s="3">
        <v>1945.55</v>
      </c>
      <c r="M833" s="4" t="s">
        <v>1255</v>
      </c>
      <c r="N833" s="3">
        <v>0</v>
      </c>
    </row>
    <row r="834" spans="1:14" x14ac:dyDescent="0.35">
      <c r="A834">
        <v>1755</v>
      </c>
      <c r="B834" s="4" t="s">
        <v>787</v>
      </c>
      <c r="C834" s="4" t="s">
        <v>399</v>
      </c>
      <c r="D834" s="4" t="s">
        <v>22</v>
      </c>
      <c r="E834">
        <v>0</v>
      </c>
      <c r="F834" s="3">
        <v>2688.5779000000002</v>
      </c>
      <c r="G834" s="2">
        <v>0.76</v>
      </c>
      <c r="H834" s="3">
        <v>0</v>
      </c>
      <c r="I834" s="1">
        <v>45727</v>
      </c>
      <c r="J834" s="4" t="s">
        <v>23</v>
      </c>
      <c r="K834" s="4" t="s">
        <v>12</v>
      </c>
      <c r="L834" s="3">
        <v>-255.22</v>
      </c>
      <c r="M834" s="4" t="s">
        <v>1255</v>
      </c>
      <c r="N834" s="3">
        <v>0</v>
      </c>
    </row>
    <row r="835" spans="1:14" x14ac:dyDescent="0.35">
      <c r="A835">
        <v>1756</v>
      </c>
      <c r="B835" s="4" t="s">
        <v>788</v>
      </c>
      <c r="C835" s="4" t="s">
        <v>789</v>
      </c>
      <c r="D835" s="4" t="s">
        <v>13</v>
      </c>
      <c r="E835">
        <v>5</v>
      </c>
      <c r="F835" s="3">
        <v>2688.5779000000002</v>
      </c>
      <c r="G835" s="2">
        <v>0.65707530647986001</v>
      </c>
      <c r="H835" s="3">
        <v>0</v>
      </c>
      <c r="I835" s="1">
        <v>45672</v>
      </c>
      <c r="J835" s="4" t="s">
        <v>11</v>
      </c>
      <c r="K835" s="4" t="s">
        <v>8</v>
      </c>
      <c r="L835" s="3">
        <v>1627.12</v>
      </c>
      <c r="M835" s="4" t="s">
        <v>1255</v>
      </c>
      <c r="N835" s="3">
        <v>13442.889499999999</v>
      </c>
    </row>
    <row r="836" spans="1:14" hidden="1" x14ac:dyDescent="0.35">
      <c r="A836">
        <v>1757</v>
      </c>
      <c r="B836" s="4" t="s">
        <v>47</v>
      </c>
      <c r="C836" s="4" t="s">
        <v>247</v>
      </c>
      <c r="D836" s="4" t="s">
        <v>6</v>
      </c>
      <c r="E836">
        <v>2</v>
      </c>
      <c r="F836" s="3">
        <v>3405.13</v>
      </c>
      <c r="G836" s="2">
        <v>0.91</v>
      </c>
      <c r="H836" s="3">
        <v>612.91999999999996</v>
      </c>
      <c r="I836" s="1">
        <v>45672</v>
      </c>
      <c r="J836" s="4" t="s">
        <v>18</v>
      </c>
      <c r="K836" s="4" t="s">
        <v>40</v>
      </c>
      <c r="L836" s="3">
        <v>1804.47</v>
      </c>
      <c r="M836" s="4" t="s">
        <v>1256</v>
      </c>
      <c r="N836" s="3">
        <v>6810.26</v>
      </c>
    </row>
    <row r="837" spans="1:14" x14ac:dyDescent="0.35">
      <c r="A837">
        <v>1758</v>
      </c>
      <c r="B837" s="4" t="s">
        <v>121</v>
      </c>
      <c r="C837" s="4" t="s">
        <v>790</v>
      </c>
      <c r="D837" s="4" t="s">
        <v>22</v>
      </c>
      <c r="E837">
        <v>0</v>
      </c>
      <c r="F837" s="3">
        <v>1307.6400000000001</v>
      </c>
      <c r="G837" s="2">
        <v>0.18</v>
      </c>
      <c r="H837" s="3">
        <v>0</v>
      </c>
      <c r="I837" s="1">
        <v>45722</v>
      </c>
      <c r="J837" s="4" t="s">
        <v>11</v>
      </c>
      <c r="K837" s="4" t="s">
        <v>12</v>
      </c>
      <c r="L837" s="3">
        <v>-122.33</v>
      </c>
      <c r="M837" s="4" t="s">
        <v>1255</v>
      </c>
      <c r="N837" s="3">
        <v>0</v>
      </c>
    </row>
    <row r="838" spans="1:14" hidden="1" x14ac:dyDescent="0.35">
      <c r="A838">
        <v>1759</v>
      </c>
      <c r="B838" s="4" t="s">
        <v>132</v>
      </c>
      <c r="C838" s="4" t="s">
        <v>698</v>
      </c>
      <c r="D838" s="4" t="s">
        <v>15</v>
      </c>
      <c r="E838">
        <v>0</v>
      </c>
      <c r="F838" s="3">
        <v>2687.7948000000001</v>
      </c>
      <c r="G838" s="2">
        <v>0.65746924428822495</v>
      </c>
      <c r="H838" s="3">
        <v>0</v>
      </c>
      <c r="I838" s="1">
        <v>45654</v>
      </c>
      <c r="J838" s="4" t="s">
        <v>9</v>
      </c>
      <c r="K838" s="4" t="s">
        <v>40</v>
      </c>
      <c r="L838" s="3">
        <v>-278.64999999999998</v>
      </c>
      <c r="M838" s="4" t="s">
        <v>1255</v>
      </c>
      <c r="N838" s="3">
        <v>0</v>
      </c>
    </row>
    <row r="839" spans="1:14" x14ac:dyDescent="0.35">
      <c r="A839">
        <v>1760</v>
      </c>
      <c r="B839" s="4" t="s">
        <v>791</v>
      </c>
      <c r="C839" s="4" t="s">
        <v>792</v>
      </c>
      <c r="D839" s="4" t="s">
        <v>33</v>
      </c>
      <c r="E839">
        <v>3</v>
      </c>
      <c r="F839" s="3">
        <v>4326.6000000000004</v>
      </c>
      <c r="G839" s="2">
        <v>0.65746924428822495</v>
      </c>
      <c r="H839" s="3">
        <v>0</v>
      </c>
      <c r="I839" s="1">
        <v>45663</v>
      </c>
      <c r="J839" s="4" t="s">
        <v>9</v>
      </c>
      <c r="K839" s="4" t="s">
        <v>12</v>
      </c>
      <c r="L839" s="3">
        <v>1495.82</v>
      </c>
      <c r="M839" s="4" t="s">
        <v>1255</v>
      </c>
      <c r="N839" s="3">
        <v>12979.8</v>
      </c>
    </row>
    <row r="840" spans="1:14" x14ac:dyDescent="0.35">
      <c r="A840">
        <v>1761</v>
      </c>
      <c r="B840" s="4" t="s">
        <v>139</v>
      </c>
      <c r="C840" s="4" t="s">
        <v>203</v>
      </c>
      <c r="D840" s="4" t="s">
        <v>34</v>
      </c>
      <c r="E840">
        <v>3</v>
      </c>
      <c r="F840" s="3">
        <v>2689.3047999999999</v>
      </c>
      <c r="G840" s="2">
        <v>0.37</v>
      </c>
      <c r="H840" s="3">
        <v>0</v>
      </c>
      <c r="I840" s="1">
        <v>45540</v>
      </c>
      <c r="J840" s="4" t="s">
        <v>11</v>
      </c>
      <c r="K840" s="4" t="s">
        <v>12</v>
      </c>
      <c r="L840" s="3">
        <v>2989.57</v>
      </c>
      <c r="M840" s="4" t="s">
        <v>1255</v>
      </c>
      <c r="N840" s="3">
        <v>8067.9143999999997</v>
      </c>
    </row>
    <row r="841" spans="1:14" hidden="1" x14ac:dyDescent="0.35">
      <c r="A841">
        <v>1762</v>
      </c>
      <c r="B841" s="4" t="s">
        <v>139</v>
      </c>
      <c r="C841" s="4" t="s">
        <v>793</v>
      </c>
      <c r="D841" s="4" t="s">
        <v>10</v>
      </c>
      <c r="E841">
        <v>0</v>
      </c>
      <c r="F841" s="3">
        <v>1364.9</v>
      </c>
      <c r="G841" s="2">
        <v>0.17</v>
      </c>
      <c r="H841" s="3">
        <v>0</v>
      </c>
      <c r="I841" s="1">
        <v>45604</v>
      </c>
      <c r="J841" s="4" t="s">
        <v>7</v>
      </c>
      <c r="K841" s="4" t="s">
        <v>40</v>
      </c>
      <c r="L841" s="3">
        <v>1591.99</v>
      </c>
      <c r="M841" s="4" t="s">
        <v>1255</v>
      </c>
      <c r="N841" s="3">
        <v>0</v>
      </c>
    </row>
    <row r="842" spans="1:14" hidden="1" x14ac:dyDescent="0.35">
      <c r="A842">
        <v>1763</v>
      </c>
      <c r="B842" s="4" t="s">
        <v>167</v>
      </c>
      <c r="C842" s="4" t="s">
        <v>297</v>
      </c>
      <c r="D842" s="4" t="s">
        <v>38</v>
      </c>
      <c r="E842">
        <v>2</v>
      </c>
      <c r="F842" s="3">
        <v>1874.56</v>
      </c>
      <c r="G842" s="2">
        <v>0.658835978835979</v>
      </c>
      <c r="H842" s="3">
        <v>0</v>
      </c>
      <c r="I842" s="1">
        <v>45604</v>
      </c>
      <c r="J842" s="4" t="s">
        <v>20</v>
      </c>
      <c r="K842" s="4" t="s">
        <v>40</v>
      </c>
      <c r="L842" s="3">
        <v>1906.32</v>
      </c>
      <c r="M842" s="4" t="s">
        <v>1255</v>
      </c>
      <c r="N842" s="3">
        <v>3749.12</v>
      </c>
    </row>
    <row r="843" spans="1:14" x14ac:dyDescent="0.35">
      <c r="A843">
        <v>1765</v>
      </c>
      <c r="B843" s="4" t="s">
        <v>697</v>
      </c>
      <c r="C843" s="4" t="s">
        <v>794</v>
      </c>
      <c r="D843" s="4" t="s">
        <v>21</v>
      </c>
      <c r="E843">
        <v>6</v>
      </c>
      <c r="F843" s="3">
        <v>1016.5</v>
      </c>
      <c r="G843" s="2">
        <v>0.658835978835979</v>
      </c>
      <c r="H843" s="3">
        <v>0</v>
      </c>
      <c r="I843" s="1">
        <v>45709</v>
      </c>
      <c r="J843" s="4" t="s">
        <v>11</v>
      </c>
      <c r="K843" s="4" t="s">
        <v>8</v>
      </c>
      <c r="L843" s="3">
        <v>-420.11</v>
      </c>
      <c r="M843" s="4" t="s">
        <v>1255</v>
      </c>
      <c r="N843" s="3">
        <v>6099</v>
      </c>
    </row>
    <row r="844" spans="1:14" hidden="1" x14ac:dyDescent="0.35">
      <c r="A844">
        <v>1766</v>
      </c>
      <c r="B844" s="4" t="s">
        <v>164</v>
      </c>
      <c r="C844" s="4" t="s">
        <v>95</v>
      </c>
      <c r="D844" s="4" t="s">
        <v>30</v>
      </c>
      <c r="E844">
        <v>0</v>
      </c>
      <c r="F844" s="3">
        <v>3589.19</v>
      </c>
      <c r="G844" s="2">
        <v>0.658835978835979</v>
      </c>
      <c r="H844" s="3">
        <v>0</v>
      </c>
      <c r="I844" s="1">
        <v>45838</v>
      </c>
      <c r="J844" s="4" t="s">
        <v>11</v>
      </c>
      <c r="K844" s="4" t="s">
        <v>40</v>
      </c>
      <c r="L844" s="3">
        <v>1880.22</v>
      </c>
      <c r="M844" s="4" t="s">
        <v>1255</v>
      </c>
      <c r="N844" s="3">
        <v>0</v>
      </c>
    </row>
    <row r="845" spans="1:14" x14ac:dyDescent="0.35">
      <c r="A845">
        <v>1767</v>
      </c>
      <c r="B845" s="4" t="s">
        <v>758</v>
      </c>
      <c r="C845" s="4" t="s">
        <v>795</v>
      </c>
      <c r="D845" s="4" t="s">
        <v>24</v>
      </c>
      <c r="E845">
        <v>0</v>
      </c>
      <c r="F845" s="3">
        <v>2151.92</v>
      </c>
      <c r="G845" s="2">
        <v>0.658835978835979</v>
      </c>
      <c r="H845" s="3">
        <v>0</v>
      </c>
      <c r="I845" s="1">
        <v>45850</v>
      </c>
      <c r="J845" s="4" t="s">
        <v>11</v>
      </c>
      <c r="K845" s="4" t="s">
        <v>12</v>
      </c>
      <c r="L845" s="3">
        <v>2383.83</v>
      </c>
      <c r="M845" s="4" t="s">
        <v>1255</v>
      </c>
      <c r="N845" s="3">
        <v>0</v>
      </c>
    </row>
    <row r="846" spans="1:14" x14ac:dyDescent="0.35">
      <c r="A846">
        <v>1768</v>
      </c>
      <c r="B846" s="4" t="s">
        <v>67</v>
      </c>
      <c r="C846" s="4" t="s">
        <v>211</v>
      </c>
      <c r="D846" s="4" t="s">
        <v>38</v>
      </c>
      <c r="E846">
        <v>5</v>
      </c>
      <c r="F846" s="3">
        <v>3548.22</v>
      </c>
      <c r="G846" s="2">
        <v>0.658835978835979</v>
      </c>
      <c r="H846" s="3">
        <v>0</v>
      </c>
      <c r="I846" s="1">
        <v>45133</v>
      </c>
      <c r="J846" s="4" t="s">
        <v>11</v>
      </c>
      <c r="K846" s="4" t="s">
        <v>12</v>
      </c>
      <c r="L846" s="3">
        <v>2960.22</v>
      </c>
      <c r="M846" s="4" t="s">
        <v>1255</v>
      </c>
      <c r="N846" s="3">
        <v>17741.099999999999</v>
      </c>
    </row>
    <row r="847" spans="1:14" x14ac:dyDescent="0.35">
      <c r="A847">
        <v>1769</v>
      </c>
      <c r="B847" s="4" t="s">
        <v>93</v>
      </c>
      <c r="C847" s="4" t="s">
        <v>796</v>
      </c>
      <c r="D847" s="4" t="s">
        <v>34</v>
      </c>
      <c r="E847">
        <v>0</v>
      </c>
      <c r="F847" s="3">
        <v>2689.4794000000002</v>
      </c>
      <c r="G847" s="2">
        <v>1</v>
      </c>
      <c r="H847" s="3">
        <v>0</v>
      </c>
      <c r="I847" s="1">
        <v>45626</v>
      </c>
      <c r="J847" s="4" t="s">
        <v>7</v>
      </c>
      <c r="K847" s="4" t="s">
        <v>8</v>
      </c>
      <c r="L847" s="3">
        <v>989.57</v>
      </c>
      <c r="M847" s="4" t="s">
        <v>1255</v>
      </c>
      <c r="N847" s="3">
        <v>0</v>
      </c>
    </row>
    <row r="848" spans="1:14" hidden="1" x14ac:dyDescent="0.35">
      <c r="A848">
        <v>1770</v>
      </c>
      <c r="B848" s="4" t="s">
        <v>797</v>
      </c>
      <c r="C848" s="4" t="s">
        <v>349</v>
      </c>
      <c r="D848" s="4" t="s">
        <v>24</v>
      </c>
      <c r="E848">
        <v>0</v>
      </c>
      <c r="F848" s="3">
        <v>2688.5315000000001</v>
      </c>
      <c r="G848" s="2">
        <v>0.65823321554770298</v>
      </c>
      <c r="H848" s="3">
        <v>0</v>
      </c>
      <c r="I848" s="1">
        <v>45197</v>
      </c>
      <c r="J848" s="4" t="s">
        <v>20</v>
      </c>
      <c r="K848" s="4" t="s">
        <v>40</v>
      </c>
      <c r="L848" s="3">
        <v>2366.9699999999998</v>
      </c>
      <c r="M848" s="4" t="s">
        <v>1255</v>
      </c>
      <c r="N848" s="3">
        <v>0</v>
      </c>
    </row>
    <row r="849" spans="1:14" x14ac:dyDescent="0.35">
      <c r="A849">
        <v>1771</v>
      </c>
      <c r="B849" s="4" t="s">
        <v>798</v>
      </c>
      <c r="C849" s="4" t="s">
        <v>450</v>
      </c>
      <c r="D849" s="4" t="s">
        <v>38</v>
      </c>
      <c r="E849">
        <v>-1</v>
      </c>
      <c r="F849" s="3">
        <v>730.48</v>
      </c>
      <c r="G849" s="2">
        <v>0.65823321554770298</v>
      </c>
      <c r="H849" s="3">
        <v>0</v>
      </c>
      <c r="I849" s="1">
        <v>45664</v>
      </c>
      <c r="J849" s="4" t="s">
        <v>23</v>
      </c>
      <c r="K849" s="4" t="s">
        <v>8</v>
      </c>
      <c r="L849" s="3">
        <v>-162.02000000000001</v>
      </c>
      <c r="M849" s="4" t="s">
        <v>1255</v>
      </c>
      <c r="N849" s="3">
        <v>-730.48</v>
      </c>
    </row>
    <row r="850" spans="1:14" x14ac:dyDescent="0.35">
      <c r="A850">
        <v>1772</v>
      </c>
      <c r="B850" s="4" t="s">
        <v>460</v>
      </c>
      <c r="C850" s="4" t="s">
        <v>499</v>
      </c>
      <c r="D850" s="4" t="s">
        <v>16</v>
      </c>
      <c r="E850">
        <v>0</v>
      </c>
      <c r="F850" s="3">
        <v>2688.5315000000001</v>
      </c>
      <c r="G850" s="2">
        <v>0.38</v>
      </c>
      <c r="H850" s="3">
        <v>0</v>
      </c>
      <c r="I850" s="1">
        <v>45816</v>
      </c>
      <c r="J850" s="4" t="s">
        <v>9</v>
      </c>
      <c r="K850" s="4" t="s">
        <v>8</v>
      </c>
      <c r="L850" s="3">
        <v>545.03</v>
      </c>
      <c r="M850" s="4" t="s">
        <v>1255</v>
      </c>
      <c r="N850" s="3">
        <v>0</v>
      </c>
    </row>
    <row r="851" spans="1:14" x14ac:dyDescent="0.35">
      <c r="A851">
        <v>1773</v>
      </c>
      <c r="B851" s="4" t="s">
        <v>799</v>
      </c>
      <c r="C851" s="4" t="s">
        <v>203</v>
      </c>
      <c r="D851" s="4" t="s">
        <v>33</v>
      </c>
      <c r="E851">
        <v>0</v>
      </c>
      <c r="F851" s="3">
        <v>444.82</v>
      </c>
      <c r="G851" s="2">
        <v>0.51</v>
      </c>
      <c r="H851" s="3">
        <v>0</v>
      </c>
      <c r="I851" s="1">
        <v>45816</v>
      </c>
      <c r="J851" s="4" t="s">
        <v>23</v>
      </c>
      <c r="K851" s="4" t="s">
        <v>8</v>
      </c>
      <c r="L851" s="3">
        <v>1838.59</v>
      </c>
      <c r="M851" s="4" t="s">
        <v>1255</v>
      </c>
      <c r="N851" s="3">
        <v>0</v>
      </c>
    </row>
    <row r="852" spans="1:14" x14ac:dyDescent="0.35">
      <c r="A852">
        <v>1774</v>
      </c>
      <c r="B852" s="4" t="s">
        <v>224</v>
      </c>
      <c r="C852" s="4" t="s">
        <v>500</v>
      </c>
      <c r="D852" s="4" t="s">
        <v>19</v>
      </c>
      <c r="E852">
        <v>3</v>
      </c>
      <c r="F852" s="3">
        <v>4137.43</v>
      </c>
      <c r="G852" s="2">
        <v>0.65898936170212796</v>
      </c>
      <c r="H852" s="3">
        <v>0</v>
      </c>
      <c r="I852" s="1">
        <v>45777</v>
      </c>
      <c r="J852" s="4" t="s">
        <v>9</v>
      </c>
      <c r="K852" s="4" t="s">
        <v>8</v>
      </c>
      <c r="L852" s="3">
        <v>895.53</v>
      </c>
      <c r="M852" s="4" t="s">
        <v>1255</v>
      </c>
      <c r="N852" s="3">
        <v>12412.29</v>
      </c>
    </row>
    <row r="853" spans="1:14" hidden="1" x14ac:dyDescent="0.35">
      <c r="A853">
        <v>1775</v>
      </c>
      <c r="B853" s="4" t="s">
        <v>121</v>
      </c>
      <c r="C853" s="4" t="s">
        <v>470</v>
      </c>
      <c r="D853" s="4" t="s">
        <v>28</v>
      </c>
      <c r="E853">
        <v>0</v>
      </c>
      <c r="F853" s="3">
        <v>2693.1795000000002</v>
      </c>
      <c r="G853" s="2">
        <v>1.01</v>
      </c>
      <c r="H853" s="3">
        <v>0</v>
      </c>
      <c r="I853" s="1">
        <v>45777</v>
      </c>
      <c r="J853" s="4" t="s">
        <v>9</v>
      </c>
      <c r="K853" s="4" t="s">
        <v>40</v>
      </c>
      <c r="L853" s="3">
        <v>2275.5500000000002</v>
      </c>
      <c r="M853" s="4" t="s">
        <v>1255</v>
      </c>
      <c r="N853" s="3">
        <v>0</v>
      </c>
    </row>
    <row r="854" spans="1:14" x14ac:dyDescent="0.35">
      <c r="A854">
        <v>1776</v>
      </c>
      <c r="B854" s="4" t="s">
        <v>242</v>
      </c>
      <c r="C854" s="4" t="s">
        <v>236</v>
      </c>
      <c r="D854" s="4" t="s">
        <v>29</v>
      </c>
      <c r="E854">
        <v>4</v>
      </c>
      <c r="F854" s="3">
        <v>4684.9799999999996</v>
      </c>
      <c r="G854" s="2">
        <v>0.658365896980462</v>
      </c>
      <c r="H854" s="3">
        <v>0</v>
      </c>
      <c r="I854" s="1">
        <v>45777</v>
      </c>
      <c r="J854" s="4" t="s">
        <v>20</v>
      </c>
      <c r="K854" s="4" t="s">
        <v>8</v>
      </c>
      <c r="L854" s="3">
        <v>-360.88</v>
      </c>
      <c r="M854" s="4" t="s">
        <v>1255</v>
      </c>
      <c r="N854" s="3">
        <v>18739.919999999998</v>
      </c>
    </row>
    <row r="855" spans="1:14" x14ac:dyDescent="0.35">
      <c r="A855">
        <v>1777</v>
      </c>
      <c r="B855" s="4" t="s">
        <v>608</v>
      </c>
      <c r="C855" s="4" t="s">
        <v>188</v>
      </c>
      <c r="D855" s="4" t="s">
        <v>25</v>
      </c>
      <c r="E855">
        <v>0</v>
      </c>
      <c r="F855" s="3">
        <v>2691.5801000000001</v>
      </c>
      <c r="G855" s="2">
        <v>0.658365896980462</v>
      </c>
      <c r="H855" s="3">
        <v>0</v>
      </c>
      <c r="I855" s="1">
        <v>45401</v>
      </c>
      <c r="J855" s="4" t="s">
        <v>7</v>
      </c>
      <c r="K855" s="4" t="s">
        <v>12</v>
      </c>
      <c r="L855" s="3">
        <v>1292.0899999999999</v>
      </c>
      <c r="M855" s="4" t="s">
        <v>1255</v>
      </c>
      <c r="N855" s="3">
        <v>0</v>
      </c>
    </row>
    <row r="856" spans="1:14" x14ac:dyDescent="0.35">
      <c r="A856">
        <v>1778</v>
      </c>
      <c r="B856" s="4" t="s">
        <v>96</v>
      </c>
      <c r="C856" s="4" t="s">
        <v>174</v>
      </c>
      <c r="D856" s="4" t="s">
        <v>15</v>
      </c>
      <c r="E856">
        <v>5</v>
      </c>
      <c r="F856" s="3">
        <v>2716.57</v>
      </c>
      <c r="G856" s="2">
        <v>0.658365896980462</v>
      </c>
      <c r="H856" s="3">
        <v>0</v>
      </c>
      <c r="I856" s="1">
        <v>45569</v>
      </c>
      <c r="J856" s="4" t="s">
        <v>11</v>
      </c>
      <c r="K856" s="4" t="s">
        <v>8</v>
      </c>
      <c r="L856" s="3">
        <v>2059.98</v>
      </c>
      <c r="M856" s="4" t="s">
        <v>1255</v>
      </c>
      <c r="N856" s="3">
        <v>13582.85</v>
      </c>
    </row>
    <row r="857" spans="1:14" hidden="1" x14ac:dyDescent="0.35">
      <c r="A857">
        <v>1779</v>
      </c>
      <c r="B857" s="4" t="s">
        <v>139</v>
      </c>
      <c r="C857" s="4" t="s">
        <v>61</v>
      </c>
      <c r="D857" s="4" t="s">
        <v>16</v>
      </c>
      <c r="E857">
        <v>0</v>
      </c>
      <c r="F857" s="3">
        <v>2689.3701000000001</v>
      </c>
      <c r="G857" s="2">
        <v>0.658365896980462</v>
      </c>
      <c r="H857" s="3">
        <v>0</v>
      </c>
      <c r="I857" s="1">
        <v>45568</v>
      </c>
      <c r="J857" s="4" t="s">
        <v>23</v>
      </c>
      <c r="K857" s="4" t="s">
        <v>40</v>
      </c>
      <c r="L857" s="3">
        <v>1861.39</v>
      </c>
      <c r="M857" s="4" t="s">
        <v>1255</v>
      </c>
      <c r="N857" s="3">
        <v>0</v>
      </c>
    </row>
    <row r="858" spans="1:14" x14ac:dyDescent="0.35">
      <c r="A858">
        <v>1780</v>
      </c>
      <c r="B858" s="4" t="s">
        <v>800</v>
      </c>
      <c r="C858" s="4" t="s">
        <v>505</v>
      </c>
      <c r="D858" s="4" t="s">
        <v>34</v>
      </c>
      <c r="E858">
        <v>0</v>
      </c>
      <c r="F858" s="3">
        <v>2689.34</v>
      </c>
      <c r="G858" s="2">
        <v>0.658365896980462</v>
      </c>
      <c r="H858" s="3">
        <v>0</v>
      </c>
      <c r="I858" s="1">
        <v>45829</v>
      </c>
      <c r="J858" s="4" t="s">
        <v>7</v>
      </c>
      <c r="K858" s="4" t="s">
        <v>12</v>
      </c>
      <c r="L858" s="3">
        <v>2756.02</v>
      </c>
      <c r="M858" s="4" t="s">
        <v>1255</v>
      </c>
      <c r="N858" s="3">
        <v>0</v>
      </c>
    </row>
    <row r="859" spans="1:14" hidden="1" x14ac:dyDescent="0.35">
      <c r="A859">
        <v>1781</v>
      </c>
      <c r="B859" s="4" t="s">
        <v>801</v>
      </c>
      <c r="C859" s="4" t="s">
        <v>44</v>
      </c>
      <c r="D859" s="4" t="s">
        <v>17</v>
      </c>
      <c r="E859">
        <v>0</v>
      </c>
      <c r="F859" s="3">
        <v>2689.34</v>
      </c>
      <c r="G859" s="2">
        <v>0.658365896980462</v>
      </c>
      <c r="H859" s="3">
        <v>0</v>
      </c>
      <c r="I859" s="1">
        <v>45710</v>
      </c>
      <c r="J859" s="4" t="s">
        <v>11</v>
      </c>
      <c r="K859" s="4" t="s">
        <v>40</v>
      </c>
      <c r="L859" s="3">
        <v>213.46</v>
      </c>
      <c r="M859" s="4" t="s">
        <v>1255</v>
      </c>
      <c r="N859" s="3">
        <v>0</v>
      </c>
    </row>
    <row r="860" spans="1:14" x14ac:dyDescent="0.35">
      <c r="A860">
        <v>1782</v>
      </c>
      <c r="B860" s="4" t="s">
        <v>372</v>
      </c>
      <c r="C860" s="4" t="s">
        <v>404</v>
      </c>
      <c r="D860" s="4" t="s">
        <v>30</v>
      </c>
      <c r="E860">
        <v>6</v>
      </c>
      <c r="F860" s="3">
        <v>2689.34</v>
      </c>
      <c r="G860" s="2">
        <v>0.658365896980462</v>
      </c>
      <c r="H860" s="3">
        <v>0</v>
      </c>
      <c r="I860" s="1">
        <v>45350</v>
      </c>
      <c r="J860" s="4" t="s">
        <v>11</v>
      </c>
      <c r="K860" s="4" t="s">
        <v>12</v>
      </c>
      <c r="L860" s="3">
        <v>1802.32</v>
      </c>
      <c r="M860" s="4" t="s">
        <v>1255</v>
      </c>
      <c r="N860" s="3">
        <v>16136.04</v>
      </c>
    </row>
    <row r="861" spans="1:14" hidden="1" x14ac:dyDescent="0.35">
      <c r="A861">
        <v>1783</v>
      </c>
      <c r="B861" s="4" t="s">
        <v>370</v>
      </c>
      <c r="C861" s="4" t="s">
        <v>672</v>
      </c>
      <c r="D861" s="4" t="s">
        <v>30</v>
      </c>
      <c r="E861">
        <v>0</v>
      </c>
      <c r="F861" s="3">
        <v>2689.34</v>
      </c>
      <c r="G861" s="2">
        <v>0.93</v>
      </c>
      <c r="H861" s="3">
        <v>0</v>
      </c>
      <c r="I861" s="1">
        <v>45505</v>
      </c>
      <c r="J861" s="4" t="s">
        <v>23</v>
      </c>
      <c r="K861" s="4" t="s">
        <v>40</v>
      </c>
      <c r="L861" s="3">
        <v>34.35</v>
      </c>
      <c r="M861" s="4" t="s">
        <v>1255</v>
      </c>
      <c r="N861" s="3">
        <v>0</v>
      </c>
    </row>
    <row r="862" spans="1:14" x14ac:dyDescent="0.35">
      <c r="A862">
        <v>1784</v>
      </c>
      <c r="B862" s="4" t="s">
        <v>228</v>
      </c>
      <c r="C862" s="4" t="s">
        <v>802</v>
      </c>
      <c r="D862" s="4" t="s">
        <v>15</v>
      </c>
      <c r="E862">
        <v>4</v>
      </c>
      <c r="F862" s="3">
        <v>2068.0500000000002</v>
      </c>
      <c r="G862" s="2">
        <v>0.65788256227758002</v>
      </c>
      <c r="H862" s="3">
        <v>0</v>
      </c>
      <c r="I862" s="1">
        <v>45573</v>
      </c>
      <c r="J862" s="4" t="s">
        <v>11</v>
      </c>
      <c r="K862" s="4" t="s">
        <v>8</v>
      </c>
      <c r="L862" s="3">
        <v>-379.91</v>
      </c>
      <c r="M862" s="4" t="s">
        <v>1255</v>
      </c>
      <c r="N862" s="3">
        <v>8272.2000000000007</v>
      </c>
    </row>
    <row r="863" spans="1:14" x14ac:dyDescent="0.35">
      <c r="A863">
        <v>1785</v>
      </c>
      <c r="B863" s="4" t="s">
        <v>568</v>
      </c>
      <c r="C863" s="4" t="s">
        <v>803</v>
      </c>
      <c r="D863" s="4" t="s">
        <v>37</v>
      </c>
      <c r="E863">
        <v>3</v>
      </c>
      <c r="F863" s="3">
        <v>4103</v>
      </c>
      <c r="G863" s="2">
        <v>0.65788256227758002</v>
      </c>
      <c r="H863" s="3">
        <v>0</v>
      </c>
      <c r="I863" s="1">
        <v>45804</v>
      </c>
      <c r="J863" s="4" t="s">
        <v>23</v>
      </c>
      <c r="K863" s="4" t="s">
        <v>8</v>
      </c>
      <c r="L863" s="3">
        <v>567.89</v>
      </c>
      <c r="M863" s="4" t="s">
        <v>1255</v>
      </c>
      <c r="N863" s="3">
        <v>12309</v>
      </c>
    </row>
    <row r="864" spans="1:14" hidden="1" x14ac:dyDescent="0.35">
      <c r="A864">
        <v>1786</v>
      </c>
      <c r="B864" s="4" t="s">
        <v>743</v>
      </c>
      <c r="C864" s="4" t="s">
        <v>482</v>
      </c>
      <c r="D864" s="4" t="s">
        <v>22</v>
      </c>
      <c r="E864">
        <v>0</v>
      </c>
      <c r="F864" s="3">
        <v>2690.0302999999999</v>
      </c>
      <c r="G864" s="2">
        <v>1.1100000000000001</v>
      </c>
      <c r="H864" s="3">
        <v>0</v>
      </c>
      <c r="I864" s="1">
        <v>45743</v>
      </c>
      <c r="J864" s="4" t="s">
        <v>20</v>
      </c>
      <c r="K864" s="4" t="s">
        <v>40</v>
      </c>
      <c r="L864" s="3">
        <v>1462.24</v>
      </c>
      <c r="M864" s="4" t="s">
        <v>1255</v>
      </c>
      <c r="N864" s="3">
        <v>0</v>
      </c>
    </row>
    <row r="865" spans="1:14" x14ac:dyDescent="0.35">
      <c r="A865">
        <v>1787</v>
      </c>
      <c r="B865" s="4" t="s">
        <v>458</v>
      </c>
      <c r="C865" s="4" t="s">
        <v>149</v>
      </c>
      <c r="D865" s="4" t="s">
        <v>35</v>
      </c>
      <c r="E865">
        <v>6</v>
      </c>
      <c r="F865" s="3">
        <v>2688.4585999999999</v>
      </c>
      <c r="G865" s="2">
        <v>0.65707664884135397</v>
      </c>
      <c r="H865" s="3">
        <v>0</v>
      </c>
      <c r="I865" s="1">
        <v>45612</v>
      </c>
      <c r="J865" s="4" t="s">
        <v>7</v>
      </c>
      <c r="K865" s="4" t="s">
        <v>8</v>
      </c>
      <c r="L865" s="3">
        <v>1294</v>
      </c>
      <c r="M865" s="4" t="s">
        <v>1255</v>
      </c>
      <c r="N865" s="3">
        <v>16130.7516</v>
      </c>
    </row>
    <row r="866" spans="1:14" x14ac:dyDescent="0.35">
      <c r="A866">
        <v>1789</v>
      </c>
      <c r="B866" s="4" t="s">
        <v>320</v>
      </c>
      <c r="C866" s="4" t="s">
        <v>804</v>
      </c>
      <c r="D866" s="4" t="s">
        <v>27</v>
      </c>
      <c r="E866">
        <v>0</v>
      </c>
      <c r="F866" s="3">
        <v>1433.92</v>
      </c>
      <c r="G866" s="2">
        <v>0.11</v>
      </c>
      <c r="H866" s="3">
        <v>0</v>
      </c>
      <c r="I866" s="1">
        <v>45771</v>
      </c>
      <c r="J866" s="4" t="s">
        <v>23</v>
      </c>
      <c r="K866" s="4" t="s">
        <v>8</v>
      </c>
      <c r="L866" s="3">
        <v>315.07</v>
      </c>
      <c r="M866" s="4" t="s">
        <v>1255</v>
      </c>
      <c r="N866" s="3">
        <v>0</v>
      </c>
    </row>
    <row r="867" spans="1:14" x14ac:dyDescent="0.35">
      <c r="A867">
        <v>1790</v>
      </c>
      <c r="B867" s="4" t="s">
        <v>805</v>
      </c>
      <c r="C867" s="4" t="s">
        <v>127</v>
      </c>
      <c r="D867" s="4" t="s">
        <v>27</v>
      </c>
      <c r="E867">
        <v>1</v>
      </c>
      <c r="F867" s="3">
        <v>3268.42</v>
      </c>
      <c r="G867" s="2">
        <v>0.65805357142857102</v>
      </c>
      <c r="H867" s="3">
        <v>0</v>
      </c>
      <c r="I867" s="1">
        <v>45793</v>
      </c>
      <c r="J867" s="4" t="s">
        <v>7</v>
      </c>
      <c r="K867" s="4" t="s">
        <v>8</v>
      </c>
      <c r="L867" s="3">
        <v>259.67</v>
      </c>
      <c r="M867" s="4" t="s">
        <v>1255</v>
      </c>
      <c r="N867" s="3">
        <v>3268.42</v>
      </c>
    </row>
    <row r="868" spans="1:14" x14ac:dyDescent="0.35">
      <c r="A868">
        <v>1791</v>
      </c>
      <c r="B868" s="4" t="s">
        <v>195</v>
      </c>
      <c r="C868" s="4" t="s">
        <v>144</v>
      </c>
      <c r="D868" s="4" t="s">
        <v>17</v>
      </c>
      <c r="E868">
        <v>0</v>
      </c>
      <c r="F868" s="3">
        <v>2123.69</v>
      </c>
      <c r="G868" s="2">
        <v>0.69</v>
      </c>
      <c r="H868" s="3">
        <v>0</v>
      </c>
      <c r="I868" s="1">
        <v>45655</v>
      </c>
      <c r="J868" s="4" t="s">
        <v>18</v>
      </c>
      <c r="K868" s="4" t="s">
        <v>8</v>
      </c>
      <c r="L868" s="3">
        <v>2894.66</v>
      </c>
      <c r="M868" s="4" t="s">
        <v>1255</v>
      </c>
      <c r="N868" s="3">
        <v>0</v>
      </c>
    </row>
    <row r="869" spans="1:14" x14ac:dyDescent="0.35">
      <c r="A869">
        <v>1792</v>
      </c>
      <c r="B869" s="4" t="s">
        <v>62</v>
      </c>
      <c r="C869" s="4" t="s">
        <v>377</v>
      </c>
      <c r="D869" s="4" t="s">
        <v>16</v>
      </c>
      <c r="E869">
        <v>0</v>
      </c>
      <c r="F869" s="3">
        <v>2688.9180000000001</v>
      </c>
      <c r="G869" s="2">
        <v>0.83</v>
      </c>
      <c r="H869" s="3">
        <v>0</v>
      </c>
      <c r="I869" s="1">
        <v>45696</v>
      </c>
      <c r="J869" s="4" t="s">
        <v>11</v>
      </c>
      <c r="K869" s="4" t="s">
        <v>12</v>
      </c>
      <c r="L869" s="3">
        <v>-116.82</v>
      </c>
      <c r="M869" s="4" t="s">
        <v>1255</v>
      </c>
      <c r="N869" s="3">
        <v>0</v>
      </c>
    </row>
    <row r="870" spans="1:14" x14ac:dyDescent="0.35">
      <c r="A870">
        <v>1793</v>
      </c>
      <c r="B870" s="4" t="s">
        <v>69</v>
      </c>
      <c r="C870" s="4" t="s">
        <v>735</v>
      </c>
      <c r="D870" s="4" t="s">
        <v>24</v>
      </c>
      <c r="E870">
        <v>5</v>
      </c>
      <c r="F870" s="3">
        <v>1887.84</v>
      </c>
      <c r="G870" s="2">
        <v>0.65768817204301</v>
      </c>
      <c r="H870" s="3">
        <v>0</v>
      </c>
      <c r="I870" s="1">
        <v>45525</v>
      </c>
      <c r="J870" s="4" t="s">
        <v>9</v>
      </c>
      <c r="K870" s="4" t="s">
        <v>8</v>
      </c>
      <c r="L870" s="3">
        <v>1275.03</v>
      </c>
      <c r="M870" s="4" t="s">
        <v>1255</v>
      </c>
      <c r="N870" s="3">
        <v>9439.2000000000007</v>
      </c>
    </row>
    <row r="871" spans="1:14" x14ac:dyDescent="0.35">
      <c r="A871">
        <v>1794</v>
      </c>
      <c r="B871" s="4" t="s">
        <v>352</v>
      </c>
      <c r="C871" s="4" t="s">
        <v>806</v>
      </c>
      <c r="D871" s="4" t="s">
        <v>30</v>
      </c>
      <c r="E871">
        <v>0</v>
      </c>
      <c r="F871" s="3">
        <v>2689.5495000000001</v>
      </c>
      <c r="G871" s="2">
        <v>0.65768817204301</v>
      </c>
      <c r="H871" s="3">
        <v>0</v>
      </c>
      <c r="I871" s="1">
        <v>45818</v>
      </c>
      <c r="J871" s="4" t="s">
        <v>18</v>
      </c>
      <c r="K871" s="4" t="s">
        <v>12</v>
      </c>
      <c r="L871" s="3">
        <v>2115.2600000000002</v>
      </c>
      <c r="M871" s="4" t="s">
        <v>1255</v>
      </c>
      <c r="N871" s="3">
        <v>0</v>
      </c>
    </row>
    <row r="872" spans="1:14" x14ac:dyDescent="0.35">
      <c r="A872">
        <v>1795</v>
      </c>
      <c r="B872" s="4" t="s">
        <v>304</v>
      </c>
      <c r="C872" s="4" t="s">
        <v>80</v>
      </c>
      <c r="D872" s="4" t="s">
        <v>35</v>
      </c>
      <c r="E872">
        <v>0</v>
      </c>
      <c r="F872" s="3">
        <v>2690.4463000000001</v>
      </c>
      <c r="G872" s="2">
        <v>0.65768817204301</v>
      </c>
      <c r="H872" s="3">
        <v>0</v>
      </c>
      <c r="I872" s="1">
        <v>45769</v>
      </c>
      <c r="J872" s="4" t="s">
        <v>23</v>
      </c>
      <c r="K872" s="4" t="s">
        <v>8</v>
      </c>
      <c r="L872" s="3">
        <v>301.5</v>
      </c>
      <c r="M872" s="4" t="s">
        <v>1255</v>
      </c>
      <c r="N872" s="3">
        <v>0</v>
      </c>
    </row>
    <row r="873" spans="1:14" hidden="1" x14ac:dyDescent="0.35">
      <c r="A873">
        <v>1796</v>
      </c>
      <c r="B873" s="4" t="s">
        <v>50</v>
      </c>
      <c r="C873" s="4" t="s">
        <v>414</v>
      </c>
      <c r="D873" s="4" t="s">
        <v>24</v>
      </c>
      <c r="E873">
        <v>-1</v>
      </c>
      <c r="F873" s="3">
        <v>2690.4463000000001</v>
      </c>
      <c r="G873" s="2">
        <v>0.94</v>
      </c>
      <c r="H873" s="3">
        <v>0</v>
      </c>
      <c r="I873" s="1">
        <v>45769</v>
      </c>
      <c r="J873" s="4" t="s">
        <v>20</v>
      </c>
      <c r="K873" s="4" t="s">
        <v>40</v>
      </c>
      <c r="L873" s="3">
        <v>-851</v>
      </c>
      <c r="M873" s="4" t="s">
        <v>1255</v>
      </c>
      <c r="N873" s="3">
        <v>-2690.4463000000001</v>
      </c>
    </row>
    <row r="874" spans="1:14" hidden="1" x14ac:dyDescent="0.35">
      <c r="A874">
        <v>1797</v>
      </c>
      <c r="B874" s="4" t="s">
        <v>96</v>
      </c>
      <c r="C874" s="4" t="s">
        <v>538</v>
      </c>
      <c r="D874" s="4" t="s">
        <v>17</v>
      </c>
      <c r="E874">
        <v>0</v>
      </c>
      <c r="F874" s="3">
        <v>4305.0200000000004</v>
      </c>
      <c r="G874" s="2">
        <v>0.65718132854578104</v>
      </c>
      <c r="H874" s="3">
        <v>0</v>
      </c>
      <c r="I874" s="1">
        <v>45663</v>
      </c>
      <c r="J874" s="4" t="s">
        <v>9</v>
      </c>
      <c r="K874" s="4" t="s">
        <v>40</v>
      </c>
      <c r="L874" s="3">
        <v>2296.37</v>
      </c>
      <c r="M874" s="4" t="s">
        <v>1255</v>
      </c>
      <c r="N874" s="3">
        <v>0</v>
      </c>
    </row>
    <row r="875" spans="1:14" hidden="1" x14ac:dyDescent="0.35">
      <c r="A875">
        <v>1798</v>
      </c>
      <c r="B875" s="4" t="s">
        <v>807</v>
      </c>
      <c r="C875" s="4" t="s">
        <v>808</v>
      </c>
      <c r="D875" s="4" t="s">
        <v>29</v>
      </c>
      <c r="E875">
        <v>0</v>
      </c>
      <c r="F875" s="3">
        <v>2490.16</v>
      </c>
      <c r="G875" s="2">
        <v>0.65718132854578104</v>
      </c>
      <c r="H875" s="3">
        <v>0</v>
      </c>
      <c r="I875" s="1">
        <v>45859</v>
      </c>
      <c r="J875" s="4" t="s">
        <v>11</v>
      </c>
      <c r="K875" s="4" t="s">
        <v>40</v>
      </c>
      <c r="L875" s="3">
        <v>905.43</v>
      </c>
      <c r="M875" s="4" t="s">
        <v>1255</v>
      </c>
      <c r="N875" s="3">
        <v>0</v>
      </c>
    </row>
    <row r="876" spans="1:14" hidden="1" x14ac:dyDescent="0.35">
      <c r="A876">
        <v>1799</v>
      </c>
      <c r="B876" s="4" t="s">
        <v>292</v>
      </c>
      <c r="C876" s="4" t="s">
        <v>809</v>
      </c>
      <c r="D876" s="4" t="s">
        <v>29</v>
      </c>
      <c r="E876">
        <v>0</v>
      </c>
      <c r="F876" s="3">
        <v>1101.5</v>
      </c>
      <c r="G876" s="2">
        <v>0.81</v>
      </c>
      <c r="H876" s="3">
        <v>0</v>
      </c>
      <c r="I876" s="1">
        <v>45859</v>
      </c>
      <c r="J876" s="4" t="s">
        <v>11</v>
      </c>
      <c r="K876" s="4" t="s">
        <v>40</v>
      </c>
      <c r="L876" s="3">
        <v>-967.63</v>
      </c>
      <c r="M876" s="4" t="s">
        <v>1255</v>
      </c>
      <c r="N876" s="3">
        <v>0</v>
      </c>
    </row>
    <row r="877" spans="1:14" x14ac:dyDescent="0.35">
      <c r="A877">
        <v>1800</v>
      </c>
      <c r="B877" s="4" t="s">
        <v>85</v>
      </c>
      <c r="C877" s="4" t="s">
        <v>257</v>
      </c>
      <c r="D877" s="4" t="s">
        <v>10</v>
      </c>
      <c r="E877">
        <v>6</v>
      </c>
      <c r="F877" s="3">
        <v>2688.8607999999999</v>
      </c>
      <c r="G877" s="2">
        <v>0.93</v>
      </c>
      <c r="H877" s="3">
        <v>0</v>
      </c>
      <c r="I877" s="1">
        <v>45680</v>
      </c>
      <c r="J877" s="4" t="s">
        <v>11</v>
      </c>
      <c r="K877" s="4" t="s">
        <v>12</v>
      </c>
      <c r="L877" s="3">
        <v>855.26</v>
      </c>
      <c r="M877" s="4" t="s">
        <v>1255</v>
      </c>
      <c r="N877" s="3">
        <v>16133.1648</v>
      </c>
    </row>
    <row r="878" spans="1:14" x14ac:dyDescent="0.35">
      <c r="A878">
        <v>1801</v>
      </c>
      <c r="B878" s="4" t="s">
        <v>43</v>
      </c>
      <c r="C878" s="4" t="s">
        <v>607</v>
      </c>
      <c r="D878" s="4" t="s">
        <v>22</v>
      </c>
      <c r="E878">
        <v>-2</v>
      </c>
      <c r="F878" s="3">
        <v>2690.6423</v>
      </c>
      <c r="G878" s="2">
        <v>0.65641441441441395</v>
      </c>
      <c r="H878" s="3">
        <v>0</v>
      </c>
      <c r="I878" s="1">
        <v>45770</v>
      </c>
      <c r="J878" s="4" t="s">
        <v>18</v>
      </c>
      <c r="K878" s="4" t="s">
        <v>8</v>
      </c>
      <c r="L878" s="3">
        <v>1463.67</v>
      </c>
      <c r="M878" s="4" t="s">
        <v>1255</v>
      </c>
      <c r="N878" s="3">
        <v>-5381.2846</v>
      </c>
    </row>
    <row r="879" spans="1:14" hidden="1" x14ac:dyDescent="0.35">
      <c r="A879">
        <v>1802</v>
      </c>
      <c r="B879" s="4" t="s">
        <v>284</v>
      </c>
      <c r="C879" s="4" t="s">
        <v>349</v>
      </c>
      <c r="D879" s="4" t="s">
        <v>38</v>
      </c>
      <c r="E879">
        <v>-1</v>
      </c>
      <c r="F879" s="3">
        <v>2690.6423</v>
      </c>
      <c r="G879" s="2">
        <v>0.65641441441441395</v>
      </c>
      <c r="H879" s="3">
        <v>0</v>
      </c>
      <c r="I879" s="1">
        <v>45708</v>
      </c>
      <c r="J879" s="4" t="s">
        <v>7</v>
      </c>
      <c r="K879" s="4" t="s">
        <v>40</v>
      </c>
      <c r="L879" s="3">
        <v>-618.71</v>
      </c>
      <c r="M879" s="4" t="s">
        <v>1255</v>
      </c>
      <c r="N879" s="3">
        <v>-2690.6423</v>
      </c>
    </row>
    <row r="880" spans="1:14" hidden="1" x14ac:dyDescent="0.35">
      <c r="A880">
        <v>1803</v>
      </c>
      <c r="B880" s="4" t="s">
        <v>224</v>
      </c>
      <c r="C880" s="4" t="s">
        <v>82</v>
      </c>
      <c r="D880" s="4" t="s">
        <v>19</v>
      </c>
      <c r="E880">
        <v>0</v>
      </c>
      <c r="F880" s="3">
        <v>2690.6423</v>
      </c>
      <c r="G880" s="2">
        <v>0.65641441441441395</v>
      </c>
      <c r="H880" s="3">
        <v>0</v>
      </c>
      <c r="I880" s="1">
        <v>45708</v>
      </c>
      <c r="J880" s="4" t="s">
        <v>11</v>
      </c>
      <c r="K880" s="4" t="s">
        <v>40</v>
      </c>
      <c r="L880" s="3">
        <v>409.58</v>
      </c>
      <c r="M880" s="4" t="s">
        <v>1255</v>
      </c>
      <c r="N880" s="3">
        <v>0</v>
      </c>
    </row>
    <row r="881" spans="1:14" hidden="1" x14ac:dyDescent="0.35">
      <c r="A881">
        <v>1804</v>
      </c>
      <c r="B881" s="4" t="s">
        <v>43</v>
      </c>
      <c r="C881" s="4" t="s">
        <v>376</v>
      </c>
      <c r="D881" s="4" t="s">
        <v>24</v>
      </c>
      <c r="E881">
        <v>0</v>
      </c>
      <c r="F881" s="3">
        <v>2690.6423</v>
      </c>
      <c r="G881" s="2">
        <v>0.65641441441441395</v>
      </c>
      <c r="H881" s="3">
        <v>0</v>
      </c>
      <c r="I881" s="1">
        <v>45779</v>
      </c>
      <c r="J881" s="4" t="s">
        <v>11</v>
      </c>
      <c r="K881" s="4" t="s">
        <v>40</v>
      </c>
      <c r="L881" s="3">
        <v>1896.92</v>
      </c>
      <c r="M881" s="4" t="s">
        <v>1255</v>
      </c>
      <c r="N881" s="3">
        <v>0</v>
      </c>
    </row>
    <row r="882" spans="1:14" x14ac:dyDescent="0.35">
      <c r="A882">
        <v>1806</v>
      </c>
      <c r="B882" s="4" t="s">
        <v>71</v>
      </c>
      <c r="C882" s="4" t="s">
        <v>163</v>
      </c>
      <c r="D882" s="4" t="s">
        <v>24</v>
      </c>
      <c r="E882">
        <v>1</v>
      </c>
      <c r="F882" s="3">
        <v>2690.6423</v>
      </c>
      <c r="G882" s="2">
        <v>0.65641441441441395</v>
      </c>
      <c r="H882" s="3">
        <v>0</v>
      </c>
      <c r="I882" s="1">
        <v>45695</v>
      </c>
      <c r="J882" s="4" t="s">
        <v>20</v>
      </c>
      <c r="K882" s="4" t="s">
        <v>8</v>
      </c>
      <c r="L882" s="3">
        <v>1003.57</v>
      </c>
      <c r="M882" s="4" t="s">
        <v>1255</v>
      </c>
      <c r="N882" s="3">
        <v>2690.6423</v>
      </c>
    </row>
    <row r="883" spans="1:14" x14ac:dyDescent="0.35">
      <c r="A883">
        <v>1807</v>
      </c>
      <c r="B883" s="4" t="s">
        <v>274</v>
      </c>
      <c r="C883" s="4" t="s">
        <v>374</v>
      </c>
      <c r="D883" s="4" t="s">
        <v>16</v>
      </c>
      <c r="E883">
        <v>4</v>
      </c>
      <c r="F883" s="3">
        <v>2308.12</v>
      </c>
      <c r="G883" s="2">
        <v>0.65641441441441395</v>
      </c>
      <c r="H883" s="3">
        <v>0</v>
      </c>
      <c r="I883" s="1">
        <v>45811</v>
      </c>
      <c r="J883" s="4" t="s">
        <v>18</v>
      </c>
      <c r="K883" s="4" t="s">
        <v>8</v>
      </c>
      <c r="L883" s="3">
        <v>362.88</v>
      </c>
      <c r="M883" s="4" t="s">
        <v>1255</v>
      </c>
      <c r="N883" s="3">
        <v>9232.48</v>
      </c>
    </row>
    <row r="884" spans="1:14" x14ac:dyDescent="0.35">
      <c r="A884">
        <v>1808</v>
      </c>
      <c r="B884" s="4" t="s">
        <v>65</v>
      </c>
      <c r="C884" s="4" t="s">
        <v>594</v>
      </c>
      <c r="D884" s="4" t="s">
        <v>37</v>
      </c>
      <c r="E884">
        <v>0</v>
      </c>
      <c r="F884" s="3">
        <v>4582.21</v>
      </c>
      <c r="G884" s="2">
        <v>0.7</v>
      </c>
      <c r="H884" s="3">
        <v>0</v>
      </c>
      <c r="I884" s="1">
        <v>45811</v>
      </c>
      <c r="J884" s="4" t="s">
        <v>18</v>
      </c>
      <c r="K884" s="4" t="s">
        <v>12</v>
      </c>
      <c r="L884" s="3">
        <v>-67.84</v>
      </c>
      <c r="M884" s="4" t="s">
        <v>1255</v>
      </c>
      <c r="N884" s="3">
        <v>0</v>
      </c>
    </row>
    <row r="885" spans="1:14" hidden="1" x14ac:dyDescent="0.35">
      <c r="A885">
        <v>1809</v>
      </c>
      <c r="B885" s="4" t="s">
        <v>101</v>
      </c>
      <c r="C885" s="4" t="s">
        <v>204</v>
      </c>
      <c r="D885" s="4" t="s">
        <v>25</v>
      </c>
      <c r="E885">
        <v>0</v>
      </c>
      <c r="F885" s="3">
        <v>3799.39</v>
      </c>
      <c r="G885" s="2">
        <v>0.76</v>
      </c>
      <c r="H885" s="3">
        <v>0</v>
      </c>
      <c r="I885" s="1">
        <v>45602</v>
      </c>
      <c r="J885" s="4" t="s">
        <v>18</v>
      </c>
      <c r="K885" s="4" t="s">
        <v>40</v>
      </c>
      <c r="L885" s="3">
        <v>-599.61</v>
      </c>
      <c r="M885" s="4" t="s">
        <v>1255</v>
      </c>
      <c r="N885" s="3">
        <v>0</v>
      </c>
    </row>
    <row r="886" spans="1:14" x14ac:dyDescent="0.35">
      <c r="A886">
        <v>1810</v>
      </c>
      <c r="B886" s="4" t="s">
        <v>319</v>
      </c>
      <c r="C886" s="4" t="s">
        <v>810</v>
      </c>
      <c r="D886" s="4" t="s">
        <v>19</v>
      </c>
      <c r="E886">
        <v>0</v>
      </c>
      <c r="F886" s="3">
        <v>2690.2444</v>
      </c>
      <c r="G886" s="2">
        <v>0.39</v>
      </c>
      <c r="H886" s="3">
        <v>0</v>
      </c>
      <c r="I886" s="1">
        <v>45776</v>
      </c>
      <c r="J886" s="4" t="s">
        <v>11</v>
      </c>
      <c r="K886" s="4" t="s">
        <v>12</v>
      </c>
      <c r="L886" s="3">
        <v>-148.03</v>
      </c>
      <c r="M886" s="4" t="s">
        <v>1255</v>
      </c>
      <c r="N886" s="3">
        <v>0</v>
      </c>
    </row>
    <row r="887" spans="1:14" hidden="1" x14ac:dyDescent="0.35">
      <c r="A887">
        <v>1811</v>
      </c>
      <c r="B887" s="4" t="s">
        <v>121</v>
      </c>
      <c r="C887" s="4" t="s">
        <v>61</v>
      </c>
      <c r="D887" s="4" t="s">
        <v>29</v>
      </c>
      <c r="E887">
        <v>2</v>
      </c>
      <c r="F887" s="3">
        <v>2688.9938999999999</v>
      </c>
      <c r="G887" s="2">
        <v>0.99</v>
      </c>
      <c r="H887" s="3">
        <v>0</v>
      </c>
      <c r="I887" s="1">
        <v>45492</v>
      </c>
      <c r="J887" s="4" t="s">
        <v>18</v>
      </c>
      <c r="K887" s="4" t="s">
        <v>40</v>
      </c>
      <c r="L887" s="3">
        <v>1662.7</v>
      </c>
      <c r="M887" s="4" t="s">
        <v>1255</v>
      </c>
      <c r="N887" s="3">
        <v>5377.9877999999999</v>
      </c>
    </row>
    <row r="888" spans="1:14" x14ac:dyDescent="0.35">
      <c r="A888">
        <v>1812</v>
      </c>
      <c r="B888" s="4" t="s">
        <v>811</v>
      </c>
      <c r="C888" s="4" t="s">
        <v>438</v>
      </c>
      <c r="D888" s="4" t="s">
        <v>30</v>
      </c>
      <c r="E888">
        <v>0</v>
      </c>
      <c r="F888" s="3">
        <v>2688.9938999999999</v>
      </c>
      <c r="G888" s="2">
        <v>0.65602540834845702</v>
      </c>
      <c r="H888" s="3">
        <v>0</v>
      </c>
      <c r="I888" s="1">
        <v>45683</v>
      </c>
      <c r="J888" s="4" t="s">
        <v>7</v>
      </c>
      <c r="K888" s="4" t="s">
        <v>12</v>
      </c>
      <c r="L888" s="3">
        <v>-36.380000000000003</v>
      </c>
      <c r="M888" s="4" t="s">
        <v>1255</v>
      </c>
      <c r="N888" s="3">
        <v>0</v>
      </c>
    </row>
    <row r="889" spans="1:14" x14ac:dyDescent="0.35">
      <c r="A889">
        <v>1813</v>
      </c>
      <c r="B889" s="4" t="s">
        <v>130</v>
      </c>
      <c r="C889" s="4" t="s">
        <v>92</v>
      </c>
      <c r="D889" s="4" t="s">
        <v>34</v>
      </c>
      <c r="E889">
        <v>0</v>
      </c>
      <c r="F889" s="3">
        <v>2688.9938999999999</v>
      </c>
      <c r="G889" s="2">
        <v>0.65602540834845702</v>
      </c>
      <c r="H889" s="3">
        <v>0</v>
      </c>
      <c r="I889" s="1">
        <v>45851</v>
      </c>
      <c r="J889" s="4" t="s">
        <v>9</v>
      </c>
      <c r="K889" s="4" t="s">
        <v>12</v>
      </c>
      <c r="L889" s="3">
        <v>1718.02</v>
      </c>
      <c r="M889" s="4" t="s">
        <v>1255</v>
      </c>
      <c r="N889" s="3">
        <v>0</v>
      </c>
    </row>
    <row r="890" spans="1:14" x14ac:dyDescent="0.35">
      <c r="A890">
        <v>1814</v>
      </c>
      <c r="B890" s="4" t="s">
        <v>322</v>
      </c>
      <c r="C890" s="4" t="s">
        <v>812</v>
      </c>
      <c r="D890" s="4" t="s">
        <v>37</v>
      </c>
      <c r="E890">
        <v>0</v>
      </c>
      <c r="F890" s="3">
        <v>2688.9938999999999</v>
      </c>
      <c r="G890" s="2">
        <v>0.65602540834845702</v>
      </c>
      <c r="H890" s="3">
        <v>0</v>
      </c>
      <c r="I890" s="1">
        <v>45655</v>
      </c>
      <c r="J890" s="4" t="s">
        <v>7</v>
      </c>
      <c r="K890" s="4" t="s">
        <v>12</v>
      </c>
      <c r="L890" s="3">
        <v>2724.05</v>
      </c>
      <c r="M890" s="4" t="s">
        <v>1255</v>
      </c>
      <c r="N890" s="3">
        <v>0</v>
      </c>
    </row>
    <row r="891" spans="1:14" hidden="1" x14ac:dyDescent="0.35">
      <c r="A891">
        <v>1815</v>
      </c>
      <c r="B891" s="4" t="s">
        <v>494</v>
      </c>
      <c r="C891" s="4" t="s">
        <v>542</v>
      </c>
      <c r="D891" s="4" t="s">
        <v>17</v>
      </c>
      <c r="E891">
        <v>0</v>
      </c>
      <c r="F891" s="3">
        <v>2688.9938999999999</v>
      </c>
      <c r="G891" s="2">
        <v>0.65602540834845702</v>
      </c>
      <c r="H891" s="3">
        <v>0</v>
      </c>
      <c r="I891" s="1">
        <v>45806</v>
      </c>
      <c r="J891" s="4" t="s">
        <v>18</v>
      </c>
      <c r="K891" s="4" t="s">
        <v>40</v>
      </c>
      <c r="L891" s="3">
        <v>1057.3599999999999</v>
      </c>
      <c r="M891" s="4" t="s">
        <v>1255</v>
      </c>
      <c r="N891" s="3">
        <v>0</v>
      </c>
    </row>
    <row r="892" spans="1:14" hidden="1" x14ac:dyDescent="0.35">
      <c r="A892">
        <v>1816</v>
      </c>
      <c r="B892" s="4" t="s">
        <v>363</v>
      </c>
      <c r="C892" s="4" t="s">
        <v>493</v>
      </c>
      <c r="D892" s="4" t="s">
        <v>28</v>
      </c>
      <c r="E892">
        <v>1</v>
      </c>
      <c r="F892" s="3">
        <v>1130.83</v>
      </c>
      <c r="G892" s="2">
        <v>0.84</v>
      </c>
      <c r="H892" s="3">
        <v>180.93</v>
      </c>
      <c r="I892" s="1">
        <v>45135</v>
      </c>
      <c r="J892" s="4" t="s">
        <v>23</v>
      </c>
      <c r="K892" s="4" t="s">
        <v>40</v>
      </c>
      <c r="L892" s="3">
        <v>-804.96</v>
      </c>
      <c r="M892" s="4" t="s">
        <v>1256</v>
      </c>
      <c r="N892" s="3">
        <v>1130.83</v>
      </c>
    </row>
    <row r="893" spans="1:14" hidden="1" x14ac:dyDescent="0.35">
      <c r="A893">
        <v>1817</v>
      </c>
      <c r="B893" s="4" t="s">
        <v>370</v>
      </c>
      <c r="C893" s="4" t="s">
        <v>363</v>
      </c>
      <c r="D893" s="4" t="s">
        <v>38</v>
      </c>
      <c r="E893">
        <v>0</v>
      </c>
      <c r="F893" s="3">
        <v>2964.88</v>
      </c>
      <c r="G893" s="2">
        <v>1.28</v>
      </c>
      <c r="H893" s="3">
        <v>0</v>
      </c>
      <c r="I893" s="1">
        <v>45521</v>
      </c>
      <c r="J893" s="4" t="s">
        <v>11</v>
      </c>
      <c r="K893" s="4" t="s">
        <v>40</v>
      </c>
      <c r="L893" s="3">
        <v>591.28</v>
      </c>
      <c r="M893" s="4" t="s">
        <v>1255</v>
      </c>
      <c r="N893" s="3">
        <v>0</v>
      </c>
    </row>
    <row r="894" spans="1:14" x14ac:dyDescent="0.35">
      <c r="A894">
        <v>1818</v>
      </c>
      <c r="B894" s="4" t="s">
        <v>813</v>
      </c>
      <c r="C894" s="4" t="s">
        <v>142</v>
      </c>
      <c r="D894" s="4" t="s">
        <v>14</v>
      </c>
      <c r="E894">
        <v>-1</v>
      </c>
      <c r="F894" s="3">
        <v>3449.33</v>
      </c>
      <c r="G894" s="2">
        <v>0.43</v>
      </c>
      <c r="H894" s="3">
        <v>-1966.12</v>
      </c>
      <c r="I894" s="1">
        <v>45521</v>
      </c>
      <c r="J894" s="4" t="s">
        <v>7</v>
      </c>
      <c r="K894" s="4" t="s">
        <v>8</v>
      </c>
      <c r="L894" s="3">
        <v>601.45000000000005</v>
      </c>
      <c r="M894" s="4" t="s">
        <v>1255</v>
      </c>
      <c r="N894" s="3">
        <v>-3449.33</v>
      </c>
    </row>
    <row r="895" spans="1:14" x14ac:dyDescent="0.35">
      <c r="A895">
        <v>1819</v>
      </c>
      <c r="B895" s="4" t="s">
        <v>296</v>
      </c>
      <c r="C895" s="4" t="s">
        <v>438</v>
      </c>
      <c r="D895" s="4" t="s">
        <v>33</v>
      </c>
      <c r="E895">
        <v>6</v>
      </c>
      <c r="F895" s="3">
        <v>1761.18</v>
      </c>
      <c r="G895" s="2">
        <v>0.65496350364963496</v>
      </c>
      <c r="H895" s="3">
        <v>0</v>
      </c>
      <c r="I895" s="1">
        <v>45521</v>
      </c>
      <c r="J895" s="4" t="s">
        <v>11</v>
      </c>
      <c r="K895" s="4" t="s">
        <v>12</v>
      </c>
      <c r="L895" s="3">
        <v>2069.36</v>
      </c>
      <c r="M895" s="4" t="s">
        <v>1255</v>
      </c>
      <c r="N895" s="3">
        <v>10567.08</v>
      </c>
    </row>
    <row r="896" spans="1:14" hidden="1" x14ac:dyDescent="0.35">
      <c r="A896">
        <v>1820</v>
      </c>
      <c r="B896" s="4" t="s">
        <v>93</v>
      </c>
      <c r="C896" s="4" t="s">
        <v>400</v>
      </c>
      <c r="D896" s="4" t="s">
        <v>28</v>
      </c>
      <c r="E896">
        <v>5</v>
      </c>
      <c r="F896" s="3">
        <v>1965.04</v>
      </c>
      <c r="G896" s="2">
        <v>0.65496350364963496</v>
      </c>
      <c r="H896" s="3">
        <v>0</v>
      </c>
      <c r="I896" s="1">
        <v>45132</v>
      </c>
      <c r="J896" s="4" t="s">
        <v>20</v>
      </c>
      <c r="K896" s="4" t="s">
        <v>40</v>
      </c>
      <c r="L896" s="3">
        <v>20.89</v>
      </c>
      <c r="M896" s="4" t="s">
        <v>1255</v>
      </c>
      <c r="N896" s="3">
        <v>9825.2000000000007</v>
      </c>
    </row>
    <row r="897" spans="1:14" x14ac:dyDescent="0.35">
      <c r="A897">
        <v>1821</v>
      </c>
      <c r="B897" s="4" t="s">
        <v>814</v>
      </c>
      <c r="C897" s="4" t="s">
        <v>815</v>
      </c>
      <c r="D897" s="4" t="s">
        <v>34</v>
      </c>
      <c r="E897">
        <v>0</v>
      </c>
      <c r="F897" s="3">
        <v>2690.6358</v>
      </c>
      <c r="G897" s="2">
        <v>0.65</v>
      </c>
      <c r="H897" s="3">
        <v>0</v>
      </c>
      <c r="I897" s="1">
        <v>45132</v>
      </c>
      <c r="J897" s="4" t="s">
        <v>9</v>
      </c>
      <c r="K897" s="4" t="s">
        <v>8</v>
      </c>
      <c r="L897" s="3">
        <v>403.42</v>
      </c>
      <c r="M897" s="4" t="s">
        <v>1255</v>
      </c>
      <c r="N897" s="3">
        <v>0</v>
      </c>
    </row>
    <row r="898" spans="1:14" x14ac:dyDescent="0.35">
      <c r="A898">
        <v>1822</v>
      </c>
      <c r="B898" s="4" t="s">
        <v>644</v>
      </c>
      <c r="C898" s="4" t="s">
        <v>816</v>
      </c>
      <c r="D898" s="4" t="s">
        <v>27</v>
      </c>
      <c r="E898">
        <v>0</v>
      </c>
      <c r="F898" s="3">
        <v>938.86</v>
      </c>
      <c r="G898" s="2">
        <v>0.05</v>
      </c>
      <c r="H898" s="3">
        <v>0</v>
      </c>
      <c r="I898" s="1">
        <v>45479</v>
      </c>
      <c r="J898" s="4" t="s">
        <v>23</v>
      </c>
      <c r="K898" s="4" t="s">
        <v>8</v>
      </c>
      <c r="L898" s="3">
        <v>-824.79</v>
      </c>
      <c r="M898" s="4" t="s">
        <v>1255</v>
      </c>
      <c r="N898" s="3">
        <v>0</v>
      </c>
    </row>
    <row r="899" spans="1:14" x14ac:dyDescent="0.35">
      <c r="A899">
        <v>1823</v>
      </c>
      <c r="B899" s="4" t="s">
        <v>121</v>
      </c>
      <c r="C899" s="4" t="s">
        <v>345</v>
      </c>
      <c r="D899" s="4" t="s">
        <v>37</v>
      </c>
      <c r="E899">
        <v>0</v>
      </c>
      <c r="F899" s="3">
        <v>3887.15</v>
      </c>
      <c r="G899" s="2">
        <v>0.65608058608058595</v>
      </c>
      <c r="H899" s="3">
        <v>0</v>
      </c>
      <c r="I899" s="1">
        <v>45835</v>
      </c>
      <c r="J899" s="4" t="s">
        <v>9</v>
      </c>
      <c r="K899" s="4" t="s">
        <v>8</v>
      </c>
      <c r="L899" s="3">
        <v>2088.25</v>
      </c>
      <c r="M899" s="4" t="s">
        <v>1255</v>
      </c>
      <c r="N899" s="3">
        <v>0</v>
      </c>
    </row>
    <row r="900" spans="1:14" x14ac:dyDescent="0.35">
      <c r="A900">
        <v>1824</v>
      </c>
      <c r="B900" s="4" t="s">
        <v>267</v>
      </c>
      <c r="C900" s="4" t="s">
        <v>173</v>
      </c>
      <c r="D900" s="4" t="s">
        <v>33</v>
      </c>
      <c r="E900">
        <v>0</v>
      </c>
      <c r="F900" s="3">
        <v>4146.2700000000004</v>
      </c>
      <c r="G900" s="2">
        <v>1.29</v>
      </c>
      <c r="H900" s="3">
        <v>0</v>
      </c>
      <c r="I900" s="1">
        <v>45346</v>
      </c>
      <c r="J900" s="4" t="s">
        <v>23</v>
      </c>
      <c r="K900" s="4" t="s">
        <v>12</v>
      </c>
      <c r="L900" s="3">
        <v>2397.9299999999998</v>
      </c>
      <c r="M900" s="4" t="s">
        <v>1255</v>
      </c>
      <c r="N900" s="3">
        <v>0</v>
      </c>
    </row>
    <row r="901" spans="1:14" x14ac:dyDescent="0.35">
      <c r="A901">
        <v>1825</v>
      </c>
      <c r="B901" s="4" t="s">
        <v>269</v>
      </c>
      <c r="C901" s="4" t="s">
        <v>817</v>
      </c>
      <c r="D901" s="4" t="s">
        <v>27</v>
      </c>
      <c r="E901">
        <v>6</v>
      </c>
      <c r="F901" s="3">
        <v>982.65</v>
      </c>
      <c r="G901" s="2">
        <v>0.65491743119265999</v>
      </c>
      <c r="H901" s="3">
        <v>0</v>
      </c>
      <c r="I901" s="1">
        <v>45346</v>
      </c>
      <c r="J901" s="4" t="s">
        <v>11</v>
      </c>
      <c r="K901" s="4" t="s">
        <v>12</v>
      </c>
      <c r="L901" s="3">
        <v>2186.63</v>
      </c>
      <c r="M901" s="4" t="s">
        <v>1255</v>
      </c>
      <c r="N901" s="3">
        <v>5895.9</v>
      </c>
    </row>
    <row r="902" spans="1:14" x14ac:dyDescent="0.35">
      <c r="A902">
        <v>1826</v>
      </c>
      <c r="B902" s="4" t="s">
        <v>644</v>
      </c>
      <c r="C902" s="4" t="s">
        <v>247</v>
      </c>
      <c r="D902" s="4" t="s">
        <v>15</v>
      </c>
      <c r="E902">
        <v>6</v>
      </c>
      <c r="F902" s="3">
        <v>2690.4369000000002</v>
      </c>
      <c r="G902" s="2">
        <v>0.65491743119265999</v>
      </c>
      <c r="H902" s="3">
        <v>0</v>
      </c>
      <c r="I902" s="1">
        <v>45623</v>
      </c>
      <c r="J902" s="4" t="s">
        <v>7</v>
      </c>
      <c r="K902" s="4" t="s">
        <v>12</v>
      </c>
      <c r="L902" s="3">
        <v>413.87</v>
      </c>
      <c r="M902" s="4" t="s">
        <v>1255</v>
      </c>
      <c r="N902" s="3">
        <v>16142.6214</v>
      </c>
    </row>
    <row r="903" spans="1:14" hidden="1" x14ac:dyDescent="0.35">
      <c r="A903">
        <v>1827</v>
      </c>
      <c r="B903" s="4" t="s">
        <v>678</v>
      </c>
      <c r="C903" s="4" t="s">
        <v>818</v>
      </c>
      <c r="D903" s="4" t="s">
        <v>21</v>
      </c>
      <c r="E903">
        <v>0</v>
      </c>
      <c r="F903" s="3">
        <v>3109.74</v>
      </c>
      <c r="G903" s="2">
        <v>0.65491743119265999</v>
      </c>
      <c r="H903" s="3">
        <v>0</v>
      </c>
      <c r="I903" s="1">
        <v>45623</v>
      </c>
      <c r="J903" s="4" t="s">
        <v>11</v>
      </c>
      <c r="K903" s="4" t="s">
        <v>40</v>
      </c>
      <c r="L903" s="3">
        <v>-828.23</v>
      </c>
      <c r="M903" s="4" t="s">
        <v>1255</v>
      </c>
      <c r="N903" s="3">
        <v>0</v>
      </c>
    </row>
    <row r="904" spans="1:14" hidden="1" x14ac:dyDescent="0.35">
      <c r="A904">
        <v>1828</v>
      </c>
      <c r="B904" s="4" t="s">
        <v>549</v>
      </c>
      <c r="C904" s="4" t="s">
        <v>681</v>
      </c>
      <c r="D904" s="4" t="s">
        <v>24</v>
      </c>
      <c r="E904">
        <v>0</v>
      </c>
      <c r="F904" s="3">
        <v>4427.9399999999996</v>
      </c>
      <c r="G904" s="2">
        <v>0.25</v>
      </c>
      <c r="H904" s="3">
        <v>0</v>
      </c>
      <c r="I904" s="1">
        <v>45526</v>
      </c>
      <c r="J904" s="4" t="s">
        <v>11</v>
      </c>
      <c r="K904" s="4" t="s">
        <v>40</v>
      </c>
      <c r="L904" s="3">
        <v>-476.77</v>
      </c>
      <c r="M904" s="4" t="s">
        <v>1255</v>
      </c>
      <c r="N904" s="3">
        <v>0</v>
      </c>
    </row>
    <row r="905" spans="1:14" x14ac:dyDescent="0.35">
      <c r="A905">
        <v>1829</v>
      </c>
      <c r="B905" s="4" t="s">
        <v>125</v>
      </c>
      <c r="C905" s="4" t="s">
        <v>175</v>
      </c>
      <c r="D905" s="4" t="s">
        <v>22</v>
      </c>
      <c r="E905">
        <v>0</v>
      </c>
      <c r="F905" s="3">
        <v>2691.9061000000002</v>
      </c>
      <c r="G905" s="2">
        <v>0.655661764705882</v>
      </c>
      <c r="H905" s="3">
        <v>0</v>
      </c>
      <c r="I905" s="1">
        <v>45351</v>
      </c>
      <c r="J905" s="4" t="s">
        <v>7</v>
      </c>
      <c r="K905" s="4" t="s">
        <v>12</v>
      </c>
      <c r="L905" s="3">
        <v>1019.58</v>
      </c>
      <c r="M905" s="4" t="s">
        <v>1255</v>
      </c>
      <c r="N905" s="3">
        <v>0</v>
      </c>
    </row>
    <row r="906" spans="1:14" hidden="1" x14ac:dyDescent="0.35">
      <c r="A906">
        <v>1830</v>
      </c>
      <c r="B906" s="4" t="s">
        <v>93</v>
      </c>
      <c r="C906" s="4" t="s">
        <v>819</v>
      </c>
      <c r="D906" s="4" t="s">
        <v>17</v>
      </c>
      <c r="E906">
        <v>0</v>
      </c>
      <c r="F906" s="3">
        <v>2689.9243000000001</v>
      </c>
      <c r="G906" s="2">
        <v>0.655661764705882</v>
      </c>
      <c r="H906" s="3">
        <v>0</v>
      </c>
      <c r="I906" s="1">
        <v>45521</v>
      </c>
      <c r="J906" s="4" t="s">
        <v>20</v>
      </c>
      <c r="K906" s="4" t="s">
        <v>40</v>
      </c>
      <c r="L906" s="3">
        <v>602.58000000000004</v>
      </c>
      <c r="M906" s="4" t="s">
        <v>1255</v>
      </c>
      <c r="N906" s="3">
        <v>0</v>
      </c>
    </row>
    <row r="907" spans="1:14" x14ac:dyDescent="0.35">
      <c r="A907">
        <v>1831</v>
      </c>
      <c r="B907" s="4" t="s">
        <v>468</v>
      </c>
      <c r="C907" s="4" t="s">
        <v>565</v>
      </c>
      <c r="D907" s="4" t="s">
        <v>13</v>
      </c>
      <c r="E907">
        <v>0</v>
      </c>
      <c r="F907" s="3">
        <v>895.34</v>
      </c>
      <c r="G907" s="2">
        <v>0.655661764705882</v>
      </c>
      <c r="H907" s="3">
        <v>0</v>
      </c>
      <c r="I907" s="1">
        <v>45520</v>
      </c>
      <c r="J907" s="4" t="s">
        <v>18</v>
      </c>
      <c r="K907" s="4" t="s">
        <v>12</v>
      </c>
      <c r="L907" s="3">
        <v>2150.1</v>
      </c>
      <c r="M907" s="4" t="s">
        <v>1255</v>
      </c>
      <c r="N907" s="3">
        <v>0</v>
      </c>
    </row>
    <row r="908" spans="1:14" x14ac:dyDescent="0.35">
      <c r="A908">
        <v>1832</v>
      </c>
      <c r="B908" s="4" t="s">
        <v>335</v>
      </c>
      <c r="C908" s="4" t="s">
        <v>78</v>
      </c>
      <c r="D908" s="4" t="s">
        <v>13</v>
      </c>
      <c r="E908">
        <v>0</v>
      </c>
      <c r="F908" s="3">
        <v>2689.9243000000001</v>
      </c>
      <c r="G908" s="2">
        <v>0.43</v>
      </c>
      <c r="H908" s="3">
        <v>0</v>
      </c>
      <c r="I908" s="1">
        <v>45546</v>
      </c>
      <c r="J908" s="4" t="s">
        <v>9</v>
      </c>
      <c r="K908" s="4" t="s">
        <v>8</v>
      </c>
      <c r="L908" s="3">
        <v>708.3</v>
      </c>
      <c r="M908" s="4" t="s">
        <v>1255</v>
      </c>
      <c r="N908" s="3">
        <v>0</v>
      </c>
    </row>
    <row r="909" spans="1:14" x14ac:dyDescent="0.35">
      <c r="A909">
        <v>1833</v>
      </c>
      <c r="B909" s="4" t="s">
        <v>159</v>
      </c>
      <c r="C909" s="4" t="s">
        <v>82</v>
      </c>
      <c r="D909" s="4" t="s">
        <v>25</v>
      </c>
      <c r="E909">
        <v>3</v>
      </c>
      <c r="F909" s="3">
        <v>3051.77</v>
      </c>
      <c r="G909" s="2">
        <v>1.19</v>
      </c>
      <c r="H909" s="3">
        <v>-1739.51</v>
      </c>
      <c r="I909" s="1">
        <v>45686</v>
      </c>
      <c r="J909" s="4" t="s">
        <v>23</v>
      </c>
      <c r="K909" s="4" t="s">
        <v>12</v>
      </c>
      <c r="L909" s="3">
        <v>2470.5500000000002</v>
      </c>
      <c r="M909" s="4" t="s">
        <v>1255</v>
      </c>
      <c r="N909" s="3">
        <v>9155.31</v>
      </c>
    </row>
    <row r="910" spans="1:14" x14ac:dyDescent="0.35">
      <c r="A910">
        <v>1834</v>
      </c>
      <c r="B910" s="4" t="s">
        <v>125</v>
      </c>
      <c r="C910" s="4" t="s">
        <v>192</v>
      </c>
      <c r="D910" s="4" t="s">
        <v>30</v>
      </c>
      <c r="E910">
        <v>0</v>
      </c>
      <c r="F910" s="3">
        <v>2691.9753000000001</v>
      </c>
      <c r="G910" s="2">
        <v>0.94</v>
      </c>
      <c r="H910" s="3">
        <v>0</v>
      </c>
      <c r="I910" s="1">
        <v>45792</v>
      </c>
      <c r="J910" s="4" t="s">
        <v>9</v>
      </c>
      <c r="K910" s="4" t="s">
        <v>8</v>
      </c>
      <c r="L910" s="3">
        <v>-663.74</v>
      </c>
      <c r="M910" s="4" t="s">
        <v>1255</v>
      </c>
      <c r="N910" s="3">
        <v>0</v>
      </c>
    </row>
    <row r="911" spans="1:14" hidden="1" x14ac:dyDescent="0.35">
      <c r="A911">
        <v>1835</v>
      </c>
      <c r="B911" s="4" t="s">
        <v>246</v>
      </c>
      <c r="C911" s="4" t="s">
        <v>308</v>
      </c>
      <c r="D911" s="4" t="s">
        <v>32</v>
      </c>
      <c r="E911">
        <v>0</v>
      </c>
      <c r="F911" s="3">
        <v>2691.5636</v>
      </c>
      <c r="G911" s="2">
        <v>0.51</v>
      </c>
      <c r="H911" s="3">
        <v>0</v>
      </c>
      <c r="I911" s="1">
        <v>45512</v>
      </c>
      <c r="J911" s="4" t="s">
        <v>23</v>
      </c>
      <c r="K911" s="4" t="s">
        <v>40</v>
      </c>
      <c r="L911" s="3">
        <v>1851.02</v>
      </c>
      <c r="M911" s="4" t="s">
        <v>1255</v>
      </c>
      <c r="N911" s="3">
        <v>0</v>
      </c>
    </row>
    <row r="912" spans="1:14" x14ac:dyDescent="0.35">
      <c r="A912">
        <v>1836</v>
      </c>
      <c r="B912" s="4" t="s">
        <v>555</v>
      </c>
      <c r="C912" s="4" t="s">
        <v>820</v>
      </c>
      <c r="D912" s="4" t="s">
        <v>21</v>
      </c>
      <c r="E912">
        <v>0</v>
      </c>
      <c r="F912" s="3">
        <v>2105.94</v>
      </c>
      <c r="G912" s="2">
        <v>0.16</v>
      </c>
      <c r="H912" s="3">
        <v>0</v>
      </c>
      <c r="I912" s="1">
        <v>45512</v>
      </c>
      <c r="J912" s="4" t="s">
        <v>9</v>
      </c>
      <c r="K912" s="4" t="s">
        <v>12</v>
      </c>
      <c r="L912" s="3">
        <v>1782.55</v>
      </c>
      <c r="M912" s="4" t="s">
        <v>1255</v>
      </c>
      <c r="N912" s="3">
        <v>0</v>
      </c>
    </row>
    <row r="913" spans="1:14" hidden="1" x14ac:dyDescent="0.35">
      <c r="A913">
        <v>1838</v>
      </c>
      <c r="B913" s="4" t="s">
        <v>65</v>
      </c>
      <c r="C913" s="4" t="s">
        <v>821</v>
      </c>
      <c r="D913" s="4" t="s">
        <v>31</v>
      </c>
      <c r="E913">
        <v>-2</v>
      </c>
      <c r="F913" s="3">
        <v>2692.2345</v>
      </c>
      <c r="G913" s="2">
        <v>0.65575139146567696</v>
      </c>
      <c r="H913" s="3">
        <v>0</v>
      </c>
      <c r="I913" s="1">
        <v>45613</v>
      </c>
      <c r="J913" s="4" t="s">
        <v>20</v>
      </c>
      <c r="K913" s="4" t="s">
        <v>40</v>
      </c>
      <c r="L913" s="3">
        <v>1657.14</v>
      </c>
      <c r="M913" s="4" t="s">
        <v>1255</v>
      </c>
      <c r="N913" s="3">
        <v>-5384.4690000000001</v>
      </c>
    </row>
    <row r="914" spans="1:14" x14ac:dyDescent="0.35">
      <c r="A914">
        <v>1839</v>
      </c>
      <c r="B914" s="4" t="s">
        <v>121</v>
      </c>
      <c r="C914" s="4" t="s">
        <v>822</v>
      </c>
      <c r="D914" s="4" t="s">
        <v>26</v>
      </c>
      <c r="E914">
        <v>0</v>
      </c>
      <c r="F914" s="3">
        <v>2067.64</v>
      </c>
      <c r="G914" s="2">
        <v>0.65575139146567696</v>
      </c>
      <c r="H914" s="3">
        <v>0</v>
      </c>
      <c r="I914" s="1">
        <v>45613</v>
      </c>
      <c r="J914" s="4" t="s">
        <v>18</v>
      </c>
      <c r="K914" s="4" t="s">
        <v>12</v>
      </c>
      <c r="L914" s="3">
        <v>-276.17</v>
      </c>
      <c r="M914" s="4" t="s">
        <v>1255</v>
      </c>
      <c r="N914" s="3">
        <v>0</v>
      </c>
    </row>
    <row r="915" spans="1:14" x14ac:dyDescent="0.35">
      <c r="A915">
        <v>1840</v>
      </c>
      <c r="B915" s="4" t="s">
        <v>212</v>
      </c>
      <c r="C915" s="4" t="s">
        <v>701</v>
      </c>
      <c r="D915" s="4" t="s">
        <v>33</v>
      </c>
      <c r="E915">
        <v>0</v>
      </c>
      <c r="F915" s="3">
        <v>1462.1</v>
      </c>
      <c r="G915" s="2">
        <v>0.3</v>
      </c>
      <c r="H915" s="3">
        <v>0</v>
      </c>
      <c r="I915" s="1">
        <v>45496</v>
      </c>
      <c r="J915" s="4" t="s">
        <v>9</v>
      </c>
      <c r="K915" s="4" t="s">
        <v>12</v>
      </c>
      <c r="L915" s="3">
        <v>59.79</v>
      </c>
      <c r="M915" s="4" t="s">
        <v>1255</v>
      </c>
      <c r="N915" s="3">
        <v>0</v>
      </c>
    </row>
    <row r="916" spans="1:14" x14ac:dyDescent="0.35">
      <c r="A916">
        <v>1841</v>
      </c>
      <c r="B916" s="4" t="s">
        <v>544</v>
      </c>
      <c r="C916" s="4" t="s">
        <v>496</v>
      </c>
      <c r="D916" s="4" t="s">
        <v>10</v>
      </c>
      <c r="E916">
        <v>0</v>
      </c>
      <c r="F916" s="3">
        <v>2692.9506999999999</v>
      </c>
      <c r="G916" s="2">
        <v>0.656412639405204</v>
      </c>
      <c r="H916" s="3">
        <v>0</v>
      </c>
      <c r="I916" s="1">
        <v>45747</v>
      </c>
      <c r="J916" s="4" t="s">
        <v>7</v>
      </c>
      <c r="K916" s="4" t="s">
        <v>8</v>
      </c>
      <c r="L916" s="3">
        <v>-780.96</v>
      </c>
      <c r="M916" s="4" t="s">
        <v>1255</v>
      </c>
      <c r="N916" s="3">
        <v>0</v>
      </c>
    </row>
    <row r="917" spans="1:14" x14ac:dyDescent="0.35">
      <c r="A917">
        <v>1842</v>
      </c>
      <c r="B917" s="4" t="s">
        <v>536</v>
      </c>
      <c r="C917" s="4" t="s">
        <v>823</v>
      </c>
      <c r="D917" s="4" t="s">
        <v>34</v>
      </c>
      <c r="E917">
        <v>0</v>
      </c>
      <c r="F917" s="3">
        <v>2694.3638999999998</v>
      </c>
      <c r="G917" s="2">
        <v>0.11</v>
      </c>
      <c r="H917" s="3">
        <v>0</v>
      </c>
      <c r="I917" s="1">
        <v>45726</v>
      </c>
      <c r="J917" s="4" t="s">
        <v>23</v>
      </c>
      <c r="K917" s="4" t="s">
        <v>8</v>
      </c>
      <c r="L917" s="3">
        <v>2041.06</v>
      </c>
      <c r="M917" s="4" t="s">
        <v>1255</v>
      </c>
      <c r="N917" s="3">
        <v>0</v>
      </c>
    </row>
    <row r="918" spans="1:14" x14ac:dyDescent="0.35">
      <c r="A918">
        <v>1843</v>
      </c>
      <c r="B918" s="4" t="s">
        <v>122</v>
      </c>
      <c r="C918" s="4" t="s">
        <v>57</v>
      </c>
      <c r="D918" s="4" t="s">
        <v>17</v>
      </c>
      <c r="E918">
        <v>-2</v>
      </c>
      <c r="F918" s="3">
        <v>2694.3638999999998</v>
      </c>
      <c r="G918" s="2">
        <v>0.06</v>
      </c>
      <c r="H918" s="3">
        <v>0</v>
      </c>
      <c r="I918" s="1">
        <v>45816</v>
      </c>
      <c r="J918" s="4" t="s">
        <v>23</v>
      </c>
      <c r="K918" s="4" t="s">
        <v>12</v>
      </c>
      <c r="L918" s="3">
        <v>406.45</v>
      </c>
      <c r="M918" s="4" t="s">
        <v>1255</v>
      </c>
      <c r="N918" s="3">
        <v>-5388.7277999999997</v>
      </c>
    </row>
    <row r="919" spans="1:14" x14ac:dyDescent="0.35">
      <c r="A919">
        <v>1844</v>
      </c>
      <c r="B919" s="4" t="s">
        <v>824</v>
      </c>
      <c r="C919" s="4" t="s">
        <v>48</v>
      </c>
      <c r="D919" s="4" t="s">
        <v>19</v>
      </c>
      <c r="E919">
        <v>0</v>
      </c>
      <c r="F919" s="3">
        <v>2694.3638999999998</v>
      </c>
      <c r="G919" s="2">
        <v>0.65854477611940299</v>
      </c>
      <c r="H919" s="3">
        <v>0</v>
      </c>
      <c r="I919" s="1">
        <v>45842</v>
      </c>
      <c r="J919" s="4" t="s">
        <v>7</v>
      </c>
      <c r="K919" s="4" t="s">
        <v>8</v>
      </c>
      <c r="L919" s="3">
        <v>1910.76</v>
      </c>
      <c r="M919" s="4" t="s">
        <v>1255</v>
      </c>
      <c r="N919" s="3">
        <v>0</v>
      </c>
    </row>
    <row r="920" spans="1:14" x14ac:dyDescent="0.35">
      <c r="A920">
        <v>1845</v>
      </c>
      <c r="B920" s="4" t="s">
        <v>185</v>
      </c>
      <c r="C920" s="4" t="s">
        <v>175</v>
      </c>
      <c r="D920" s="4" t="s">
        <v>15</v>
      </c>
      <c r="E920">
        <v>0</v>
      </c>
      <c r="F920" s="3">
        <v>2694.3638999999998</v>
      </c>
      <c r="G920" s="2">
        <v>0.12</v>
      </c>
      <c r="H920" s="3">
        <v>0</v>
      </c>
      <c r="I920" s="1">
        <v>45690</v>
      </c>
      <c r="J920" s="4" t="s">
        <v>20</v>
      </c>
      <c r="K920" s="4" t="s">
        <v>8</v>
      </c>
      <c r="L920" s="3">
        <v>1013.64</v>
      </c>
      <c r="M920" s="4" t="s">
        <v>1255</v>
      </c>
      <c r="N920" s="3">
        <v>0</v>
      </c>
    </row>
    <row r="921" spans="1:14" x14ac:dyDescent="0.35">
      <c r="A921">
        <v>1846</v>
      </c>
      <c r="B921" s="4" t="s">
        <v>192</v>
      </c>
      <c r="C921" s="4" t="s">
        <v>825</v>
      </c>
      <c r="D921" s="4" t="s">
        <v>19</v>
      </c>
      <c r="E921">
        <v>-1</v>
      </c>
      <c r="F921" s="3">
        <v>694.71</v>
      </c>
      <c r="G921" s="2">
        <v>0.65955140186915895</v>
      </c>
      <c r="H921" s="3">
        <v>0</v>
      </c>
      <c r="I921" s="1">
        <v>45683</v>
      </c>
      <c r="J921" s="4" t="s">
        <v>9</v>
      </c>
      <c r="K921" s="4" t="s">
        <v>12</v>
      </c>
      <c r="L921" s="3">
        <v>2991.27</v>
      </c>
      <c r="M921" s="4" t="s">
        <v>1255</v>
      </c>
      <c r="N921" s="3">
        <v>-694.71</v>
      </c>
    </row>
    <row r="922" spans="1:14" hidden="1" x14ac:dyDescent="0.35">
      <c r="A922">
        <v>1847</v>
      </c>
      <c r="B922" s="4" t="s">
        <v>134</v>
      </c>
      <c r="C922" s="4" t="s">
        <v>713</v>
      </c>
      <c r="D922" s="4" t="s">
        <v>31</v>
      </c>
      <c r="E922">
        <v>0</v>
      </c>
      <c r="F922" s="3">
        <v>1334.66</v>
      </c>
      <c r="G922" s="2">
        <v>1.29</v>
      </c>
      <c r="H922" s="3">
        <v>0</v>
      </c>
      <c r="I922" s="1">
        <v>45793</v>
      </c>
      <c r="J922" s="4" t="s">
        <v>18</v>
      </c>
      <c r="K922" s="4" t="s">
        <v>40</v>
      </c>
      <c r="L922" s="3">
        <v>2897.72</v>
      </c>
      <c r="M922" s="4" t="s">
        <v>1255</v>
      </c>
      <c r="N922" s="3">
        <v>0</v>
      </c>
    </row>
    <row r="923" spans="1:14" x14ac:dyDescent="0.35">
      <c r="A923">
        <v>1848</v>
      </c>
      <c r="B923" s="4" t="s">
        <v>145</v>
      </c>
      <c r="C923" s="4" t="s">
        <v>118</v>
      </c>
      <c r="D923" s="4" t="s">
        <v>28</v>
      </c>
      <c r="E923">
        <v>-1</v>
      </c>
      <c r="F923" s="3">
        <v>2696.6623</v>
      </c>
      <c r="G923" s="2">
        <v>0.65837078651685399</v>
      </c>
      <c r="H923" s="3">
        <v>0</v>
      </c>
      <c r="I923" s="1">
        <v>45634</v>
      </c>
      <c r="J923" s="4" t="s">
        <v>7</v>
      </c>
      <c r="K923" s="4" t="s">
        <v>8</v>
      </c>
      <c r="L923" s="3">
        <v>-56.68</v>
      </c>
      <c r="M923" s="4" t="s">
        <v>1255</v>
      </c>
      <c r="N923" s="3">
        <v>-2696.6623</v>
      </c>
    </row>
    <row r="924" spans="1:14" x14ac:dyDescent="0.35">
      <c r="A924">
        <v>1849</v>
      </c>
      <c r="B924" s="4" t="s">
        <v>494</v>
      </c>
      <c r="C924" s="4" t="s">
        <v>826</v>
      </c>
      <c r="D924" s="4" t="s">
        <v>37</v>
      </c>
      <c r="E924">
        <v>0</v>
      </c>
      <c r="F924" s="3">
        <v>927.04</v>
      </c>
      <c r="G924" s="2">
        <v>0.65837078651685399</v>
      </c>
      <c r="H924" s="3">
        <v>0</v>
      </c>
      <c r="I924" s="1">
        <v>45634</v>
      </c>
      <c r="J924" s="4" t="s">
        <v>9</v>
      </c>
      <c r="K924" s="4" t="s">
        <v>8</v>
      </c>
      <c r="L924" s="3">
        <v>880.71</v>
      </c>
      <c r="M924" s="4" t="s">
        <v>1255</v>
      </c>
      <c r="N924" s="3">
        <v>0</v>
      </c>
    </row>
    <row r="925" spans="1:14" hidden="1" x14ac:dyDescent="0.35">
      <c r="A925">
        <v>1850</v>
      </c>
      <c r="B925" s="4" t="s">
        <v>477</v>
      </c>
      <c r="C925" s="4" t="s">
        <v>239</v>
      </c>
      <c r="D925" s="4" t="s">
        <v>14</v>
      </c>
      <c r="E925">
        <v>0</v>
      </c>
      <c r="F925" s="3">
        <v>1307.27</v>
      </c>
      <c r="G925" s="2">
        <v>1.27</v>
      </c>
      <c r="H925" s="3">
        <v>0</v>
      </c>
      <c r="I925" s="1">
        <v>45143</v>
      </c>
      <c r="J925" s="4" t="s">
        <v>23</v>
      </c>
      <c r="K925" s="4" t="s">
        <v>40</v>
      </c>
      <c r="L925" s="3">
        <v>1757.18</v>
      </c>
      <c r="M925" s="4" t="s">
        <v>1255</v>
      </c>
      <c r="N925" s="3">
        <v>0</v>
      </c>
    </row>
    <row r="926" spans="1:14" x14ac:dyDescent="0.35">
      <c r="A926">
        <v>1851</v>
      </c>
      <c r="B926" s="4" t="s">
        <v>761</v>
      </c>
      <c r="C926" s="4" t="s">
        <v>827</v>
      </c>
      <c r="D926" s="4" t="s">
        <v>6</v>
      </c>
      <c r="E926">
        <v>5</v>
      </c>
      <c r="F926" s="3">
        <v>1505</v>
      </c>
      <c r="G926" s="2">
        <v>0.65722326454033797</v>
      </c>
      <c r="H926" s="3">
        <v>0</v>
      </c>
      <c r="I926" s="1">
        <v>45637</v>
      </c>
      <c r="J926" s="4" t="s">
        <v>18</v>
      </c>
      <c r="K926" s="4" t="s">
        <v>12</v>
      </c>
      <c r="L926" s="3">
        <v>-29.76</v>
      </c>
      <c r="M926" s="4" t="s">
        <v>1255</v>
      </c>
      <c r="N926" s="3">
        <v>7525</v>
      </c>
    </row>
    <row r="927" spans="1:14" x14ac:dyDescent="0.35">
      <c r="A927">
        <v>1852</v>
      </c>
      <c r="B927" s="4" t="s">
        <v>282</v>
      </c>
      <c r="C927" s="4" t="s">
        <v>263</v>
      </c>
      <c r="D927" s="4" t="s">
        <v>28</v>
      </c>
      <c r="E927">
        <v>0</v>
      </c>
      <c r="F927" s="3">
        <v>1985.55</v>
      </c>
      <c r="G927" s="2">
        <v>0.13</v>
      </c>
      <c r="H927" s="3">
        <v>0</v>
      </c>
      <c r="I927" s="1">
        <v>45408</v>
      </c>
      <c r="J927" s="4" t="s">
        <v>9</v>
      </c>
      <c r="K927" s="4" t="s">
        <v>8</v>
      </c>
      <c r="L927" s="3">
        <v>1754.79</v>
      </c>
      <c r="M927" s="4" t="s">
        <v>1255</v>
      </c>
      <c r="N927" s="3">
        <v>0</v>
      </c>
    </row>
    <row r="928" spans="1:14" x14ac:dyDescent="0.35">
      <c r="A928">
        <v>1853</v>
      </c>
      <c r="B928" s="4" t="s">
        <v>166</v>
      </c>
      <c r="C928" s="4" t="s">
        <v>505</v>
      </c>
      <c r="D928" s="4" t="s">
        <v>33</v>
      </c>
      <c r="E928">
        <v>3</v>
      </c>
      <c r="F928" s="3">
        <v>2862.48</v>
      </c>
      <c r="G928" s="2">
        <v>0.65821428571428597</v>
      </c>
      <c r="H928" s="3">
        <v>0</v>
      </c>
      <c r="I928" s="1">
        <v>45184</v>
      </c>
      <c r="J928" s="4" t="s">
        <v>9</v>
      </c>
      <c r="K928" s="4" t="s">
        <v>12</v>
      </c>
      <c r="L928" s="3">
        <v>2555.84</v>
      </c>
      <c r="M928" s="4" t="s">
        <v>1255</v>
      </c>
      <c r="N928" s="3">
        <v>8587.44</v>
      </c>
    </row>
    <row r="929" spans="1:14" x14ac:dyDescent="0.35">
      <c r="A929">
        <v>1854</v>
      </c>
      <c r="B929" s="4" t="s">
        <v>814</v>
      </c>
      <c r="C929" s="4" t="s">
        <v>414</v>
      </c>
      <c r="D929" s="4" t="s">
        <v>16</v>
      </c>
      <c r="E929">
        <v>0</v>
      </c>
      <c r="F929" s="3">
        <v>3822.93</v>
      </c>
      <c r="G929" s="2">
        <v>1.07</v>
      </c>
      <c r="H929" s="3">
        <v>0</v>
      </c>
      <c r="I929" s="1">
        <v>45184</v>
      </c>
      <c r="J929" s="4" t="s">
        <v>23</v>
      </c>
      <c r="K929" s="4" t="s">
        <v>12</v>
      </c>
      <c r="L929" s="3">
        <v>40.200000000000003</v>
      </c>
      <c r="M929" s="4" t="s">
        <v>1255</v>
      </c>
      <c r="N929" s="3">
        <v>0</v>
      </c>
    </row>
    <row r="930" spans="1:14" x14ac:dyDescent="0.35">
      <c r="A930">
        <v>1855</v>
      </c>
      <c r="B930" s="4" t="s">
        <v>85</v>
      </c>
      <c r="C930" s="4" t="s">
        <v>82</v>
      </c>
      <c r="D930" s="4" t="s">
        <v>15</v>
      </c>
      <c r="E930">
        <v>5</v>
      </c>
      <c r="F930" s="3">
        <v>3870.85</v>
      </c>
      <c r="G930" s="2">
        <v>0.65743879472693001</v>
      </c>
      <c r="H930" s="3">
        <v>0</v>
      </c>
      <c r="I930" s="1">
        <v>45691</v>
      </c>
      <c r="J930" s="4" t="s">
        <v>18</v>
      </c>
      <c r="K930" s="4" t="s">
        <v>8</v>
      </c>
      <c r="L930" s="3">
        <v>2313.58</v>
      </c>
      <c r="M930" s="4" t="s">
        <v>1255</v>
      </c>
      <c r="N930" s="3">
        <v>19354.25</v>
      </c>
    </row>
    <row r="931" spans="1:14" x14ac:dyDescent="0.35">
      <c r="A931">
        <v>1856</v>
      </c>
      <c r="B931" s="4" t="s">
        <v>278</v>
      </c>
      <c r="C931" s="4" t="s">
        <v>828</v>
      </c>
      <c r="D931" s="4" t="s">
        <v>25</v>
      </c>
      <c r="E931">
        <v>1</v>
      </c>
      <c r="F931" s="3">
        <v>2737.23</v>
      </c>
      <c r="G931" s="2">
        <v>0.65743879472693001</v>
      </c>
      <c r="H931" s="3">
        <v>0</v>
      </c>
      <c r="I931" s="1">
        <v>45785</v>
      </c>
      <c r="J931" s="4" t="s">
        <v>11</v>
      </c>
      <c r="K931" s="4" t="s">
        <v>12</v>
      </c>
      <c r="L931" s="3">
        <v>2855.35</v>
      </c>
      <c r="M931" s="4" t="s">
        <v>1255</v>
      </c>
      <c r="N931" s="3">
        <v>2737.23</v>
      </c>
    </row>
    <row r="932" spans="1:14" hidden="1" x14ac:dyDescent="0.35">
      <c r="A932">
        <v>1857</v>
      </c>
      <c r="B932" s="4" t="s">
        <v>829</v>
      </c>
      <c r="C932" s="4" t="s">
        <v>830</v>
      </c>
      <c r="D932" s="4" t="s">
        <v>33</v>
      </c>
      <c r="E932">
        <v>0</v>
      </c>
      <c r="F932" s="3">
        <v>2701.2534000000001</v>
      </c>
      <c r="G932" s="2">
        <v>0.65743879472693001</v>
      </c>
      <c r="H932" s="3">
        <v>0</v>
      </c>
      <c r="I932" s="1">
        <v>45616</v>
      </c>
      <c r="J932" s="4" t="s">
        <v>11</v>
      </c>
      <c r="K932" s="4" t="s">
        <v>40</v>
      </c>
      <c r="L932" s="3">
        <v>-564.27</v>
      </c>
      <c r="M932" s="4" t="s">
        <v>1255</v>
      </c>
      <c r="N932" s="3">
        <v>0</v>
      </c>
    </row>
    <row r="933" spans="1:14" x14ac:dyDescent="0.35">
      <c r="A933">
        <v>1858</v>
      </c>
      <c r="B933" s="4" t="s">
        <v>212</v>
      </c>
      <c r="C933" s="4" t="s">
        <v>831</v>
      </c>
      <c r="D933" s="4" t="s">
        <v>32</v>
      </c>
      <c r="E933">
        <v>0</v>
      </c>
      <c r="F933" s="3">
        <v>3647.61</v>
      </c>
      <c r="G933" s="2">
        <v>0.65743879472693001</v>
      </c>
      <c r="H933" s="3">
        <v>0</v>
      </c>
      <c r="I933" s="1">
        <v>45723</v>
      </c>
      <c r="J933" s="4" t="s">
        <v>11</v>
      </c>
      <c r="K933" s="4" t="s">
        <v>12</v>
      </c>
      <c r="L933" s="3">
        <v>1789.65</v>
      </c>
      <c r="M933" s="4" t="s">
        <v>1255</v>
      </c>
      <c r="N933" s="3">
        <v>0</v>
      </c>
    </row>
    <row r="934" spans="1:14" x14ac:dyDescent="0.35">
      <c r="A934">
        <v>1859</v>
      </c>
      <c r="B934" s="4" t="s">
        <v>832</v>
      </c>
      <c r="C934" s="4" t="s">
        <v>61</v>
      </c>
      <c r="D934" s="4" t="s">
        <v>19</v>
      </c>
      <c r="E934">
        <v>4</v>
      </c>
      <c r="F934" s="3">
        <v>1442.86</v>
      </c>
      <c r="G934" s="2">
        <v>0.85</v>
      </c>
      <c r="H934" s="3">
        <v>865.72</v>
      </c>
      <c r="I934" s="1">
        <v>45757</v>
      </c>
      <c r="J934" s="4" t="s">
        <v>23</v>
      </c>
      <c r="K934" s="4" t="s">
        <v>12</v>
      </c>
      <c r="L934" s="3">
        <v>1183.93</v>
      </c>
      <c r="M934" s="4" t="s">
        <v>1256</v>
      </c>
      <c r="N934" s="3">
        <v>5771.44</v>
      </c>
    </row>
    <row r="935" spans="1:14" x14ac:dyDescent="0.35">
      <c r="A935">
        <v>1860</v>
      </c>
      <c r="B935" s="4" t="s">
        <v>121</v>
      </c>
      <c r="C935" s="4" t="s">
        <v>823</v>
      </c>
      <c r="D935" s="4" t="s">
        <v>24</v>
      </c>
      <c r="E935">
        <v>3</v>
      </c>
      <c r="F935" s="3">
        <v>2700.1111999999998</v>
      </c>
      <c r="G935" s="2">
        <v>1.1499999999999999</v>
      </c>
      <c r="H935" s="3">
        <v>0</v>
      </c>
      <c r="I935" s="1">
        <v>45757</v>
      </c>
      <c r="J935" s="4" t="s">
        <v>18</v>
      </c>
      <c r="K935" s="4" t="s">
        <v>12</v>
      </c>
      <c r="L935" s="3">
        <v>57.35</v>
      </c>
      <c r="M935" s="4" t="s">
        <v>1255</v>
      </c>
      <c r="N935" s="3">
        <v>8100.3335999999999</v>
      </c>
    </row>
    <row r="936" spans="1:14" x14ac:dyDescent="0.35">
      <c r="A936">
        <v>1861</v>
      </c>
      <c r="B936" s="4" t="s">
        <v>183</v>
      </c>
      <c r="C936" s="4" t="s">
        <v>833</v>
      </c>
      <c r="D936" s="4" t="s">
        <v>27</v>
      </c>
      <c r="E936">
        <v>0</v>
      </c>
      <c r="F936" s="3">
        <v>2701.5747999999999</v>
      </c>
      <c r="G936" s="2">
        <v>0.65614366729678597</v>
      </c>
      <c r="H936" s="3">
        <v>0</v>
      </c>
      <c r="I936" s="1">
        <v>45681</v>
      </c>
      <c r="J936" s="4" t="s">
        <v>9</v>
      </c>
      <c r="K936" s="4" t="s">
        <v>12</v>
      </c>
      <c r="L936" s="3">
        <v>-934.61</v>
      </c>
      <c r="M936" s="4" t="s">
        <v>1255</v>
      </c>
      <c r="N936" s="3">
        <v>0</v>
      </c>
    </row>
    <row r="937" spans="1:14" x14ac:dyDescent="0.35">
      <c r="A937">
        <v>1862</v>
      </c>
      <c r="B937" s="4" t="s">
        <v>65</v>
      </c>
      <c r="C937" s="4" t="s">
        <v>336</v>
      </c>
      <c r="D937" s="4" t="s">
        <v>17</v>
      </c>
      <c r="E937">
        <v>5</v>
      </c>
      <c r="F937" s="3">
        <v>4739.66</v>
      </c>
      <c r="G937" s="2">
        <v>0.65614366729678597</v>
      </c>
      <c r="H937" s="3">
        <v>0</v>
      </c>
      <c r="I937" s="1">
        <v>45681</v>
      </c>
      <c r="J937" s="4" t="s">
        <v>7</v>
      </c>
      <c r="K937" s="4" t="s">
        <v>8</v>
      </c>
      <c r="L937" s="3">
        <v>-315.41000000000003</v>
      </c>
      <c r="M937" s="4" t="s">
        <v>1255</v>
      </c>
      <c r="N937" s="3">
        <v>23698.3</v>
      </c>
    </row>
    <row r="938" spans="1:14" x14ac:dyDescent="0.35">
      <c r="A938">
        <v>1863</v>
      </c>
      <c r="B938" s="4" t="s">
        <v>274</v>
      </c>
      <c r="C938" s="4" t="s">
        <v>834</v>
      </c>
      <c r="D938" s="4" t="s">
        <v>22</v>
      </c>
      <c r="E938">
        <v>0</v>
      </c>
      <c r="F938" s="3">
        <v>3521.17</v>
      </c>
      <c r="G938" s="2">
        <v>0.79</v>
      </c>
      <c r="H938" s="3">
        <v>0</v>
      </c>
      <c r="I938" s="1">
        <v>45419</v>
      </c>
      <c r="J938" s="4" t="s">
        <v>9</v>
      </c>
      <c r="K938" s="4" t="s">
        <v>12</v>
      </c>
      <c r="L938" s="3">
        <v>612.84</v>
      </c>
      <c r="M938" s="4" t="s">
        <v>1255</v>
      </c>
      <c r="N938" s="3">
        <v>0</v>
      </c>
    </row>
    <row r="939" spans="1:14" hidden="1" x14ac:dyDescent="0.35">
      <c r="A939">
        <v>1864</v>
      </c>
      <c r="B939" s="4" t="s">
        <v>835</v>
      </c>
      <c r="C939" s="4" t="s">
        <v>836</v>
      </c>
      <c r="D939" s="4" t="s">
        <v>35</v>
      </c>
      <c r="E939">
        <v>4</v>
      </c>
      <c r="F939" s="3">
        <v>1570.06</v>
      </c>
      <c r="G939" s="2">
        <v>0.65589015151515095</v>
      </c>
      <c r="H939" s="3">
        <v>0</v>
      </c>
      <c r="I939" s="1">
        <v>45342</v>
      </c>
      <c r="J939" s="4" t="s">
        <v>7</v>
      </c>
      <c r="K939" s="4" t="s">
        <v>40</v>
      </c>
      <c r="L939" s="3">
        <v>1017.26</v>
      </c>
      <c r="M939" s="4" t="s">
        <v>1255</v>
      </c>
      <c r="N939" s="3">
        <v>6280.24</v>
      </c>
    </row>
    <row r="940" spans="1:14" hidden="1" x14ac:dyDescent="0.35">
      <c r="A940">
        <v>1865</v>
      </c>
      <c r="B940" s="4" t="s">
        <v>837</v>
      </c>
      <c r="C940" s="4" t="s">
        <v>838</v>
      </c>
      <c r="D940" s="4" t="s">
        <v>34</v>
      </c>
      <c r="E940">
        <v>2</v>
      </c>
      <c r="F940" s="3">
        <v>2496.81</v>
      </c>
      <c r="G940" s="2">
        <v>0.65589015151515095</v>
      </c>
      <c r="H940" s="3">
        <v>0</v>
      </c>
      <c r="I940" s="1">
        <v>45401</v>
      </c>
      <c r="J940" s="4" t="s">
        <v>23</v>
      </c>
      <c r="K940" s="4" t="s">
        <v>40</v>
      </c>
      <c r="L940" s="3">
        <v>28.7</v>
      </c>
      <c r="M940" s="4" t="s">
        <v>1255</v>
      </c>
      <c r="N940" s="3">
        <v>4993.62</v>
      </c>
    </row>
    <row r="941" spans="1:14" x14ac:dyDescent="0.35">
      <c r="A941">
        <v>1866</v>
      </c>
      <c r="B941" s="4" t="s">
        <v>294</v>
      </c>
      <c r="C941" s="4" t="s">
        <v>182</v>
      </c>
      <c r="D941" s="4" t="s">
        <v>28</v>
      </c>
      <c r="E941">
        <v>4</v>
      </c>
      <c r="F941" s="3">
        <v>4471.17</v>
      </c>
      <c r="G941" s="2">
        <v>0.6</v>
      </c>
      <c r="H941" s="3">
        <v>7153.87</v>
      </c>
      <c r="I941" s="1">
        <v>45770</v>
      </c>
      <c r="J941" s="4" t="s">
        <v>20</v>
      </c>
      <c r="K941" s="4" t="s">
        <v>8</v>
      </c>
      <c r="L941" s="3">
        <v>1335.92</v>
      </c>
      <c r="M941" s="4" t="s">
        <v>1256</v>
      </c>
      <c r="N941" s="3">
        <v>17884.68</v>
      </c>
    </row>
    <row r="942" spans="1:14" x14ac:dyDescent="0.35">
      <c r="A942">
        <v>1867</v>
      </c>
      <c r="B942" s="4" t="s">
        <v>130</v>
      </c>
      <c r="C942" s="4" t="s">
        <v>755</v>
      </c>
      <c r="D942" s="4" t="s">
        <v>31</v>
      </c>
      <c r="E942">
        <v>0</v>
      </c>
      <c r="F942" s="3">
        <v>1892.54</v>
      </c>
      <c r="G942" s="2">
        <v>0.09</v>
      </c>
      <c r="H942" s="3">
        <v>0</v>
      </c>
      <c r="I942" s="1">
        <v>45702</v>
      </c>
      <c r="J942" s="4" t="s">
        <v>9</v>
      </c>
      <c r="K942" s="4" t="s">
        <v>8</v>
      </c>
      <c r="L942" s="3">
        <v>-702.11</v>
      </c>
      <c r="M942" s="4" t="s">
        <v>1255</v>
      </c>
      <c r="N942" s="3">
        <v>0</v>
      </c>
    </row>
    <row r="943" spans="1:14" x14ac:dyDescent="0.35">
      <c r="A943">
        <v>1868</v>
      </c>
      <c r="B943" s="4" t="s">
        <v>71</v>
      </c>
      <c r="C943" s="4" t="s">
        <v>484</v>
      </c>
      <c r="D943" s="4" t="s">
        <v>29</v>
      </c>
      <c r="E943">
        <v>0</v>
      </c>
      <c r="F943" s="3">
        <v>2697.7212</v>
      </c>
      <c r="G943" s="2">
        <v>0.657072243346007</v>
      </c>
      <c r="H943" s="3">
        <v>0</v>
      </c>
      <c r="I943" s="1">
        <v>45517</v>
      </c>
      <c r="J943" s="4" t="s">
        <v>7</v>
      </c>
      <c r="K943" s="4" t="s">
        <v>12</v>
      </c>
      <c r="L943" s="3">
        <v>182.74</v>
      </c>
      <c r="M943" s="4" t="s">
        <v>1255</v>
      </c>
      <c r="N943" s="3">
        <v>0</v>
      </c>
    </row>
    <row r="944" spans="1:14" x14ac:dyDescent="0.35">
      <c r="A944">
        <v>1869</v>
      </c>
      <c r="B944" s="4" t="s">
        <v>79</v>
      </c>
      <c r="C944" s="4" t="s">
        <v>102</v>
      </c>
      <c r="D944" s="4" t="s">
        <v>30</v>
      </c>
      <c r="E944">
        <v>0</v>
      </c>
      <c r="F944" s="3">
        <v>2698.6651000000002</v>
      </c>
      <c r="G944" s="2">
        <v>0.657072243346007</v>
      </c>
      <c r="H944" s="3">
        <v>0</v>
      </c>
      <c r="I944" s="1">
        <v>45517</v>
      </c>
      <c r="J944" s="4" t="s">
        <v>9</v>
      </c>
      <c r="K944" s="4" t="s">
        <v>8</v>
      </c>
      <c r="L944" s="3">
        <v>75.28</v>
      </c>
      <c r="M944" s="4" t="s">
        <v>1255</v>
      </c>
      <c r="N944" s="3">
        <v>0</v>
      </c>
    </row>
    <row r="945" spans="1:14" hidden="1" x14ac:dyDescent="0.35">
      <c r="A945">
        <v>1870</v>
      </c>
      <c r="B945" s="4" t="s">
        <v>89</v>
      </c>
      <c r="C945" s="4" t="s">
        <v>741</v>
      </c>
      <c r="D945" s="4" t="s">
        <v>22</v>
      </c>
      <c r="E945">
        <v>0</v>
      </c>
      <c r="F945" s="3">
        <v>1870.68</v>
      </c>
      <c r="G945" s="2">
        <v>0.657072243346007</v>
      </c>
      <c r="H945" s="3">
        <v>0</v>
      </c>
      <c r="I945" s="1">
        <v>45517</v>
      </c>
      <c r="J945" s="4" t="s">
        <v>20</v>
      </c>
      <c r="K945" s="4" t="s">
        <v>40</v>
      </c>
      <c r="L945" s="3">
        <v>2695.81</v>
      </c>
      <c r="M945" s="4" t="s">
        <v>1255</v>
      </c>
      <c r="N945" s="3">
        <v>0</v>
      </c>
    </row>
    <row r="946" spans="1:14" x14ac:dyDescent="0.35">
      <c r="A946">
        <v>1871</v>
      </c>
      <c r="B946" s="4" t="s">
        <v>572</v>
      </c>
      <c r="C946" s="4" t="s">
        <v>281</v>
      </c>
      <c r="D946" s="4" t="s">
        <v>25</v>
      </c>
      <c r="E946">
        <v>0</v>
      </c>
      <c r="F946" s="3">
        <v>2698.6651000000002</v>
      </c>
      <c r="G946" s="2">
        <v>0.657072243346007</v>
      </c>
      <c r="H946" s="3">
        <v>0</v>
      </c>
      <c r="I946" s="1">
        <v>45588</v>
      </c>
      <c r="J946" s="4" t="s">
        <v>18</v>
      </c>
      <c r="K946" s="4" t="s">
        <v>8</v>
      </c>
      <c r="L946" s="3">
        <v>-431.93</v>
      </c>
      <c r="M946" s="4" t="s">
        <v>1255</v>
      </c>
      <c r="N946" s="3">
        <v>0</v>
      </c>
    </row>
    <row r="947" spans="1:14" hidden="1" x14ac:dyDescent="0.35">
      <c r="A947">
        <v>1872</v>
      </c>
      <c r="B947" s="4" t="s">
        <v>219</v>
      </c>
      <c r="C947" s="4" t="s">
        <v>297</v>
      </c>
      <c r="D947" s="4" t="s">
        <v>28</v>
      </c>
      <c r="E947">
        <v>1</v>
      </c>
      <c r="F947" s="3">
        <v>3381.64</v>
      </c>
      <c r="G947" s="2">
        <v>0.48</v>
      </c>
      <c r="H947" s="3">
        <v>1758.45</v>
      </c>
      <c r="I947" s="1">
        <v>45588</v>
      </c>
      <c r="J947" s="4" t="s">
        <v>7</v>
      </c>
      <c r="K947" s="4" t="s">
        <v>40</v>
      </c>
      <c r="L947" s="3">
        <v>953.93</v>
      </c>
      <c r="M947" s="4" t="s">
        <v>1256</v>
      </c>
      <c r="N947" s="3">
        <v>3381.64</v>
      </c>
    </row>
    <row r="948" spans="1:14" hidden="1" x14ac:dyDescent="0.35">
      <c r="A948">
        <v>1873</v>
      </c>
      <c r="B948" s="4" t="s">
        <v>278</v>
      </c>
      <c r="C948" s="4" t="s">
        <v>175</v>
      </c>
      <c r="D948" s="4" t="s">
        <v>27</v>
      </c>
      <c r="E948">
        <v>0</v>
      </c>
      <c r="F948" s="3">
        <v>2699.6369</v>
      </c>
      <c r="G948" s="2">
        <v>0.657409523809524</v>
      </c>
      <c r="H948" s="3">
        <v>0</v>
      </c>
      <c r="I948" s="1">
        <v>45466</v>
      </c>
      <c r="J948" s="4" t="s">
        <v>7</v>
      </c>
      <c r="K948" s="4" t="s">
        <v>40</v>
      </c>
      <c r="L948" s="3">
        <v>-632.25</v>
      </c>
      <c r="M948" s="4" t="s">
        <v>1255</v>
      </c>
      <c r="N948" s="3">
        <v>0</v>
      </c>
    </row>
    <row r="949" spans="1:14" hidden="1" x14ac:dyDescent="0.35">
      <c r="A949">
        <v>1874</v>
      </c>
      <c r="B949" s="4" t="s">
        <v>435</v>
      </c>
      <c r="C949" s="4" t="s">
        <v>221</v>
      </c>
      <c r="D949" s="4" t="s">
        <v>38</v>
      </c>
      <c r="E949">
        <v>5</v>
      </c>
      <c r="F949" s="3">
        <v>2847.02</v>
      </c>
      <c r="G949" s="2">
        <v>0.657409523809524</v>
      </c>
      <c r="H949" s="3">
        <v>0</v>
      </c>
      <c r="I949" s="1">
        <v>45378</v>
      </c>
      <c r="J949" s="4" t="s">
        <v>9</v>
      </c>
      <c r="K949" s="4" t="s">
        <v>40</v>
      </c>
      <c r="L949" s="3">
        <v>-573.97</v>
      </c>
      <c r="M949" s="4" t="s">
        <v>1255</v>
      </c>
      <c r="N949" s="3">
        <v>14235.1</v>
      </c>
    </row>
    <row r="950" spans="1:14" x14ac:dyDescent="0.35">
      <c r="A950">
        <v>1875</v>
      </c>
      <c r="B950" s="4" t="s">
        <v>434</v>
      </c>
      <c r="C950" s="4" t="s">
        <v>94</v>
      </c>
      <c r="D950" s="4" t="s">
        <v>33</v>
      </c>
      <c r="E950">
        <v>0</v>
      </c>
      <c r="F950" s="3">
        <v>2698.8355000000001</v>
      </c>
      <c r="G950" s="2">
        <v>0.657409523809524</v>
      </c>
      <c r="H950" s="3">
        <v>0</v>
      </c>
      <c r="I950" s="1">
        <v>45524</v>
      </c>
      <c r="J950" s="4" t="s">
        <v>20</v>
      </c>
      <c r="K950" s="4" t="s">
        <v>8</v>
      </c>
      <c r="L950" s="3">
        <v>1125.5</v>
      </c>
      <c r="M950" s="4" t="s">
        <v>1255</v>
      </c>
      <c r="N950" s="3">
        <v>0</v>
      </c>
    </row>
    <row r="951" spans="1:14" hidden="1" x14ac:dyDescent="0.35">
      <c r="A951">
        <v>1876</v>
      </c>
      <c r="B951" s="4" t="s">
        <v>839</v>
      </c>
      <c r="C951" s="4" t="s">
        <v>727</v>
      </c>
      <c r="D951" s="4" t="s">
        <v>13</v>
      </c>
      <c r="E951">
        <v>0</v>
      </c>
      <c r="F951" s="3">
        <v>2698.6612</v>
      </c>
      <c r="G951" s="2">
        <v>0.32</v>
      </c>
      <c r="H951" s="3">
        <v>0</v>
      </c>
      <c r="I951" s="1">
        <v>45744</v>
      </c>
      <c r="J951" s="4" t="s">
        <v>11</v>
      </c>
      <c r="K951" s="4" t="s">
        <v>40</v>
      </c>
      <c r="L951" s="3">
        <v>986.09</v>
      </c>
      <c r="M951" s="4" t="s">
        <v>1255</v>
      </c>
      <c r="N951" s="3">
        <v>0</v>
      </c>
    </row>
    <row r="952" spans="1:14" x14ac:dyDescent="0.35">
      <c r="A952">
        <v>1877</v>
      </c>
      <c r="B952" s="4" t="s">
        <v>212</v>
      </c>
      <c r="C952" s="4" t="s">
        <v>840</v>
      </c>
      <c r="D952" s="4" t="s">
        <v>15</v>
      </c>
      <c r="E952">
        <v>-1</v>
      </c>
      <c r="F952" s="3">
        <v>2698.6612</v>
      </c>
      <c r="G952" s="2">
        <v>0.65805343511450398</v>
      </c>
      <c r="H952" s="3">
        <v>0</v>
      </c>
      <c r="I952" s="1">
        <v>45836</v>
      </c>
      <c r="J952" s="4" t="s">
        <v>20</v>
      </c>
      <c r="K952" s="4" t="s">
        <v>12</v>
      </c>
      <c r="L952" s="3">
        <v>1149.23</v>
      </c>
      <c r="M952" s="4" t="s">
        <v>1255</v>
      </c>
      <c r="N952" s="3">
        <v>-2698.6612</v>
      </c>
    </row>
    <row r="953" spans="1:14" x14ac:dyDescent="0.35">
      <c r="A953">
        <v>1878</v>
      </c>
      <c r="B953" s="4" t="s">
        <v>841</v>
      </c>
      <c r="C953" s="4" t="s">
        <v>505</v>
      </c>
      <c r="D953" s="4" t="s">
        <v>24</v>
      </c>
      <c r="E953">
        <v>4</v>
      </c>
      <c r="F953" s="3">
        <v>2698.6612</v>
      </c>
      <c r="G953" s="2">
        <v>0.65805343511450398</v>
      </c>
      <c r="H953" s="3">
        <v>0</v>
      </c>
      <c r="I953" s="1">
        <v>45783</v>
      </c>
      <c r="J953" s="4" t="s">
        <v>18</v>
      </c>
      <c r="K953" s="4" t="s">
        <v>8</v>
      </c>
      <c r="L953" s="3">
        <v>2247.4899999999998</v>
      </c>
      <c r="M953" s="4" t="s">
        <v>1255</v>
      </c>
      <c r="N953" s="3">
        <v>10794.6448</v>
      </c>
    </row>
    <row r="954" spans="1:14" x14ac:dyDescent="0.35">
      <c r="A954">
        <v>1879</v>
      </c>
      <c r="B954" s="4" t="s">
        <v>56</v>
      </c>
      <c r="C954" s="4" t="s">
        <v>438</v>
      </c>
      <c r="D954" s="4" t="s">
        <v>14</v>
      </c>
      <c r="E954">
        <v>0</v>
      </c>
      <c r="F954" s="3">
        <v>444.11</v>
      </c>
      <c r="G954" s="2">
        <v>0.65805343511450398</v>
      </c>
      <c r="H954" s="3">
        <v>0</v>
      </c>
      <c r="I954" s="1">
        <v>45547</v>
      </c>
      <c r="J954" s="4" t="s">
        <v>9</v>
      </c>
      <c r="K954" s="4" t="s">
        <v>8</v>
      </c>
      <c r="L954" s="3">
        <v>2762.27</v>
      </c>
      <c r="M954" s="4" t="s">
        <v>1255</v>
      </c>
      <c r="N954" s="3">
        <v>0</v>
      </c>
    </row>
    <row r="955" spans="1:14" x14ac:dyDescent="0.35">
      <c r="A955">
        <v>1880</v>
      </c>
      <c r="B955" s="4" t="s">
        <v>110</v>
      </c>
      <c r="C955" s="4" t="s">
        <v>336</v>
      </c>
      <c r="D955" s="4" t="s">
        <v>33</v>
      </c>
      <c r="E955">
        <v>1</v>
      </c>
      <c r="F955" s="3">
        <v>772.97</v>
      </c>
      <c r="G955" s="2">
        <v>0.9</v>
      </c>
      <c r="H955" s="3">
        <v>77.3</v>
      </c>
      <c r="I955" s="1">
        <v>45575</v>
      </c>
      <c r="J955" s="4" t="s">
        <v>20</v>
      </c>
      <c r="K955" s="4" t="s">
        <v>12</v>
      </c>
      <c r="L955" s="3">
        <v>843.81</v>
      </c>
      <c r="M955" s="4" t="s">
        <v>1256</v>
      </c>
      <c r="N955" s="3">
        <v>772.97</v>
      </c>
    </row>
    <row r="956" spans="1:14" x14ac:dyDescent="0.35">
      <c r="A956">
        <v>1881</v>
      </c>
      <c r="B956" s="4" t="s">
        <v>559</v>
      </c>
      <c r="C956" s="4" t="s">
        <v>548</v>
      </c>
      <c r="D956" s="4" t="s">
        <v>38</v>
      </c>
      <c r="E956">
        <v>3</v>
      </c>
      <c r="F956" s="3">
        <v>1772.6</v>
      </c>
      <c r="G956" s="2">
        <v>0.65759082217973197</v>
      </c>
      <c r="H956" s="3">
        <v>0</v>
      </c>
      <c r="I956" s="1">
        <v>45836</v>
      </c>
      <c r="J956" s="4" t="s">
        <v>18</v>
      </c>
      <c r="K956" s="4" t="s">
        <v>12</v>
      </c>
      <c r="L956" s="3">
        <v>993.92</v>
      </c>
      <c r="M956" s="4" t="s">
        <v>1255</v>
      </c>
      <c r="N956" s="3">
        <v>5317.8</v>
      </c>
    </row>
    <row r="957" spans="1:14" x14ac:dyDescent="0.35">
      <c r="A957">
        <v>1882</v>
      </c>
      <c r="B957" s="4" t="s">
        <v>299</v>
      </c>
      <c r="C957" s="4" t="s">
        <v>142</v>
      </c>
      <c r="D957" s="4" t="s">
        <v>30</v>
      </c>
      <c r="E957">
        <v>0</v>
      </c>
      <c r="F957" s="3">
        <v>1622.79</v>
      </c>
      <c r="G957" s="2">
        <v>0.65759082217973197</v>
      </c>
      <c r="H957" s="3">
        <v>0</v>
      </c>
      <c r="I957" s="1">
        <v>45831</v>
      </c>
      <c r="J957" s="4" t="s">
        <v>7</v>
      </c>
      <c r="K957" s="4" t="s">
        <v>8</v>
      </c>
      <c r="L957" s="3">
        <v>1020.63</v>
      </c>
      <c r="M957" s="4" t="s">
        <v>1255</v>
      </c>
      <c r="N957" s="3">
        <v>0</v>
      </c>
    </row>
    <row r="958" spans="1:14" x14ac:dyDescent="0.35">
      <c r="A958">
        <v>1883</v>
      </c>
      <c r="B958" s="4" t="s">
        <v>54</v>
      </c>
      <c r="C958" s="4" t="s">
        <v>842</v>
      </c>
      <c r="D958" s="4" t="s">
        <v>21</v>
      </c>
      <c r="E958">
        <v>-1</v>
      </c>
      <c r="F958" s="3">
        <v>4350.8599999999997</v>
      </c>
      <c r="G958" s="2">
        <v>0.65759082217973197</v>
      </c>
      <c r="H958" s="3">
        <v>0</v>
      </c>
      <c r="I958" s="1">
        <v>45831</v>
      </c>
      <c r="J958" s="4" t="s">
        <v>20</v>
      </c>
      <c r="K958" s="4" t="s">
        <v>12</v>
      </c>
      <c r="L958" s="3">
        <v>2845.42</v>
      </c>
      <c r="M958" s="4" t="s">
        <v>1255</v>
      </c>
      <c r="N958" s="3">
        <v>-4350.8599999999997</v>
      </c>
    </row>
    <row r="959" spans="1:14" x14ac:dyDescent="0.35">
      <c r="A959">
        <v>1884</v>
      </c>
      <c r="B959" s="4" t="s">
        <v>365</v>
      </c>
      <c r="C959" s="4" t="s">
        <v>618</v>
      </c>
      <c r="D959" s="4" t="s">
        <v>38</v>
      </c>
      <c r="E959">
        <v>6</v>
      </c>
      <c r="F959" s="3">
        <v>2705.9686999999999</v>
      </c>
      <c r="G959" s="2">
        <v>0.65759082217973197</v>
      </c>
      <c r="H959" s="3">
        <v>0</v>
      </c>
      <c r="I959" s="1">
        <v>45860</v>
      </c>
      <c r="J959" s="4" t="s">
        <v>7</v>
      </c>
      <c r="K959" s="4" t="s">
        <v>8</v>
      </c>
      <c r="L959" s="3">
        <v>-856.25</v>
      </c>
      <c r="M959" s="4" t="s">
        <v>1255</v>
      </c>
      <c r="N959" s="3">
        <v>16235.8122</v>
      </c>
    </row>
    <row r="960" spans="1:14" x14ac:dyDescent="0.35">
      <c r="A960">
        <v>1885</v>
      </c>
      <c r="B960" s="4" t="s">
        <v>370</v>
      </c>
      <c r="C960" s="4" t="s">
        <v>259</v>
      </c>
      <c r="D960" s="4" t="s">
        <v>26</v>
      </c>
      <c r="E960">
        <v>0</v>
      </c>
      <c r="F960" s="3">
        <v>2704.0221000000001</v>
      </c>
      <c r="G960" s="2">
        <v>0.65759082217973197</v>
      </c>
      <c r="H960" s="3">
        <v>0</v>
      </c>
      <c r="I960" s="1">
        <v>45669</v>
      </c>
      <c r="J960" s="4" t="s">
        <v>7</v>
      </c>
      <c r="K960" s="4" t="s">
        <v>12</v>
      </c>
      <c r="L960" s="3">
        <v>-571.28</v>
      </c>
      <c r="M960" s="4" t="s">
        <v>1255</v>
      </c>
      <c r="N960" s="3">
        <v>0</v>
      </c>
    </row>
    <row r="961" spans="1:14" x14ac:dyDescent="0.35">
      <c r="A961">
        <v>1886</v>
      </c>
      <c r="B961" s="4" t="s">
        <v>490</v>
      </c>
      <c r="C961" s="4" t="s">
        <v>713</v>
      </c>
      <c r="D961" s="4" t="s">
        <v>19</v>
      </c>
      <c r="E961">
        <v>6</v>
      </c>
      <c r="F961" s="3">
        <v>1229.0999999999999</v>
      </c>
      <c r="G961" s="2">
        <v>0.65759082217973197</v>
      </c>
      <c r="H961" s="3">
        <v>0</v>
      </c>
      <c r="I961" s="1">
        <v>45669</v>
      </c>
      <c r="J961" s="4" t="s">
        <v>23</v>
      </c>
      <c r="K961" s="4" t="s">
        <v>8</v>
      </c>
      <c r="L961" s="3">
        <v>1005.96</v>
      </c>
      <c r="M961" s="4" t="s">
        <v>1255</v>
      </c>
      <c r="N961" s="3">
        <v>7374.6</v>
      </c>
    </row>
    <row r="962" spans="1:14" x14ac:dyDescent="0.35">
      <c r="A962">
        <v>1887</v>
      </c>
      <c r="B962" s="4" t="s">
        <v>262</v>
      </c>
      <c r="C962" s="4" t="s">
        <v>470</v>
      </c>
      <c r="D962" s="4" t="s">
        <v>26</v>
      </c>
      <c r="E962">
        <v>3</v>
      </c>
      <c r="F962" s="3">
        <v>2704.0221000000001</v>
      </c>
      <c r="G962" s="2">
        <v>0.65759082217973197</v>
      </c>
      <c r="H962" s="3">
        <v>0</v>
      </c>
      <c r="I962" s="1">
        <v>45775</v>
      </c>
      <c r="J962" s="4" t="s">
        <v>9</v>
      </c>
      <c r="K962" s="4" t="s">
        <v>12</v>
      </c>
      <c r="L962" s="3">
        <v>111.88</v>
      </c>
      <c r="M962" s="4" t="s">
        <v>1255</v>
      </c>
      <c r="N962" s="3">
        <v>8112.0663000000004</v>
      </c>
    </row>
    <row r="963" spans="1:14" x14ac:dyDescent="0.35">
      <c r="A963">
        <v>1888</v>
      </c>
      <c r="B963" s="4" t="s">
        <v>54</v>
      </c>
      <c r="C963" s="4" t="s">
        <v>205</v>
      </c>
      <c r="D963" s="4" t="s">
        <v>22</v>
      </c>
      <c r="E963">
        <v>6</v>
      </c>
      <c r="F963" s="3">
        <v>2705.7696000000001</v>
      </c>
      <c r="G963" s="2">
        <v>0.39</v>
      </c>
      <c r="H963" s="3">
        <v>0</v>
      </c>
      <c r="I963" s="1">
        <v>45775</v>
      </c>
      <c r="J963" s="4" t="s">
        <v>11</v>
      </c>
      <c r="K963" s="4" t="s">
        <v>12</v>
      </c>
      <c r="L963" s="3">
        <v>-80.61</v>
      </c>
      <c r="M963" s="4" t="s">
        <v>1255</v>
      </c>
      <c r="N963" s="3">
        <v>16234.6176</v>
      </c>
    </row>
    <row r="964" spans="1:14" hidden="1" x14ac:dyDescent="0.35">
      <c r="A964">
        <v>1889</v>
      </c>
      <c r="B964" s="4" t="s">
        <v>672</v>
      </c>
      <c r="C964" s="4" t="s">
        <v>843</v>
      </c>
      <c r="D964" s="4" t="s">
        <v>24</v>
      </c>
      <c r="E964">
        <v>0</v>
      </c>
      <c r="F964" s="3">
        <v>3948.83</v>
      </c>
      <c r="G964" s="2">
        <v>0.65810344827586198</v>
      </c>
      <c r="H964" s="3">
        <v>0</v>
      </c>
      <c r="I964" s="1">
        <v>45458</v>
      </c>
      <c r="J964" s="4" t="s">
        <v>20</v>
      </c>
      <c r="K964" s="4" t="s">
        <v>40</v>
      </c>
      <c r="L964" s="3">
        <v>1935.77</v>
      </c>
      <c r="M964" s="4" t="s">
        <v>1255</v>
      </c>
      <c r="N964" s="3">
        <v>0</v>
      </c>
    </row>
    <row r="965" spans="1:14" x14ac:dyDescent="0.35">
      <c r="A965">
        <v>1890</v>
      </c>
      <c r="B965" s="4" t="s">
        <v>617</v>
      </c>
      <c r="C965" s="4" t="s">
        <v>166</v>
      </c>
      <c r="D965" s="4" t="s">
        <v>14</v>
      </c>
      <c r="E965">
        <v>2</v>
      </c>
      <c r="F965" s="3">
        <v>3772.51</v>
      </c>
      <c r="G965" s="2">
        <v>0.65810344827586198</v>
      </c>
      <c r="H965" s="3">
        <v>0</v>
      </c>
      <c r="I965" s="1">
        <v>45458</v>
      </c>
      <c r="J965" s="4" t="s">
        <v>18</v>
      </c>
      <c r="K965" s="4" t="s">
        <v>12</v>
      </c>
      <c r="L965" s="3">
        <v>792.89</v>
      </c>
      <c r="M965" s="4" t="s">
        <v>1255</v>
      </c>
      <c r="N965" s="3">
        <v>7545.02</v>
      </c>
    </row>
    <row r="966" spans="1:14" x14ac:dyDescent="0.35">
      <c r="A966">
        <v>1891</v>
      </c>
      <c r="B966" s="4" t="s">
        <v>121</v>
      </c>
      <c r="C966" s="4" t="s">
        <v>844</v>
      </c>
      <c r="D966" s="4" t="s">
        <v>15</v>
      </c>
      <c r="E966">
        <v>0</v>
      </c>
      <c r="F966" s="3">
        <v>2727.86</v>
      </c>
      <c r="G966" s="2">
        <v>0.65810344827586198</v>
      </c>
      <c r="H966" s="3">
        <v>0</v>
      </c>
      <c r="I966" s="1">
        <v>45521</v>
      </c>
      <c r="J966" s="4" t="s">
        <v>9</v>
      </c>
      <c r="K966" s="4" t="s">
        <v>8</v>
      </c>
      <c r="L966" s="3">
        <v>849.07</v>
      </c>
      <c r="M966" s="4" t="s">
        <v>1255</v>
      </c>
      <c r="N966" s="3">
        <v>0</v>
      </c>
    </row>
    <row r="967" spans="1:14" x14ac:dyDescent="0.35">
      <c r="A967">
        <v>1892</v>
      </c>
      <c r="B967" s="4" t="s">
        <v>164</v>
      </c>
      <c r="C967" s="4" t="s">
        <v>845</v>
      </c>
      <c r="D967" s="4" t="s">
        <v>6</v>
      </c>
      <c r="E967">
        <v>0</v>
      </c>
      <c r="F967" s="3">
        <v>2703.0264000000002</v>
      </c>
      <c r="G967" s="2">
        <v>1.1399999999999999</v>
      </c>
      <c r="H967" s="3">
        <v>0</v>
      </c>
      <c r="I967" s="1">
        <v>45521</v>
      </c>
      <c r="J967" s="4" t="s">
        <v>7</v>
      </c>
      <c r="K967" s="4" t="s">
        <v>12</v>
      </c>
      <c r="L967" s="3">
        <v>330.14</v>
      </c>
      <c r="M967" s="4" t="s">
        <v>1255</v>
      </c>
      <c r="N967" s="3">
        <v>0</v>
      </c>
    </row>
    <row r="968" spans="1:14" x14ac:dyDescent="0.35">
      <c r="A968">
        <v>1893</v>
      </c>
      <c r="B968" s="4" t="s">
        <v>612</v>
      </c>
      <c r="C968" s="4" t="s">
        <v>80</v>
      </c>
      <c r="D968" s="4" t="s">
        <v>33</v>
      </c>
      <c r="E968">
        <v>0</v>
      </c>
      <c r="F968" s="3">
        <v>4456.45</v>
      </c>
      <c r="G968" s="2">
        <v>0.65717850287907797</v>
      </c>
      <c r="H968" s="3">
        <v>0</v>
      </c>
      <c r="I968" s="1">
        <v>45521</v>
      </c>
      <c r="J968" s="4" t="s">
        <v>7</v>
      </c>
      <c r="K968" s="4" t="s">
        <v>12</v>
      </c>
      <c r="L968" s="3">
        <v>870.63</v>
      </c>
      <c r="M968" s="4" t="s">
        <v>1255</v>
      </c>
      <c r="N968" s="3">
        <v>0</v>
      </c>
    </row>
    <row r="969" spans="1:14" x14ac:dyDescent="0.35">
      <c r="A969">
        <v>1894</v>
      </c>
      <c r="B969" s="4" t="s">
        <v>846</v>
      </c>
      <c r="C969" s="4" t="s">
        <v>433</v>
      </c>
      <c r="D969" s="4" t="s">
        <v>34</v>
      </c>
      <c r="E969">
        <v>2</v>
      </c>
      <c r="F969" s="3">
        <v>2793.89</v>
      </c>
      <c r="G969" s="2">
        <v>0.65717850287907797</v>
      </c>
      <c r="H969" s="3">
        <v>0</v>
      </c>
      <c r="I969" s="1">
        <v>45160</v>
      </c>
      <c r="J969" s="4" t="s">
        <v>23</v>
      </c>
      <c r="K969" s="4" t="s">
        <v>12</v>
      </c>
      <c r="L969" s="3">
        <v>-512.73</v>
      </c>
      <c r="M969" s="4" t="s">
        <v>1255</v>
      </c>
      <c r="N969" s="3">
        <v>5587.78</v>
      </c>
    </row>
    <row r="970" spans="1:14" x14ac:dyDescent="0.35">
      <c r="A970">
        <v>1896</v>
      </c>
      <c r="B970" s="4" t="s">
        <v>477</v>
      </c>
      <c r="C970" s="4" t="s">
        <v>328</v>
      </c>
      <c r="D970" s="4" t="s">
        <v>37</v>
      </c>
      <c r="E970">
        <v>5</v>
      </c>
      <c r="F970" s="3">
        <v>4829.8500000000004</v>
      </c>
      <c r="G970" s="2">
        <v>0.65717850287907797</v>
      </c>
      <c r="H970" s="3">
        <v>0</v>
      </c>
      <c r="I970" s="1">
        <v>45741</v>
      </c>
      <c r="J970" s="4" t="s">
        <v>23</v>
      </c>
      <c r="K970" s="4" t="s">
        <v>12</v>
      </c>
      <c r="L970" s="3">
        <v>2993.71</v>
      </c>
      <c r="M970" s="4" t="s">
        <v>1255</v>
      </c>
      <c r="N970" s="3">
        <v>24149.25</v>
      </c>
    </row>
    <row r="971" spans="1:14" x14ac:dyDescent="0.35">
      <c r="A971">
        <v>1897</v>
      </c>
      <c r="B971" s="4" t="s">
        <v>317</v>
      </c>
      <c r="C971" s="4" t="s">
        <v>826</v>
      </c>
      <c r="D971" s="4" t="s">
        <v>21</v>
      </c>
      <c r="E971">
        <v>0</v>
      </c>
      <c r="F971" s="3">
        <v>2700.7986000000001</v>
      </c>
      <c r="G971" s="2">
        <v>0.34</v>
      </c>
      <c r="H971" s="3">
        <v>0</v>
      </c>
      <c r="I971" s="1">
        <v>45747</v>
      </c>
      <c r="J971" s="4" t="s">
        <v>23</v>
      </c>
      <c r="K971" s="4" t="s">
        <v>8</v>
      </c>
      <c r="L971" s="3">
        <v>499.61</v>
      </c>
      <c r="M971" s="4" t="s">
        <v>1255</v>
      </c>
      <c r="N971" s="3">
        <v>0</v>
      </c>
    </row>
    <row r="972" spans="1:14" x14ac:dyDescent="0.35">
      <c r="A972">
        <v>1898</v>
      </c>
      <c r="B972" s="4" t="s">
        <v>847</v>
      </c>
      <c r="C972" s="4" t="s">
        <v>498</v>
      </c>
      <c r="D972" s="4" t="s">
        <v>26</v>
      </c>
      <c r="E972">
        <v>5</v>
      </c>
      <c r="F972" s="3">
        <v>776.98</v>
      </c>
      <c r="G972" s="2">
        <v>0.65778846153846104</v>
      </c>
      <c r="H972" s="3">
        <v>0</v>
      </c>
      <c r="I972" s="1">
        <v>45643</v>
      </c>
      <c r="J972" s="4" t="s">
        <v>11</v>
      </c>
      <c r="K972" s="4" t="s">
        <v>8</v>
      </c>
      <c r="L972" s="3">
        <v>2977.35</v>
      </c>
      <c r="M972" s="4" t="s">
        <v>1255</v>
      </c>
      <c r="N972" s="3">
        <v>3884.9</v>
      </c>
    </row>
    <row r="973" spans="1:14" x14ac:dyDescent="0.35">
      <c r="A973">
        <v>1899</v>
      </c>
      <c r="B973" s="4" t="s">
        <v>125</v>
      </c>
      <c r="C973" s="4" t="s">
        <v>658</v>
      </c>
      <c r="D973" s="4" t="s">
        <v>22</v>
      </c>
      <c r="E973">
        <v>0</v>
      </c>
      <c r="F973" s="3">
        <v>2698.2579999999998</v>
      </c>
      <c r="G973" s="2">
        <v>0.65778846153846104</v>
      </c>
      <c r="H973" s="3">
        <v>0</v>
      </c>
      <c r="I973" s="1">
        <v>45643</v>
      </c>
      <c r="J973" s="4" t="s">
        <v>7</v>
      </c>
      <c r="K973" s="4" t="s">
        <v>8</v>
      </c>
      <c r="L973" s="3">
        <v>500.04</v>
      </c>
      <c r="M973" s="4" t="s">
        <v>1255</v>
      </c>
      <c r="N973" s="3">
        <v>0</v>
      </c>
    </row>
    <row r="974" spans="1:14" hidden="1" x14ac:dyDescent="0.35">
      <c r="A974">
        <v>1900</v>
      </c>
      <c r="B974" s="4" t="s">
        <v>848</v>
      </c>
      <c r="C974" s="4" t="s">
        <v>496</v>
      </c>
      <c r="D974" s="4" t="s">
        <v>37</v>
      </c>
      <c r="E974">
        <v>3</v>
      </c>
      <c r="F974" s="3">
        <v>2700.5533999999998</v>
      </c>
      <c r="G974" s="2">
        <v>0.65778846153846104</v>
      </c>
      <c r="H974" s="3">
        <v>0</v>
      </c>
      <c r="I974" s="1">
        <v>45552</v>
      </c>
      <c r="J974" s="4" t="s">
        <v>7</v>
      </c>
      <c r="K974" s="4" t="s">
        <v>40</v>
      </c>
      <c r="L974" s="3">
        <v>959.32</v>
      </c>
      <c r="M974" s="4" t="s">
        <v>1255</v>
      </c>
      <c r="N974" s="3">
        <v>8101.6602000000003</v>
      </c>
    </row>
    <row r="975" spans="1:14" hidden="1" x14ac:dyDescent="0.35">
      <c r="A975">
        <v>1901</v>
      </c>
      <c r="B975" s="4" t="s">
        <v>849</v>
      </c>
      <c r="C975" s="4" t="s">
        <v>850</v>
      </c>
      <c r="D975" s="4" t="s">
        <v>14</v>
      </c>
      <c r="E975">
        <v>4</v>
      </c>
      <c r="F975" s="3">
        <v>781.91</v>
      </c>
      <c r="G975" s="2">
        <v>1.2</v>
      </c>
      <c r="H975" s="3">
        <v>-625.53</v>
      </c>
      <c r="I975" s="1">
        <v>45773</v>
      </c>
      <c r="J975" s="4" t="s">
        <v>20</v>
      </c>
      <c r="K975" s="4" t="s">
        <v>40</v>
      </c>
      <c r="L975" s="3">
        <v>1002.98</v>
      </c>
      <c r="M975" s="4" t="s">
        <v>1255</v>
      </c>
      <c r="N975" s="3">
        <v>3127.64</v>
      </c>
    </row>
    <row r="976" spans="1:14" hidden="1" x14ac:dyDescent="0.35">
      <c r="A976">
        <v>1903</v>
      </c>
      <c r="B976" s="4" t="s">
        <v>46</v>
      </c>
      <c r="C976" s="4" t="s">
        <v>95</v>
      </c>
      <c r="D976" s="4" t="s">
        <v>24</v>
      </c>
      <c r="E976">
        <v>-1</v>
      </c>
      <c r="F976" s="3">
        <v>2702.8483999999999</v>
      </c>
      <c r="G976" s="2">
        <v>0.08</v>
      </c>
      <c r="H976" s="3">
        <v>0</v>
      </c>
      <c r="I976" s="1">
        <v>45764</v>
      </c>
      <c r="J976" s="4" t="s">
        <v>11</v>
      </c>
      <c r="K976" s="4" t="s">
        <v>40</v>
      </c>
      <c r="L976" s="3">
        <v>1264.02</v>
      </c>
      <c r="M976" s="4" t="s">
        <v>1255</v>
      </c>
      <c r="N976" s="3">
        <v>-2702.8483999999999</v>
      </c>
    </row>
    <row r="977" spans="1:14" x14ac:dyDescent="0.35">
      <c r="A977">
        <v>1904</v>
      </c>
      <c r="B977" s="4" t="s">
        <v>96</v>
      </c>
      <c r="C977" s="4" t="s">
        <v>851</v>
      </c>
      <c r="D977" s="4" t="s">
        <v>32</v>
      </c>
      <c r="E977">
        <v>-1</v>
      </c>
      <c r="F977" s="3">
        <v>1339.18</v>
      </c>
      <c r="G977" s="2">
        <v>0.65791102514506805</v>
      </c>
      <c r="H977" s="3">
        <v>0</v>
      </c>
      <c r="I977" s="1">
        <v>45851</v>
      </c>
      <c r="J977" s="4" t="s">
        <v>18</v>
      </c>
      <c r="K977" s="4" t="s">
        <v>8</v>
      </c>
      <c r="L977" s="3">
        <v>554.92999999999995</v>
      </c>
      <c r="M977" s="4" t="s">
        <v>1255</v>
      </c>
      <c r="N977" s="3">
        <v>-1339.18</v>
      </c>
    </row>
    <row r="978" spans="1:14" x14ac:dyDescent="0.35">
      <c r="A978">
        <v>1905</v>
      </c>
      <c r="B978" s="4" t="s">
        <v>93</v>
      </c>
      <c r="C978" s="4" t="s">
        <v>135</v>
      </c>
      <c r="D978" s="4" t="s">
        <v>31</v>
      </c>
      <c r="E978">
        <v>0</v>
      </c>
      <c r="F978" s="3">
        <v>759.78</v>
      </c>
      <c r="G978" s="2">
        <v>0.65791102514506805</v>
      </c>
      <c r="H978" s="3">
        <v>0</v>
      </c>
      <c r="I978" s="1">
        <v>45851</v>
      </c>
      <c r="J978" s="4" t="s">
        <v>20</v>
      </c>
      <c r="K978" s="4" t="s">
        <v>12</v>
      </c>
      <c r="L978" s="3">
        <v>2254.8200000000002</v>
      </c>
      <c r="M978" s="4" t="s">
        <v>1255</v>
      </c>
      <c r="N978" s="3">
        <v>0</v>
      </c>
    </row>
    <row r="979" spans="1:14" hidden="1" x14ac:dyDescent="0.35">
      <c r="A979">
        <v>1906</v>
      </c>
      <c r="B979" s="4" t="s">
        <v>610</v>
      </c>
      <c r="C979" s="4" t="s">
        <v>852</v>
      </c>
      <c r="D979" s="4" t="s">
        <v>31</v>
      </c>
      <c r="E979">
        <v>-1</v>
      </c>
      <c r="F979" s="3">
        <v>2703.6442000000002</v>
      </c>
      <c r="G979" s="2">
        <v>0.65791102514506805</v>
      </c>
      <c r="H979" s="3">
        <v>0</v>
      </c>
      <c r="I979" s="1">
        <v>45853</v>
      </c>
      <c r="J979" s="4" t="s">
        <v>18</v>
      </c>
      <c r="K979" s="4" t="s">
        <v>40</v>
      </c>
      <c r="L979" s="3">
        <v>406.55</v>
      </c>
      <c r="M979" s="4" t="s">
        <v>1255</v>
      </c>
      <c r="N979" s="3">
        <v>-2703.6442000000002</v>
      </c>
    </row>
    <row r="980" spans="1:14" hidden="1" x14ac:dyDescent="0.35">
      <c r="A980">
        <v>1907</v>
      </c>
      <c r="B980" s="4" t="s">
        <v>853</v>
      </c>
      <c r="C980" s="4" t="s">
        <v>149</v>
      </c>
      <c r="D980" s="4" t="s">
        <v>10</v>
      </c>
      <c r="E980">
        <v>0</v>
      </c>
      <c r="F980" s="3">
        <v>2705.9778000000001</v>
      </c>
      <c r="G980" s="2">
        <v>0.65791102514506805</v>
      </c>
      <c r="H980" s="3">
        <v>0</v>
      </c>
      <c r="I980" s="1">
        <v>45633</v>
      </c>
      <c r="J980" s="4" t="s">
        <v>23</v>
      </c>
      <c r="K980" s="4" t="s">
        <v>40</v>
      </c>
      <c r="L980" s="3">
        <v>305.87</v>
      </c>
      <c r="M980" s="4" t="s">
        <v>1255</v>
      </c>
      <c r="N980" s="3">
        <v>0</v>
      </c>
    </row>
    <row r="981" spans="1:14" hidden="1" x14ac:dyDescent="0.35">
      <c r="A981">
        <v>1908</v>
      </c>
      <c r="B981" s="4" t="s">
        <v>226</v>
      </c>
      <c r="C981" s="4" t="s">
        <v>293</v>
      </c>
      <c r="D981" s="4" t="s">
        <v>16</v>
      </c>
      <c r="E981">
        <v>0</v>
      </c>
      <c r="F981" s="3">
        <v>2705.9778000000001</v>
      </c>
      <c r="G981" s="2">
        <v>0.65791102514506805</v>
      </c>
      <c r="H981" s="3">
        <v>0</v>
      </c>
      <c r="I981" s="1">
        <v>45633</v>
      </c>
      <c r="J981" s="4" t="s">
        <v>23</v>
      </c>
      <c r="K981" s="4" t="s">
        <v>40</v>
      </c>
      <c r="L981" s="3">
        <v>205.56</v>
      </c>
      <c r="M981" s="4" t="s">
        <v>1255</v>
      </c>
      <c r="N981" s="3">
        <v>0</v>
      </c>
    </row>
    <row r="982" spans="1:14" x14ac:dyDescent="0.35">
      <c r="A982">
        <v>1909</v>
      </c>
      <c r="B982" s="4" t="s">
        <v>65</v>
      </c>
      <c r="C982" s="4" t="s">
        <v>854</v>
      </c>
      <c r="D982" s="4" t="s">
        <v>19</v>
      </c>
      <c r="E982">
        <v>1</v>
      </c>
      <c r="F982" s="3">
        <v>3114.13</v>
      </c>
      <c r="G982" s="2">
        <v>0.65791102514506805</v>
      </c>
      <c r="H982" s="3">
        <v>0</v>
      </c>
      <c r="I982" s="1">
        <v>45799</v>
      </c>
      <c r="J982" s="4" t="s">
        <v>20</v>
      </c>
      <c r="K982" s="4" t="s">
        <v>12</v>
      </c>
      <c r="L982" s="3">
        <v>2743.54</v>
      </c>
      <c r="M982" s="4" t="s">
        <v>1255</v>
      </c>
      <c r="N982" s="3">
        <v>3114.13</v>
      </c>
    </row>
    <row r="983" spans="1:14" x14ac:dyDescent="0.35">
      <c r="A983">
        <v>1910</v>
      </c>
      <c r="B983" s="4" t="s">
        <v>855</v>
      </c>
      <c r="C983" s="4" t="s">
        <v>856</v>
      </c>
      <c r="D983" s="4" t="s">
        <v>37</v>
      </c>
      <c r="E983">
        <v>0</v>
      </c>
      <c r="F983" s="3">
        <v>2155.16</v>
      </c>
      <c r="G983" s="2">
        <v>0.65791102514506805</v>
      </c>
      <c r="H983" s="3">
        <v>0</v>
      </c>
      <c r="I983" s="1">
        <v>45710</v>
      </c>
      <c r="J983" s="4" t="s">
        <v>9</v>
      </c>
      <c r="K983" s="4" t="s">
        <v>12</v>
      </c>
      <c r="L983" s="3">
        <v>425.89</v>
      </c>
      <c r="M983" s="4" t="s">
        <v>1255</v>
      </c>
      <c r="N983" s="3">
        <v>0</v>
      </c>
    </row>
    <row r="984" spans="1:14" hidden="1" x14ac:dyDescent="0.35">
      <c r="A984">
        <v>1911</v>
      </c>
      <c r="B984" s="4" t="s">
        <v>857</v>
      </c>
      <c r="C984" s="4" t="s">
        <v>329</v>
      </c>
      <c r="D984" s="4" t="s">
        <v>32</v>
      </c>
      <c r="E984">
        <v>6</v>
      </c>
      <c r="F984" s="3">
        <v>2357.6999999999998</v>
      </c>
      <c r="G984" s="2">
        <v>0.65791102514506805</v>
      </c>
      <c r="H984" s="3">
        <v>0</v>
      </c>
      <c r="I984" s="1">
        <v>45521</v>
      </c>
      <c r="J984" s="4" t="s">
        <v>9</v>
      </c>
      <c r="K984" s="4" t="s">
        <v>40</v>
      </c>
      <c r="L984" s="3">
        <v>1901.07</v>
      </c>
      <c r="M984" s="4" t="s">
        <v>1255</v>
      </c>
      <c r="N984" s="3">
        <v>14146.2</v>
      </c>
    </row>
    <row r="985" spans="1:14" x14ac:dyDescent="0.35">
      <c r="A985">
        <v>1912</v>
      </c>
      <c r="B985" s="4" t="s">
        <v>259</v>
      </c>
      <c r="C985" s="4" t="s">
        <v>122</v>
      </c>
      <c r="D985" s="4" t="s">
        <v>14</v>
      </c>
      <c r="E985">
        <v>0</v>
      </c>
      <c r="F985" s="3">
        <v>2706.1493999999998</v>
      </c>
      <c r="G985" s="2">
        <v>0.65791102514506805</v>
      </c>
      <c r="H985" s="3">
        <v>0</v>
      </c>
      <c r="I985" s="1">
        <v>45521</v>
      </c>
      <c r="J985" s="4" t="s">
        <v>20</v>
      </c>
      <c r="K985" s="4" t="s">
        <v>8</v>
      </c>
      <c r="L985" s="3">
        <v>2721.15</v>
      </c>
      <c r="M985" s="4" t="s">
        <v>1255</v>
      </c>
      <c r="N985" s="3">
        <v>0</v>
      </c>
    </row>
    <row r="986" spans="1:14" x14ac:dyDescent="0.35">
      <c r="A986">
        <v>1913</v>
      </c>
      <c r="B986" s="4" t="s">
        <v>79</v>
      </c>
      <c r="C986" s="4" t="s">
        <v>858</v>
      </c>
      <c r="D986" s="4" t="s">
        <v>33</v>
      </c>
      <c r="E986">
        <v>5</v>
      </c>
      <c r="F986" s="3">
        <v>2706.5693000000001</v>
      </c>
      <c r="G986" s="2">
        <v>0.65791102514506805</v>
      </c>
      <c r="H986" s="3">
        <v>0</v>
      </c>
      <c r="I986" s="1">
        <v>45521</v>
      </c>
      <c r="J986" s="4" t="s">
        <v>11</v>
      </c>
      <c r="K986" s="4" t="s">
        <v>8</v>
      </c>
      <c r="L986" s="3">
        <v>1490.96</v>
      </c>
      <c r="M986" s="4" t="s">
        <v>1255</v>
      </c>
      <c r="N986" s="3">
        <v>13532.8465</v>
      </c>
    </row>
    <row r="987" spans="1:14" hidden="1" x14ac:dyDescent="0.35">
      <c r="A987">
        <v>1914</v>
      </c>
      <c r="B987" s="4" t="s">
        <v>859</v>
      </c>
      <c r="C987" s="4" t="s">
        <v>349</v>
      </c>
      <c r="D987" s="4" t="s">
        <v>16</v>
      </c>
      <c r="E987">
        <v>6</v>
      </c>
      <c r="F987" s="3">
        <v>3661.49</v>
      </c>
      <c r="G987" s="2">
        <v>0.11</v>
      </c>
      <c r="H987" s="3">
        <v>19552.36</v>
      </c>
      <c r="I987" s="1">
        <v>45848</v>
      </c>
      <c r="J987" s="4" t="s">
        <v>20</v>
      </c>
      <c r="K987" s="4" t="s">
        <v>40</v>
      </c>
      <c r="L987" s="3">
        <v>-527.32000000000005</v>
      </c>
      <c r="M987" s="4" t="s">
        <v>1256</v>
      </c>
      <c r="N987" s="3">
        <v>21968.94</v>
      </c>
    </row>
    <row r="988" spans="1:14" x14ac:dyDescent="0.35">
      <c r="A988">
        <v>1915</v>
      </c>
      <c r="B988" s="4" t="s">
        <v>141</v>
      </c>
      <c r="C988" s="4" t="s">
        <v>860</v>
      </c>
      <c r="D988" s="4" t="s">
        <v>19</v>
      </c>
      <c r="E988">
        <v>0</v>
      </c>
      <c r="F988" s="3">
        <v>2706.5693000000001</v>
      </c>
      <c r="G988" s="2">
        <v>0.65897286821705403</v>
      </c>
      <c r="H988" s="3">
        <v>0</v>
      </c>
      <c r="I988" s="1">
        <v>45367</v>
      </c>
      <c r="J988" s="4" t="s">
        <v>7</v>
      </c>
      <c r="K988" s="4" t="s">
        <v>12</v>
      </c>
      <c r="L988" s="3">
        <v>944.36</v>
      </c>
      <c r="M988" s="4" t="s">
        <v>1255</v>
      </c>
      <c r="N988" s="3">
        <v>0</v>
      </c>
    </row>
    <row r="989" spans="1:14" hidden="1" x14ac:dyDescent="0.35">
      <c r="A989">
        <v>1916</v>
      </c>
      <c r="B989" s="4" t="s">
        <v>276</v>
      </c>
      <c r="C989" s="4" t="s">
        <v>114</v>
      </c>
      <c r="D989" s="4" t="s">
        <v>24</v>
      </c>
      <c r="E989">
        <v>0</v>
      </c>
      <c r="F989" s="3">
        <v>2117.0700000000002</v>
      </c>
      <c r="G989" s="2">
        <v>0.13</v>
      </c>
      <c r="H989" s="3">
        <v>0</v>
      </c>
      <c r="I989" s="1">
        <v>45686</v>
      </c>
      <c r="J989" s="4" t="s">
        <v>7</v>
      </c>
      <c r="K989" s="4" t="s">
        <v>40</v>
      </c>
      <c r="L989" s="3">
        <v>2423.2399999999998</v>
      </c>
      <c r="M989" s="4" t="s">
        <v>1255</v>
      </c>
      <c r="N989" s="3">
        <v>0</v>
      </c>
    </row>
    <row r="990" spans="1:14" hidden="1" x14ac:dyDescent="0.35">
      <c r="A990">
        <v>1917</v>
      </c>
      <c r="B990" s="4" t="s">
        <v>200</v>
      </c>
      <c r="C990" s="4" t="s">
        <v>861</v>
      </c>
      <c r="D990" s="4" t="s">
        <v>38</v>
      </c>
      <c r="E990">
        <v>2</v>
      </c>
      <c r="F990" s="3">
        <v>2705.4173999999998</v>
      </c>
      <c r="G990" s="2">
        <v>0.66</v>
      </c>
      <c r="H990" s="3">
        <v>0</v>
      </c>
      <c r="I990" s="1">
        <v>45630</v>
      </c>
      <c r="J990" s="4" t="s">
        <v>9</v>
      </c>
      <c r="K990" s="4" t="s">
        <v>40</v>
      </c>
      <c r="L990" s="3">
        <v>1173.48</v>
      </c>
      <c r="M990" s="4" t="s">
        <v>1255</v>
      </c>
      <c r="N990" s="3">
        <v>5410.8347999999996</v>
      </c>
    </row>
    <row r="991" spans="1:14" hidden="1" x14ac:dyDescent="0.35">
      <c r="A991">
        <v>1918</v>
      </c>
      <c r="B991" s="4" t="s">
        <v>65</v>
      </c>
      <c r="C991" s="4" t="s">
        <v>862</v>
      </c>
      <c r="D991" s="4" t="s">
        <v>31</v>
      </c>
      <c r="E991">
        <v>0</v>
      </c>
      <c r="F991" s="3">
        <v>581.49</v>
      </c>
      <c r="G991" s="2">
        <v>0.66</v>
      </c>
      <c r="H991" s="3">
        <v>0</v>
      </c>
      <c r="I991" s="1">
        <v>45297</v>
      </c>
      <c r="J991" s="4" t="s">
        <v>9</v>
      </c>
      <c r="K991" s="4" t="s">
        <v>40</v>
      </c>
      <c r="L991" s="3">
        <v>-714.88</v>
      </c>
      <c r="M991" s="4" t="s">
        <v>1255</v>
      </c>
      <c r="N991" s="3">
        <v>0</v>
      </c>
    </row>
    <row r="992" spans="1:14" x14ac:dyDescent="0.35">
      <c r="A992">
        <v>1919</v>
      </c>
      <c r="B992" s="4" t="s">
        <v>863</v>
      </c>
      <c r="C992" s="4" t="s">
        <v>64</v>
      </c>
      <c r="D992" s="4" t="s">
        <v>24</v>
      </c>
      <c r="E992">
        <v>0</v>
      </c>
      <c r="F992" s="3">
        <v>1460.71</v>
      </c>
      <c r="G992" s="2">
        <v>0.66</v>
      </c>
      <c r="H992" s="3">
        <v>0</v>
      </c>
      <c r="I992" s="1">
        <v>45297</v>
      </c>
      <c r="J992" s="4" t="s">
        <v>9</v>
      </c>
      <c r="K992" s="4" t="s">
        <v>8</v>
      </c>
      <c r="L992" s="3">
        <v>2917.9</v>
      </c>
      <c r="M992" s="4" t="s">
        <v>1255</v>
      </c>
      <c r="N992" s="3">
        <v>0</v>
      </c>
    </row>
    <row r="993" spans="1:14" hidden="1" x14ac:dyDescent="0.35">
      <c r="A993">
        <v>1920</v>
      </c>
      <c r="B993" s="4" t="s">
        <v>304</v>
      </c>
      <c r="C993" s="4" t="s">
        <v>776</v>
      </c>
      <c r="D993" s="4" t="s">
        <v>30</v>
      </c>
      <c r="E993">
        <v>0</v>
      </c>
      <c r="F993" s="3">
        <v>4141.2299999999996</v>
      </c>
      <c r="G993" s="2">
        <v>0.66</v>
      </c>
      <c r="H993" s="3">
        <v>0</v>
      </c>
      <c r="I993" s="1">
        <v>45552</v>
      </c>
      <c r="J993" s="4" t="s">
        <v>11</v>
      </c>
      <c r="K993" s="4" t="s">
        <v>40</v>
      </c>
      <c r="L993" s="3">
        <v>1455.81</v>
      </c>
      <c r="M993" s="4" t="s">
        <v>1255</v>
      </c>
      <c r="N993" s="3">
        <v>0</v>
      </c>
    </row>
    <row r="994" spans="1:14" x14ac:dyDescent="0.35">
      <c r="A994">
        <v>1921</v>
      </c>
      <c r="B994" s="4" t="s">
        <v>864</v>
      </c>
      <c r="C994" s="4" t="s">
        <v>865</v>
      </c>
      <c r="D994" s="4" t="s">
        <v>33</v>
      </c>
      <c r="E994">
        <v>0</v>
      </c>
      <c r="F994" s="3">
        <v>4224.3100000000004</v>
      </c>
      <c r="G994" s="2">
        <v>0.66</v>
      </c>
      <c r="H994" s="3">
        <v>0</v>
      </c>
      <c r="I994" s="1">
        <v>45552</v>
      </c>
      <c r="J994" s="4" t="s">
        <v>23</v>
      </c>
      <c r="K994" s="4" t="s">
        <v>12</v>
      </c>
      <c r="L994" s="3">
        <v>2660.84</v>
      </c>
      <c r="M994" s="4" t="s">
        <v>1255</v>
      </c>
      <c r="N994" s="3">
        <v>0</v>
      </c>
    </row>
    <row r="995" spans="1:14" hidden="1" x14ac:dyDescent="0.35">
      <c r="A995">
        <v>1922</v>
      </c>
      <c r="B995" s="4" t="s">
        <v>219</v>
      </c>
      <c r="C995" s="4" t="s">
        <v>866</v>
      </c>
      <c r="D995" s="4" t="s">
        <v>25</v>
      </c>
      <c r="E995">
        <v>0</v>
      </c>
      <c r="F995" s="3">
        <v>2708.4733000000001</v>
      </c>
      <c r="G995" s="2">
        <v>0.66</v>
      </c>
      <c r="H995" s="3">
        <v>0</v>
      </c>
      <c r="I995" s="1">
        <v>45693</v>
      </c>
      <c r="J995" s="4" t="s">
        <v>7</v>
      </c>
      <c r="K995" s="4" t="s">
        <v>40</v>
      </c>
      <c r="L995" s="3">
        <v>-616.36</v>
      </c>
      <c r="M995" s="4" t="s">
        <v>1255</v>
      </c>
      <c r="N995" s="3">
        <v>0</v>
      </c>
    </row>
    <row r="996" spans="1:14" hidden="1" x14ac:dyDescent="0.35">
      <c r="A996">
        <v>1923</v>
      </c>
      <c r="B996" s="4" t="s">
        <v>798</v>
      </c>
      <c r="C996" s="4" t="s">
        <v>438</v>
      </c>
      <c r="D996" s="4" t="s">
        <v>10</v>
      </c>
      <c r="E996">
        <v>0</v>
      </c>
      <c r="F996" s="3">
        <v>3865.62</v>
      </c>
      <c r="G996" s="2">
        <v>0.66</v>
      </c>
      <c r="H996" s="3">
        <v>0</v>
      </c>
      <c r="I996" s="1">
        <v>45807</v>
      </c>
      <c r="J996" s="4" t="s">
        <v>18</v>
      </c>
      <c r="K996" s="4" t="s">
        <v>40</v>
      </c>
      <c r="L996" s="3">
        <v>-56.4</v>
      </c>
      <c r="M996" s="4" t="s">
        <v>1255</v>
      </c>
      <c r="N996" s="3">
        <v>0</v>
      </c>
    </row>
    <row r="997" spans="1:14" hidden="1" x14ac:dyDescent="0.35">
      <c r="A997">
        <v>1924</v>
      </c>
      <c r="B997" s="4" t="s">
        <v>867</v>
      </c>
      <c r="C997" s="4" t="s">
        <v>868</v>
      </c>
      <c r="D997" s="4" t="s">
        <v>16</v>
      </c>
      <c r="E997">
        <v>0</v>
      </c>
      <c r="F997" s="3">
        <v>2999.49</v>
      </c>
      <c r="G997" s="2">
        <v>0.66</v>
      </c>
      <c r="H997" s="3">
        <v>0</v>
      </c>
      <c r="I997" s="1">
        <v>45304</v>
      </c>
      <c r="J997" s="4" t="s">
        <v>9</v>
      </c>
      <c r="K997" s="4" t="s">
        <v>40</v>
      </c>
      <c r="L997" s="3">
        <v>-988.45</v>
      </c>
      <c r="M997" s="4" t="s">
        <v>1255</v>
      </c>
      <c r="N997" s="3">
        <v>0</v>
      </c>
    </row>
    <row r="998" spans="1:14" hidden="1" x14ac:dyDescent="0.35">
      <c r="A998">
        <v>1925</v>
      </c>
      <c r="B998" s="4" t="s">
        <v>697</v>
      </c>
      <c r="C998" s="4" t="s">
        <v>528</v>
      </c>
      <c r="D998" s="4" t="s">
        <v>35</v>
      </c>
      <c r="E998">
        <v>0</v>
      </c>
      <c r="F998" s="3">
        <v>1429.24</v>
      </c>
      <c r="G998" s="2">
        <v>0.66</v>
      </c>
      <c r="H998" s="3">
        <v>0</v>
      </c>
      <c r="I998" s="1">
        <v>45604</v>
      </c>
      <c r="J998" s="4" t="s">
        <v>7</v>
      </c>
      <c r="K998" s="4" t="s">
        <v>40</v>
      </c>
      <c r="L998" s="3">
        <v>2081.7800000000002</v>
      </c>
      <c r="M998" s="4" t="s">
        <v>1255</v>
      </c>
      <c r="N998" s="3">
        <v>0</v>
      </c>
    </row>
    <row r="999" spans="1:14" x14ac:dyDescent="0.35">
      <c r="A999">
        <v>1926</v>
      </c>
      <c r="B999" s="4" t="s">
        <v>237</v>
      </c>
      <c r="C999" s="4" t="s">
        <v>95</v>
      </c>
      <c r="D999" s="4" t="s">
        <v>38</v>
      </c>
      <c r="E999">
        <v>-2</v>
      </c>
      <c r="F999" s="3">
        <v>2533.37</v>
      </c>
      <c r="G999" s="2">
        <v>0.66</v>
      </c>
      <c r="H999" s="3">
        <v>0</v>
      </c>
      <c r="I999" s="1">
        <v>45508</v>
      </c>
      <c r="J999" s="4" t="s">
        <v>18</v>
      </c>
      <c r="K999" s="4" t="s">
        <v>8</v>
      </c>
      <c r="L999" s="3">
        <v>-490.96</v>
      </c>
      <c r="M999" s="4" t="s">
        <v>1255</v>
      </c>
      <c r="N999" s="3">
        <v>-5066.74</v>
      </c>
    </row>
    <row r="1000" spans="1:14" x14ac:dyDescent="0.35">
      <c r="A1000">
        <v>1927</v>
      </c>
      <c r="B1000" s="4" t="s">
        <v>468</v>
      </c>
      <c r="C1000" s="4" t="s">
        <v>869</v>
      </c>
      <c r="D1000" s="4" t="s">
        <v>26</v>
      </c>
      <c r="E1000">
        <v>5</v>
      </c>
      <c r="F1000" s="3">
        <v>2706.4212000000002</v>
      </c>
      <c r="G1000" s="2">
        <v>0.66</v>
      </c>
      <c r="H1000" s="3">
        <v>0</v>
      </c>
      <c r="I1000" s="1">
        <v>45777</v>
      </c>
      <c r="J1000" s="4" t="s">
        <v>23</v>
      </c>
      <c r="K1000" s="4" t="s">
        <v>12</v>
      </c>
      <c r="L1000" s="3">
        <v>1844.54</v>
      </c>
      <c r="M1000" s="4" t="s">
        <v>1255</v>
      </c>
      <c r="N1000" s="3">
        <v>13532.106</v>
      </c>
    </row>
    <row r="1001" spans="1:14" x14ac:dyDescent="0.35">
      <c r="A1001">
        <v>1928</v>
      </c>
      <c r="B1001" s="4" t="s">
        <v>468</v>
      </c>
      <c r="C1001" s="4" t="s">
        <v>272</v>
      </c>
      <c r="D1001" s="4" t="s">
        <v>17</v>
      </c>
      <c r="E1001">
        <v>-2</v>
      </c>
      <c r="F1001" s="3">
        <v>2706.6323000000002</v>
      </c>
      <c r="G1001" s="2">
        <v>0.66</v>
      </c>
      <c r="H1001" s="3">
        <v>0</v>
      </c>
      <c r="I1001" s="1">
        <v>45438</v>
      </c>
      <c r="J1001" s="4" t="s">
        <v>7</v>
      </c>
      <c r="K1001" s="4" t="s">
        <v>12</v>
      </c>
      <c r="L1001" s="3">
        <v>2676.77</v>
      </c>
      <c r="M1001" s="4" t="s">
        <v>1255</v>
      </c>
      <c r="N1001" s="3">
        <v>-5413.2646000000004</v>
      </c>
    </row>
    <row r="1002" spans="1:14" x14ac:dyDescent="0.35">
      <c r="A1002">
        <v>1929</v>
      </c>
      <c r="B1002" s="4" t="s">
        <v>870</v>
      </c>
      <c r="C1002" s="4" t="s">
        <v>307</v>
      </c>
      <c r="D1002" s="4" t="s">
        <v>33</v>
      </c>
      <c r="E1002">
        <v>-2</v>
      </c>
      <c r="F1002" s="3">
        <v>3618.48</v>
      </c>
      <c r="G1002" s="2">
        <v>0.66</v>
      </c>
      <c r="H1002" s="3">
        <v>0</v>
      </c>
      <c r="I1002" s="1">
        <v>45438</v>
      </c>
      <c r="J1002" s="4" t="s">
        <v>7</v>
      </c>
      <c r="K1002" s="4" t="s">
        <v>12</v>
      </c>
      <c r="L1002" s="3">
        <v>1383.46</v>
      </c>
      <c r="M1002" s="4" t="s">
        <v>1255</v>
      </c>
      <c r="N1002" s="3">
        <v>-7236.96</v>
      </c>
    </row>
    <row r="1003" spans="1:14" x14ac:dyDescent="0.35">
      <c r="A1003">
        <v>1930</v>
      </c>
      <c r="B1003" s="4" t="s">
        <v>600</v>
      </c>
      <c r="C1003" s="4" t="s">
        <v>701</v>
      </c>
      <c r="D1003" s="4" t="s">
        <v>16</v>
      </c>
      <c r="E1003">
        <v>0</v>
      </c>
      <c r="F1003" s="3">
        <v>3017.82</v>
      </c>
      <c r="G1003" s="2">
        <v>0.66</v>
      </c>
      <c r="H1003" s="3">
        <v>0</v>
      </c>
      <c r="I1003" s="1">
        <v>45438</v>
      </c>
      <c r="J1003" s="4" t="s">
        <v>9</v>
      </c>
      <c r="K1003" s="4" t="s">
        <v>12</v>
      </c>
      <c r="L1003" s="3">
        <v>1257.0999999999999</v>
      </c>
      <c r="M1003" s="4" t="s">
        <v>1255</v>
      </c>
      <c r="N1003" s="3">
        <v>0</v>
      </c>
    </row>
    <row r="1004" spans="1:14" hidden="1" x14ac:dyDescent="0.35">
      <c r="A1004">
        <v>1931</v>
      </c>
      <c r="B1004" s="4" t="s">
        <v>250</v>
      </c>
      <c r="C1004" s="4" t="s">
        <v>368</v>
      </c>
      <c r="D1004" s="4" t="s">
        <v>16</v>
      </c>
      <c r="E1004">
        <v>-1</v>
      </c>
      <c r="F1004" s="3">
        <v>2705.5189</v>
      </c>
      <c r="G1004" s="2">
        <v>0.66</v>
      </c>
      <c r="H1004" s="3">
        <v>0</v>
      </c>
      <c r="I1004" s="1">
        <v>45438</v>
      </c>
      <c r="J1004" s="4" t="s">
        <v>20</v>
      </c>
      <c r="K1004" s="4" t="s">
        <v>40</v>
      </c>
      <c r="L1004" s="3">
        <v>1820.4</v>
      </c>
      <c r="M1004" s="4" t="s">
        <v>1255</v>
      </c>
      <c r="N1004" s="3">
        <v>-2705.5189</v>
      </c>
    </row>
    <row r="1005" spans="1:14" x14ac:dyDescent="0.35">
      <c r="A1005">
        <v>1932</v>
      </c>
      <c r="B1005" s="4" t="s">
        <v>85</v>
      </c>
      <c r="C1005" s="4" t="s">
        <v>871</v>
      </c>
      <c r="D1005" s="4" t="s">
        <v>15</v>
      </c>
      <c r="E1005">
        <v>0</v>
      </c>
      <c r="F1005" s="3">
        <v>436.31</v>
      </c>
      <c r="G1005" s="2">
        <v>0.66</v>
      </c>
      <c r="H1005" s="3">
        <v>0</v>
      </c>
      <c r="I1005" s="1">
        <v>45209</v>
      </c>
      <c r="J1005" s="4" t="s">
        <v>20</v>
      </c>
      <c r="K1005" s="4" t="s">
        <v>12</v>
      </c>
      <c r="L1005" s="3">
        <v>1632.83</v>
      </c>
      <c r="M1005" s="4" t="s">
        <v>1255</v>
      </c>
      <c r="N1005" s="3">
        <v>0</v>
      </c>
    </row>
    <row r="1006" spans="1:14" x14ac:dyDescent="0.35">
      <c r="A1006">
        <v>1933</v>
      </c>
      <c r="B1006" s="4" t="s">
        <v>766</v>
      </c>
      <c r="C1006" s="4" t="s">
        <v>401</v>
      </c>
      <c r="D1006" s="4" t="s">
        <v>34</v>
      </c>
      <c r="E1006">
        <v>0</v>
      </c>
      <c r="F1006" s="3">
        <v>1403.41</v>
      </c>
      <c r="G1006" s="2">
        <v>0.66</v>
      </c>
      <c r="H1006" s="3">
        <v>0</v>
      </c>
      <c r="I1006" s="1">
        <v>45209</v>
      </c>
      <c r="J1006" s="4" t="s">
        <v>20</v>
      </c>
      <c r="K1006" s="4" t="s">
        <v>12</v>
      </c>
      <c r="L1006" s="3">
        <v>635.85</v>
      </c>
      <c r="M1006" s="4" t="s">
        <v>1255</v>
      </c>
      <c r="N1006" s="3">
        <v>0</v>
      </c>
    </row>
    <row r="1007" spans="1:14" hidden="1" x14ac:dyDescent="0.35">
      <c r="A1007">
        <v>1934</v>
      </c>
      <c r="B1007" s="4" t="s">
        <v>379</v>
      </c>
      <c r="C1007" s="4" t="s">
        <v>872</v>
      </c>
      <c r="D1007" s="4" t="s">
        <v>21</v>
      </c>
      <c r="E1007">
        <v>0</v>
      </c>
      <c r="F1007" s="3">
        <v>3369.03</v>
      </c>
      <c r="G1007" s="2">
        <v>0.66</v>
      </c>
      <c r="H1007" s="3">
        <v>0</v>
      </c>
      <c r="I1007" s="1">
        <v>45552</v>
      </c>
      <c r="J1007" s="4" t="s">
        <v>23</v>
      </c>
      <c r="K1007" s="4" t="s">
        <v>40</v>
      </c>
      <c r="L1007" s="3">
        <v>-144.96</v>
      </c>
      <c r="M1007" s="4" t="s">
        <v>1255</v>
      </c>
      <c r="N1007" s="3">
        <v>0</v>
      </c>
    </row>
    <row r="1008" spans="1:14" hidden="1" x14ac:dyDescent="0.35">
      <c r="A1008">
        <v>1935</v>
      </c>
      <c r="B1008" s="4" t="s">
        <v>317</v>
      </c>
      <c r="C1008" s="4" t="s">
        <v>307</v>
      </c>
      <c r="D1008" s="4" t="s">
        <v>10</v>
      </c>
      <c r="E1008">
        <v>6</v>
      </c>
      <c r="F1008" s="3">
        <v>2709.5128</v>
      </c>
      <c r="G1008" s="2">
        <v>0.66</v>
      </c>
      <c r="H1008" s="3">
        <v>0</v>
      </c>
      <c r="I1008" s="1">
        <v>45654</v>
      </c>
      <c r="J1008" s="4" t="s">
        <v>11</v>
      </c>
      <c r="K1008" s="4" t="s">
        <v>40</v>
      </c>
      <c r="L1008" s="3">
        <v>2390.71</v>
      </c>
      <c r="M1008" s="4" t="s">
        <v>1255</v>
      </c>
      <c r="N1008" s="3">
        <v>16257.076800000001</v>
      </c>
    </row>
    <row r="1009" spans="1:14" hidden="1" x14ac:dyDescent="0.35">
      <c r="A1009">
        <v>1936</v>
      </c>
      <c r="B1009" s="4" t="s">
        <v>264</v>
      </c>
      <c r="C1009" s="4" t="s">
        <v>501</v>
      </c>
      <c r="D1009" s="4" t="s">
        <v>32</v>
      </c>
      <c r="E1009">
        <v>5</v>
      </c>
      <c r="F1009" s="3">
        <v>804.78</v>
      </c>
      <c r="G1009" s="2">
        <v>0.66</v>
      </c>
      <c r="H1009" s="3">
        <v>0</v>
      </c>
      <c r="I1009" s="1">
        <v>45667</v>
      </c>
      <c r="J1009" s="4" t="s">
        <v>9</v>
      </c>
      <c r="K1009" s="4" t="s">
        <v>40</v>
      </c>
      <c r="L1009" s="3">
        <v>1109.21</v>
      </c>
      <c r="M1009" s="4" t="s">
        <v>1255</v>
      </c>
      <c r="N1009" s="3">
        <v>4023.9</v>
      </c>
    </row>
    <row r="1010" spans="1:14" x14ac:dyDescent="0.35">
      <c r="A1010">
        <v>1937</v>
      </c>
      <c r="B1010" s="4" t="s">
        <v>250</v>
      </c>
      <c r="C1010" s="4" t="s">
        <v>381</v>
      </c>
      <c r="D1010" s="4" t="s">
        <v>33</v>
      </c>
      <c r="E1010">
        <v>4</v>
      </c>
      <c r="F1010" s="3">
        <v>643.24</v>
      </c>
      <c r="G1010" s="2">
        <v>0.66</v>
      </c>
      <c r="H1010" s="3">
        <v>0</v>
      </c>
      <c r="I1010" s="1">
        <v>45795</v>
      </c>
      <c r="J1010" s="4" t="s">
        <v>9</v>
      </c>
      <c r="K1010" s="4" t="s">
        <v>8</v>
      </c>
      <c r="L1010" s="3">
        <v>1670.97</v>
      </c>
      <c r="M1010" s="4" t="s">
        <v>1255</v>
      </c>
      <c r="N1010" s="3">
        <v>2572.96</v>
      </c>
    </row>
    <row r="1011" spans="1:14" x14ac:dyDescent="0.35">
      <c r="A1011">
        <v>1938</v>
      </c>
      <c r="B1011" s="4" t="s">
        <v>536</v>
      </c>
      <c r="C1011" s="4" t="s">
        <v>727</v>
      </c>
      <c r="D1011" s="4" t="s">
        <v>10</v>
      </c>
      <c r="E1011">
        <v>4</v>
      </c>
      <c r="F1011" s="3">
        <v>2711.0426000000002</v>
      </c>
      <c r="G1011" s="2">
        <v>0.34</v>
      </c>
      <c r="H1011" s="3">
        <v>0</v>
      </c>
      <c r="I1011" s="1">
        <v>45806</v>
      </c>
      <c r="J1011" s="4" t="s">
        <v>23</v>
      </c>
      <c r="K1011" s="4" t="s">
        <v>8</v>
      </c>
      <c r="L1011" s="3">
        <v>-528.58000000000004</v>
      </c>
      <c r="M1011" s="4" t="s">
        <v>1255</v>
      </c>
      <c r="N1011" s="3">
        <v>10844.170400000001</v>
      </c>
    </row>
    <row r="1012" spans="1:14" x14ac:dyDescent="0.35">
      <c r="A1012">
        <v>1939</v>
      </c>
      <c r="B1012" s="4" t="s">
        <v>873</v>
      </c>
      <c r="C1012" s="4" t="s">
        <v>92</v>
      </c>
      <c r="D1012" s="4" t="s">
        <v>34</v>
      </c>
      <c r="E1012">
        <v>0</v>
      </c>
      <c r="F1012" s="3">
        <v>2713.5859999999998</v>
      </c>
      <c r="G1012" s="2">
        <v>0.99</v>
      </c>
      <c r="H1012" s="3">
        <v>0</v>
      </c>
      <c r="I1012" s="1">
        <v>45840</v>
      </c>
      <c r="J1012" s="4" t="s">
        <v>18</v>
      </c>
      <c r="K1012" s="4" t="s">
        <v>12</v>
      </c>
      <c r="L1012" s="3">
        <v>693.96</v>
      </c>
      <c r="M1012" s="4" t="s">
        <v>1255</v>
      </c>
      <c r="N1012" s="3">
        <v>0</v>
      </c>
    </row>
    <row r="1013" spans="1:14" x14ac:dyDescent="0.35">
      <c r="A1013">
        <v>1940</v>
      </c>
      <c r="B1013" s="4" t="s">
        <v>242</v>
      </c>
      <c r="C1013" s="4" t="s">
        <v>78</v>
      </c>
      <c r="D1013" s="4" t="s">
        <v>31</v>
      </c>
      <c r="E1013">
        <v>0</v>
      </c>
      <c r="F1013" s="3">
        <v>3428.02</v>
      </c>
      <c r="G1013" s="2">
        <v>0.659980506822612</v>
      </c>
      <c r="H1013" s="3">
        <v>0</v>
      </c>
      <c r="I1013" s="1">
        <v>45599</v>
      </c>
      <c r="J1013" s="4" t="s">
        <v>11</v>
      </c>
      <c r="K1013" s="4" t="s">
        <v>12</v>
      </c>
      <c r="L1013" s="3">
        <v>-881.03</v>
      </c>
      <c r="M1013" s="4" t="s">
        <v>1255</v>
      </c>
      <c r="N1013" s="3">
        <v>0</v>
      </c>
    </row>
    <row r="1014" spans="1:14" hidden="1" x14ac:dyDescent="0.35">
      <c r="A1014">
        <v>1941</v>
      </c>
      <c r="B1014" s="4" t="s">
        <v>848</v>
      </c>
      <c r="C1014" s="4" t="s">
        <v>374</v>
      </c>
      <c r="D1014" s="4" t="s">
        <v>13</v>
      </c>
      <c r="E1014">
        <v>4</v>
      </c>
      <c r="F1014" s="3">
        <v>2713.5859999999998</v>
      </c>
      <c r="G1014" s="2">
        <v>0.659980506822612</v>
      </c>
      <c r="H1014" s="3">
        <v>0</v>
      </c>
      <c r="I1014" s="1">
        <v>45666</v>
      </c>
      <c r="J1014" s="4" t="s">
        <v>9</v>
      </c>
      <c r="K1014" s="4" t="s">
        <v>40</v>
      </c>
      <c r="L1014" s="3">
        <v>-298.48</v>
      </c>
      <c r="M1014" s="4" t="s">
        <v>1255</v>
      </c>
      <c r="N1014" s="3">
        <v>10854.343999999999</v>
      </c>
    </row>
    <row r="1015" spans="1:14" x14ac:dyDescent="0.35">
      <c r="A1015">
        <v>1942</v>
      </c>
      <c r="B1015" s="4" t="s">
        <v>617</v>
      </c>
      <c r="C1015" s="4" t="s">
        <v>337</v>
      </c>
      <c r="D1015" s="4" t="s">
        <v>10</v>
      </c>
      <c r="E1015">
        <v>0</v>
      </c>
      <c r="F1015" s="3">
        <v>3710.07</v>
      </c>
      <c r="G1015" s="2">
        <v>0.83</v>
      </c>
      <c r="H1015" s="3">
        <v>0</v>
      </c>
      <c r="I1015" s="1">
        <v>45670</v>
      </c>
      <c r="J1015" s="4" t="s">
        <v>11</v>
      </c>
      <c r="K1015" s="4" t="s">
        <v>8</v>
      </c>
      <c r="L1015" s="3">
        <v>2682.86</v>
      </c>
      <c r="M1015" s="4" t="s">
        <v>1255</v>
      </c>
      <c r="N1015" s="3">
        <v>0</v>
      </c>
    </row>
    <row r="1016" spans="1:14" hidden="1" x14ac:dyDescent="0.35">
      <c r="A1016">
        <v>1943</v>
      </c>
      <c r="B1016" s="4" t="s">
        <v>167</v>
      </c>
      <c r="C1016" s="4" t="s">
        <v>874</v>
      </c>
      <c r="D1016" s="4" t="s">
        <v>22</v>
      </c>
      <c r="E1016">
        <v>4</v>
      </c>
      <c r="F1016" s="3">
        <v>3153.49</v>
      </c>
      <c r="G1016" s="2">
        <v>0.65964843750000002</v>
      </c>
      <c r="H1016" s="3">
        <v>0</v>
      </c>
      <c r="I1016" s="1">
        <v>45670</v>
      </c>
      <c r="J1016" s="4" t="s">
        <v>9</v>
      </c>
      <c r="K1016" s="4" t="s">
        <v>40</v>
      </c>
      <c r="L1016" s="3">
        <v>763.19</v>
      </c>
      <c r="M1016" s="4" t="s">
        <v>1255</v>
      </c>
      <c r="N1016" s="3">
        <v>12613.96</v>
      </c>
    </row>
    <row r="1017" spans="1:14" hidden="1" x14ac:dyDescent="0.35">
      <c r="A1017">
        <v>1944</v>
      </c>
      <c r="B1017" s="4" t="s">
        <v>375</v>
      </c>
      <c r="C1017" s="4" t="s">
        <v>783</v>
      </c>
      <c r="D1017" s="4" t="s">
        <v>16</v>
      </c>
      <c r="E1017">
        <v>-1</v>
      </c>
      <c r="F1017" s="3">
        <v>3227.22</v>
      </c>
      <c r="G1017" s="2">
        <v>0.65964843750000002</v>
      </c>
      <c r="H1017" s="3">
        <v>0</v>
      </c>
      <c r="I1017" s="1">
        <v>45670</v>
      </c>
      <c r="J1017" s="4" t="s">
        <v>11</v>
      </c>
      <c r="K1017" s="4" t="s">
        <v>40</v>
      </c>
      <c r="L1017" s="3">
        <v>597.80999999999995</v>
      </c>
      <c r="M1017" s="4" t="s">
        <v>1255</v>
      </c>
      <c r="N1017" s="3">
        <v>-3227.22</v>
      </c>
    </row>
    <row r="1018" spans="1:14" hidden="1" x14ac:dyDescent="0.35">
      <c r="A1018">
        <v>1945</v>
      </c>
      <c r="B1018" s="4" t="s">
        <v>139</v>
      </c>
      <c r="C1018" s="4" t="s">
        <v>604</v>
      </c>
      <c r="D1018" s="4" t="s">
        <v>32</v>
      </c>
      <c r="E1018">
        <v>0</v>
      </c>
      <c r="F1018" s="3">
        <v>2803.56</v>
      </c>
      <c r="G1018" s="2">
        <v>1.05</v>
      </c>
      <c r="H1018" s="3">
        <v>0</v>
      </c>
      <c r="I1018" s="1">
        <v>45631</v>
      </c>
      <c r="J1018" s="4" t="s">
        <v>7</v>
      </c>
      <c r="K1018" s="4" t="s">
        <v>40</v>
      </c>
      <c r="L1018" s="3">
        <v>-624.79</v>
      </c>
      <c r="M1018" s="4" t="s">
        <v>1255</v>
      </c>
      <c r="N1018" s="3">
        <v>0</v>
      </c>
    </row>
    <row r="1019" spans="1:14" x14ac:dyDescent="0.35">
      <c r="A1019">
        <v>1946</v>
      </c>
      <c r="B1019" s="4" t="s">
        <v>167</v>
      </c>
      <c r="C1019" s="4" t="s">
        <v>102</v>
      </c>
      <c r="D1019" s="4" t="s">
        <v>32</v>
      </c>
      <c r="E1019">
        <v>0</v>
      </c>
      <c r="F1019" s="3">
        <v>2355.36</v>
      </c>
      <c r="G1019" s="2">
        <v>0.65888454011741604</v>
      </c>
      <c r="H1019" s="3">
        <v>0</v>
      </c>
      <c r="I1019" s="1">
        <v>45726</v>
      </c>
      <c r="J1019" s="4" t="s">
        <v>7</v>
      </c>
      <c r="K1019" s="4" t="s">
        <v>12</v>
      </c>
      <c r="L1019" s="3">
        <v>2397.33</v>
      </c>
      <c r="M1019" s="4" t="s">
        <v>1255</v>
      </c>
      <c r="N1019" s="3">
        <v>0</v>
      </c>
    </row>
    <row r="1020" spans="1:14" x14ac:dyDescent="0.35">
      <c r="A1020">
        <v>1947</v>
      </c>
      <c r="B1020" s="4" t="s">
        <v>875</v>
      </c>
      <c r="C1020" s="4" t="s">
        <v>876</v>
      </c>
      <c r="D1020" s="4" t="s">
        <v>21</v>
      </c>
      <c r="E1020">
        <v>0</v>
      </c>
      <c r="F1020" s="3">
        <v>2710.1770000000001</v>
      </c>
      <c r="G1020" s="2">
        <v>0.2</v>
      </c>
      <c r="H1020" s="3">
        <v>0</v>
      </c>
      <c r="I1020" s="1">
        <v>45642</v>
      </c>
      <c r="J1020" s="4" t="s">
        <v>11</v>
      </c>
      <c r="K1020" s="4" t="s">
        <v>8</v>
      </c>
      <c r="L1020" s="3">
        <v>1608.36</v>
      </c>
      <c r="M1020" s="4" t="s">
        <v>1255</v>
      </c>
      <c r="N1020" s="3">
        <v>0</v>
      </c>
    </row>
    <row r="1021" spans="1:14" x14ac:dyDescent="0.35">
      <c r="A1021">
        <v>1948</v>
      </c>
      <c r="B1021" s="4" t="s">
        <v>280</v>
      </c>
      <c r="C1021" s="4" t="s">
        <v>564</v>
      </c>
      <c r="D1021" s="4" t="s">
        <v>6</v>
      </c>
      <c r="E1021">
        <v>0</v>
      </c>
      <c r="F1021" s="3">
        <v>2755.59</v>
      </c>
      <c r="G1021" s="2">
        <v>1.06</v>
      </c>
      <c r="H1021" s="3">
        <v>0</v>
      </c>
      <c r="I1021" s="1">
        <v>45722</v>
      </c>
      <c r="J1021" s="4" t="s">
        <v>9</v>
      </c>
      <c r="K1021" s="4" t="s">
        <v>8</v>
      </c>
      <c r="L1021" s="3">
        <v>1058.83</v>
      </c>
      <c r="M1021" s="4" t="s">
        <v>1255</v>
      </c>
      <c r="N1021" s="3">
        <v>0</v>
      </c>
    </row>
    <row r="1022" spans="1:14" hidden="1" x14ac:dyDescent="0.35">
      <c r="A1022">
        <v>1949</v>
      </c>
      <c r="B1022" s="4" t="s">
        <v>264</v>
      </c>
      <c r="C1022" s="4" t="s">
        <v>450</v>
      </c>
      <c r="D1022" s="4" t="s">
        <v>38</v>
      </c>
      <c r="E1022">
        <v>0</v>
      </c>
      <c r="F1022" s="3">
        <v>4000.18</v>
      </c>
      <c r="G1022" s="2">
        <v>0.89</v>
      </c>
      <c r="H1022" s="3">
        <v>0</v>
      </c>
      <c r="I1022" s="1">
        <v>45722</v>
      </c>
      <c r="J1022" s="4" t="s">
        <v>11</v>
      </c>
      <c r="K1022" s="4" t="s">
        <v>40</v>
      </c>
      <c r="L1022" s="3">
        <v>713.58</v>
      </c>
      <c r="M1022" s="4" t="s">
        <v>1255</v>
      </c>
      <c r="N1022" s="3">
        <v>0</v>
      </c>
    </row>
    <row r="1023" spans="1:14" x14ac:dyDescent="0.35">
      <c r="A1023">
        <v>1950</v>
      </c>
      <c r="B1023" s="4" t="s">
        <v>544</v>
      </c>
      <c r="C1023" s="4" t="s">
        <v>877</v>
      </c>
      <c r="D1023" s="4" t="s">
        <v>24</v>
      </c>
      <c r="E1023">
        <v>0</v>
      </c>
      <c r="F1023" s="3">
        <v>2270.65</v>
      </c>
      <c r="G1023" s="2">
        <v>0</v>
      </c>
      <c r="H1023" s="3">
        <v>0</v>
      </c>
      <c r="I1023" s="1">
        <v>45413</v>
      </c>
      <c r="J1023" s="4" t="s">
        <v>9</v>
      </c>
      <c r="K1023" s="4" t="s">
        <v>8</v>
      </c>
      <c r="L1023" s="3">
        <v>2324.34</v>
      </c>
      <c r="M1023" s="4" t="s">
        <v>1255</v>
      </c>
      <c r="N1023" s="3">
        <v>0</v>
      </c>
    </row>
    <row r="1024" spans="1:14" hidden="1" x14ac:dyDescent="0.35">
      <c r="A1024">
        <v>1951</v>
      </c>
      <c r="B1024" s="4" t="s">
        <v>306</v>
      </c>
      <c r="C1024" s="4" t="s">
        <v>261</v>
      </c>
      <c r="D1024" s="4" t="s">
        <v>13</v>
      </c>
      <c r="E1024">
        <v>2</v>
      </c>
      <c r="F1024" s="3">
        <v>2390.4299999999998</v>
      </c>
      <c r="G1024" s="2">
        <v>0.35</v>
      </c>
      <c r="H1024" s="3">
        <v>3107.56</v>
      </c>
      <c r="I1024" s="1">
        <v>45570</v>
      </c>
      <c r="J1024" s="4" t="s">
        <v>7</v>
      </c>
      <c r="K1024" s="4" t="s">
        <v>40</v>
      </c>
      <c r="L1024" s="3">
        <v>-634.86</v>
      </c>
      <c r="M1024" s="4" t="s">
        <v>1256</v>
      </c>
      <c r="N1024" s="3">
        <v>4780.8599999999997</v>
      </c>
    </row>
    <row r="1025" spans="1:14" x14ac:dyDescent="0.35">
      <c r="A1025">
        <v>1952</v>
      </c>
      <c r="B1025" s="4" t="s">
        <v>47</v>
      </c>
      <c r="C1025" s="4" t="s">
        <v>878</v>
      </c>
      <c r="D1025" s="4" t="s">
        <v>32</v>
      </c>
      <c r="E1025">
        <v>5</v>
      </c>
      <c r="F1025" s="3">
        <v>2709.5041000000001</v>
      </c>
      <c r="G1025" s="2">
        <v>0.66045454545454496</v>
      </c>
      <c r="H1025" s="3">
        <v>0</v>
      </c>
      <c r="I1025" s="1">
        <v>45365</v>
      </c>
      <c r="J1025" s="4" t="s">
        <v>20</v>
      </c>
      <c r="K1025" s="4" t="s">
        <v>8</v>
      </c>
      <c r="L1025" s="3">
        <v>2835.63</v>
      </c>
      <c r="M1025" s="4" t="s">
        <v>1255</v>
      </c>
      <c r="N1025" s="3">
        <v>13547.520500000001</v>
      </c>
    </row>
    <row r="1026" spans="1:14" x14ac:dyDescent="0.35">
      <c r="A1026">
        <v>1953</v>
      </c>
      <c r="B1026" s="4" t="s">
        <v>85</v>
      </c>
      <c r="C1026" s="4" t="s">
        <v>446</v>
      </c>
      <c r="D1026" s="4" t="s">
        <v>27</v>
      </c>
      <c r="E1026">
        <v>0</v>
      </c>
      <c r="F1026" s="3">
        <v>2709.9014000000002</v>
      </c>
      <c r="G1026" s="2">
        <v>0.66045454545454496</v>
      </c>
      <c r="H1026" s="3">
        <v>0</v>
      </c>
      <c r="I1026" s="1">
        <v>45642</v>
      </c>
      <c r="J1026" s="4" t="s">
        <v>11</v>
      </c>
      <c r="K1026" s="4" t="s">
        <v>12</v>
      </c>
      <c r="L1026" s="3">
        <v>1996.25</v>
      </c>
      <c r="M1026" s="4" t="s">
        <v>1255</v>
      </c>
      <c r="N1026" s="3">
        <v>0</v>
      </c>
    </row>
    <row r="1027" spans="1:14" hidden="1" x14ac:dyDescent="0.35">
      <c r="A1027">
        <v>1954</v>
      </c>
      <c r="B1027" s="4" t="s">
        <v>879</v>
      </c>
      <c r="C1027" s="4" t="s">
        <v>274</v>
      </c>
      <c r="D1027" s="4" t="s">
        <v>32</v>
      </c>
      <c r="E1027">
        <v>-2</v>
      </c>
      <c r="F1027" s="3">
        <v>2315.7800000000002</v>
      </c>
      <c r="G1027" s="2">
        <v>0.66045454545454496</v>
      </c>
      <c r="H1027" s="3">
        <v>0</v>
      </c>
      <c r="I1027" s="1">
        <v>45803</v>
      </c>
      <c r="J1027" s="4" t="s">
        <v>9</v>
      </c>
      <c r="K1027" s="4" t="s">
        <v>40</v>
      </c>
      <c r="L1027" s="3">
        <v>2501.64</v>
      </c>
      <c r="M1027" s="4" t="s">
        <v>1255</v>
      </c>
      <c r="N1027" s="3">
        <v>-4631.5600000000004</v>
      </c>
    </row>
    <row r="1028" spans="1:14" x14ac:dyDescent="0.35">
      <c r="A1028">
        <v>1955</v>
      </c>
      <c r="B1028" s="4" t="s">
        <v>379</v>
      </c>
      <c r="C1028" s="4" t="s">
        <v>82</v>
      </c>
      <c r="D1028" s="4" t="s">
        <v>22</v>
      </c>
      <c r="E1028">
        <v>1</v>
      </c>
      <c r="F1028" s="3">
        <v>2787.46</v>
      </c>
      <c r="G1028" s="2">
        <v>0.92</v>
      </c>
      <c r="H1028" s="3">
        <v>223</v>
      </c>
      <c r="I1028" s="1">
        <v>45668</v>
      </c>
      <c r="J1028" s="4" t="s">
        <v>11</v>
      </c>
      <c r="K1028" s="4" t="s">
        <v>12</v>
      </c>
      <c r="L1028" s="3">
        <v>2909.73</v>
      </c>
      <c r="M1028" s="4" t="s">
        <v>1256</v>
      </c>
      <c r="N1028" s="3">
        <v>2787.46</v>
      </c>
    </row>
    <row r="1029" spans="1:14" x14ac:dyDescent="0.35">
      <c r="A1029">
        <v>1956</v>
      </c>
      <c r="B1029" s="4" t="s">
        <v>122</v>
      </c>
      <c r="C1029" s="4" t="s">
        <v>329</v>
      </c>
      <c r="D1029" s="4" t="s">
        <v>10</v>
      </c>
      <c r="E1029">
        <v>0</v>
      </c>
      <c r="F1029" s="3">
        <v>2710.3928000000001</v>
      </c>
      <c r="G1029" s="2">
        <v>0.65994059405940597</v>
      </c>
      <c r="H1029" s="3">
        <v>0</v>
      </c>
      <c r="I1029" s="1">
        <v>45661</v>
      </c>
      <c r="J1029" s="4" t="s">
        <v>18</v>
      </c>
      <c r="K1029" s="4" t="s">
        <v>12</v>
      </c>
      <c r="L1029" s="3">
        <v>-850.76</v>
      </c>
      <c r="M1029" s="4" t="s">
        <v>1255</v>
      </c>
      <c r="N1029" s="3">
        <v>0</v>
      </c>
    </row>
    <row r="1030" spans="1:14" hidden="1" x14ac:dyDescent="0.35">
      <c r="A1030">
        <v>1957</v>
      </c>
      <c r="B1030" s="4" t="s">
        <v>610</v>
      </c>
      <c r="C1030" s="4" t="s">
        <v>376</v>
      </c>
      <c r="D1030" s="4" t="s">
        <v>33</v>
      </c>
      <c r="E1030">
        <v>0</v>
      </c>
      <c r="F1030" s="3">
        <v>494.81</v>
      </c>
      <c r="G1030" s="2">
        <v>0.65994059405940597</v>
      </c>
      <c r="H1030" s="3">
        <v>0</v>
      </c>
      <c r="I1030" s="1">
        <v>45256</v>
      </c>
      <c r="J1030" s="4" t="s">
        <v>23</v>
      </c>
      <c r="K1030" s="4" t="s">
        <v>40</v>
      </c>
      <c r="L1030" s="3">
        <v>-35.32</v>
      </c>
      <c r="M1030" s="4" t="s">
        <v>1255</v>
      </c>
      <c r="N1030" s="3">
        <v>0</v>
      </c>
    </row>
    <row r="1031" spans="1:14" hidden="1" x14ac:dyDescent="0.35">
      <c r="A1031">
        <v>1958</v>
      </c>
      <c r="B1031" s="4" t="s">
        <v>130</v>
      </c>
      <c r="C1031" s="4" t="s">
        <v>838</v>
      </c>
      <c r="D1031" s="4" t="s">
        <v>15</v>
      </c>
      <c r="E1031">
        <v>0</v>
      </c>
      <c r="F1031" s="3">
        <v>3068.38</v>
      </c>
      <c r="G1031" s="2">
        <v>0.65994059405940597</v>
      </c>
      <c r="H1031" s="3">
        <v>0</v>
      </c>
      <c r="I1031" s="1">
        <v>45502</v>
      </c>
      <c r="J1031" s="4" t="s">
        <v>18</v>
      </c>
      <c r="K1031" s="4" t="s">
        <v>40</v>
      </c>
      <c r="L1031" s="3">
        <v>2376.6799999999998</v>
      </c>
      <c r="M1031" s="4" t="s">
        <v>1255</v>
      </c>
      <c r="N1031" s="3">
        <v>0</v>
      </c>
    </row>
    <row r="1032" spans="1:14" hidden="1" x14ac:dyDescent="0.35">
      <c r="A1032">
        <v>1959</v>
      </c>
      <c r="B1032" s="4" t="s">
        <v>880</v>
      </c>
      <c r="C1032" s="4" t="s">
        <v>207</v>
      </c>
      <c r="D1032" s="4" t="s">
        <v>30</v>
      </c>
      <c r="E1032">
        <v>0</v>
      </c>
      <c r="F1032" s="3">
        <v>3805.09</v>
      </c>
      <c r="G1032" s="2">
        <v>0.65994059405940597</v>
      </c>
      <c r="H1032" s="3">
        <v>0</v>
      </c>
      <c r="I1032" s="1">
        <v>45502</v>
      </c>
      <c r="J1032" s="4" t="s">
        <v>9</v>
      </c>
      <c r="K1032" s="4" t="s">
        <v>40</v>
      </c>
      <c r="L1032" s="3">
        <v>-476</v>
      </c>
      <c r="M1032" s="4" t="s">
        <v>1255</v>
      </c>
      <c r="N1032" s="3">
        <v>0</v>
      </c>
    </row>
    <row r="1033" spans="1:14" x14ac:dyDescent="0.35">
      <c r="A1033">
        <v>1960</v>
      </c>
      <c r="B1033" s="4" t="s">
        <v>475</v>
      </c>
      <c r="C1033" s="4" t="s">
        <v>526</v>
      </c>
      <c r="D1033" s="4" t="s">
        <v>38</v>
      </c>
      <c r="E1033">
        <v>2</v>
      </c>
      <c r="F1033" s="3">
        <v>1369.81</v>
      </c>
      <c r="G1033" s="2">
        <v>0.67</v>
      </c>
      <c r="H1033" s="3">
        <v>904.07</v>
      </c>
      <c r="I1033" s="1">
        <v>45612</v>
      </c>
      <c r="J1033" s="4" t="s">
        <v>20</v>
      </c>
      <c r="K1033" s="4" t="s">
        <v>12</v>
      </c>
      <c r="L1033" s="3">
        <v>1179.44</v>
      </c>
      <c r="M1033" s="4" t="s">
        <v>1256</v>
      </c>
      <c r="N1033" s="3">
        <v>2739.62</v>
      </c>
    </row>
    <row r="1034" spans="1:14" x14ac:dyDescent="0.35">
      <c r="A1034">
        <v>1961</v>
      </c>
      <c r="B1034" s="4" t="s">
        <v>563</v>
      </c>
      <c r="C1034" s="4" t="s">
        <v>388</v>
      </c>
      <c r="D1034" s="4" t="s">
        <v>30</v>
      </c>
      <c r="E1034">
        <v>0</v>
      </c>
      <c r="F1034" s="3">
        <v>2204.39</v>
      </c>
      <c r="G1034" s="2">
        <v>0.65992063492063502</v>
      </c>
      <c r="H1034" s="3">
        <v>0</v>
      </c>
      <c r="I1034" s="1">
        <v>45374</v>
      </c>
      <c r="J1034" s="4" t="s">
        <v>20</v>
      </c>
      <c r="K1034" s="4" t="s">
        <v>12</v>
      </c>
      <c r="L1034" s="3">
        <v>-546.19000000000005</v>
      </c>
      <c r="M1034" s="4" t="s">
        <v>1255</v>
      </c>
      <c r="N1034" s="3">
        <v>0</v>
      </c>
    </row>
    <row r="1035" spans="1:14" x14ac:dyDescent="0.35">
      <c r="A1035">
        <v>1962</v>
      </c>
      <c r="B1035" s="4" t="s">
        <v>881</v>
      </c>
      <c r="C1035" s="4" t="s">
        <v>812</v>
      </c>
      <c r="D1035" s="4" t="s">
        <v>22</v>
      </c>
      <c r="E1035">
        <v>-2</v>
      </c>
      <c r="F1035" s="3">
        <v>2712.9353999999998</v>
      </c>
      <c r="G1035" s="2">
        <v>0.65992063492063502</v>
      </c>
      <c r="H1035" s="3">
        <v>0</v>
      </c>
      <c r="I1035" s="1">
        <v>45267</v>
      </c>
      <c r="J1035" s="4" t="s">
        <v>7</v>
      </c>
      <c r="K1035" s="4" t="s">
        <v>12</v>
      </c>
      <c r="L1035" s="3">
        <v>1408.3</v>
      </c>
      <c r="M1035" s="4" t="s">
        <v>1255</v>
      </c>
      <c r="N1035" s="3">
        <v>-5425.8707999999997</v>
      </c>
    </row>
    <row r="1036" spans="1:14" x14ac:dyDescent="0.35">
      <c r="A1036">
        <v>1963</v>
      </c>
      <c r="B1036" s="4" t="s">
        <v>882</v>
      </c>
      <c r="C1036" s="4" t="s">
        <v>131</v>
      </c>
      <c r="D1036" s="4" t="s">
        <v>29</v>
      </c>
      <c r="E1036">
        <v>0</v>
      </c>
      <c r="F1036" s="3">
        <v>1935.29</v>
      </c>
      <c r="G1036" s="2">
        <v>0.65992063492063502</v>
      </c>
      <c r="H1036" s="3">
        <v>0</v>
      </c>
      <c r="I1036" s="1">
        <v>45525</v>
      </c>
      <c r="J1036" s="4" t="s">
        <v>11</v>
      </c>
      <c r="K1036" s="4" t="s">
        <v>12</v>
      </c>
      <c r="L1036" s="3">
        <v>-114.47</v>
      </c>
      <c r="M1036" s="4" t="s">
        <v>1255</v>
      </c>
      <c r="N1036" s="3">
        <v>0</v>
      </c>
    </row>
    <row r="1037" spans="1:14" x14ac:dyDescent="0.35">
      <c r="A1037">
        <v>1964</v>
      </c>
      <c r="B1037" s="4" t="s">
        <v>743</v>
      </c>
      <c r="C1037" s="4" t="s">
        <v>175</v>
      </c>
      <c r="D1037" s="4" t="s">
        <v>37</v>
      </c>
      <c r="E1037">
        <v>-2</v>
      </c>
      <c r="F1037" s="3">
        <v>2713.5743000000002</v>
      </c>
      <c r="G1037" s="2">
        <v>0.65992063492063502</v>
      </c>
      <c r="H1037" s="3">
        <v>0</v>
      </c>
      <c r="I1037" s="1">
        <v>45525</v>
      </c>
      <c r="J1037" s="4" t="s">
        <v>18</v>
      </c>
      <c r="K1037" s="4" t="s">
        <v>12</v>
      </c>
      <c r="L1037" s="3">
        <v>2202.2800000000002</v>
      </c>
      <c r="M1037" s="4" t="s">
        <v>1255</v>
      </c>
      <c r="N1037" s="3">
        <v>-5427.1486000000004</v>
      </c>
    </row>
    <row r="1038" spans="1:14" x14ac:dyDescent="0.35">
      <c r="A1038">
        <v>1965</v>
      </c>
      <c r="B1038" s="4" t="s">
        <v>366</v>
      </c>
      <c r="C1038" s="4" t="s">
        <v>44</v>
      </c>
      <c r="D1038" s="4" t="s">
        <v>31</v>
      </c>
      <c r="E1038">
        <v>0</v>
      </c>
      <c r="F1038" s="3">
        <v>2714.5531999999998</v>
      </c>
      <c r="G1038" s="2">
        <v>0.65992063492063502</v>
      </c>
      <c r="H1038" s="3">
        <v>0</v>
      </c>
      <c r="I1038" s="1">
        <v>45689</v>
      </c>
      <c r="J1038" s="4" t="s">
        <v>20</v>
      </c>
      <c r="K1038" s="4" t="s">
        <v>12</v>
      </c>
      <c r="L1038" s="3">
        <v>2663.36</v>
      </c>
      <c r="M1038" s="4" t="s">
        <v>1255</v>
      </c>
      <c r="N1038" s="3">
        <v>0</v>
      </c>
    </row>
    <row r="1039" spans="1:14" x14ac:dyDescent="0.35">
      <c r="A1039">
        <v>1966</v>
      </c>
      <c r="B1039" s="4" t="s">
        <v>159</v>
      </c>
      <c r="C1039" s="4" t="s">
        <v>883</v>
      </c>
      <c r="D1039" s="4" t="s">
        <v>13</v>
      </c>
      <c r="E1039">
        <v>0</v>
      </c>
      <c r="F1039" s="3">
        <v>2714.5531999999998</v>
      </c>
      <c r="G1039" s="2">
        <v>0.65992063492063502</v>
      </c>
      <c r="H1039" s="3">
        <v>0</v>
      </c>
      <c r="I1039" s="1">
        <v>45689</v>
      </c>
      <c r="J1039" s="4" t="s">
        <v>20</v>
      </c>
      <c r="K1039" s="4" t="s">
        <v>12</v>
      </c>
      <c r="L1039" s="3">
        <v>2887.5</v>
      </c>
      <c r="M1039" s="4" t="s">
        <v>1255</v>
      </c>
      <c r="N1039" s="3">
        <v>0</v>
      </c>
    </row>
    <row r="1040" spans="1:14" x14ac:dyDescent="0.35">
      <c r="A1040">
        <v>1967</v>
      </c>
      <c r="B1040" s="4" t="s">
        <v>85</v>
      </c>
      <c r="C1040" s="4" t="s">
        <v>74</v>
      </c>
      <c r="D1040" s="4" t="s">
        <v>28</v>
      </c>
      <c r="E1040">
        <v>0</v>
      </c>
      <c r="F1040" s="3">
        <v>2714.5531999999998</v>
      </c>
      <c r="G1040" s="2">
        <v>0.65992063492063502</v>
      </c>
      <c r="H1040" s="3">
        <v>0</v>
      </c>
      <c r="I1040" s="1">
        <v>45689</v>
      </c>
      <c r="J1040" s="4" t="s">
        <v>9</v>
      </c>
      <c r="K1040" s="4" t="s">
        <v>12</v>
      </c>
      <c r="L1040" s="3">
        <v>1310.86</v>
      </c>
      <c r="M1040" s="4" t="s">
        <v>1255</v>
      </c>
      <c r="N1040" s="3">
        <v>0</v>
      </c>
    </row>
    <row r="1041" spans="1:14" hidden="1" x14ac:dyDescent="0.35">
      <c r="A1041">
        <v>1968</v>
      </c>
      <c r="B1041" s="4" t="s">
        <v>587</v>
      </c>
      <c r="C1041" s="4" t="s">
        <v>884</v>
      </c>
      <c r="D1041" s="4" t="s">
        <v>10</v>
      </c>
      <c r="E1041">
        <v>5</v>
      </c>
      <c r="F1041" s="3">
        <v>2714.5531999999998</v>
      </c>
      <c r="G1041" s="2">
        <v>0.65992063492063502</v>
      </c>
      <c r="H1041" s="3">
        <v>0</v>
      </c>
      <c r="I1041" s="1">
        <v>45855</v>
      </c>
      <c r="J1041" s="4" t="s">
        <v>18</v>
      </c>
      <c r="K1041" s="4" t="s">
        <v>40</v>
      </c>
      <c r="L1041" s="3">
        <v>-168.76</v>
      </c>
      <c r="M1041" s="4" t="s">
        <v>1255</v>
      </c>
      <c r="N1041" s="3">
        <v>13572.766</v>
      </c>
    </row>
    <row r="1042" spans="1:14" x14ac:dyDescent="0.35">
      <c r="A1042">
        <v>1969</v>
      </c>
      <c r="B1042" s="4" t="s">
        <v>347</v>
      </c>
      <c r="C1042" s="4" t="s">
        <v>885</v>
      </c>
      <c r="D1042" s="4" t="s">
        <v>6</v>
      </c>
      <c r="E1042">
        <v>0</v>
      </c>
      <c r="F1042" s="3">
        <v>2153.5700000000002</v>
      </c>
      <c r="G1042" s="2">
        <v>0.65992063492063502</v>
      </c>
      <c r="H1042" s="3">
        <v>0</v>
      </c>
      <c r="I1042" s="1">
        <v>45612</v>
      </c>
      <c r="J1042" s="4" t="s">
        <v>11</v>
      </c>
      <c r="K1042" s="4" t="s">
        <v>8</v>
      </c>
      <c r="L1042" s="3">
        <v>1200.02</v>
      </c>
      <c r="M1042" s="4" t="s">
        <v>1255</v>
      </c>
      <c r="N1042" s="3">
        <v>0</v>
      </c>
    </row>
    <row r="1043" spans="1:14" hidden="1" x14ac:dyDescent="0.35">
      <c r="A1043">
        <v>1970</v>
      </c>
      <c r="B1043" s="4" t="s">
        <v>886</v>
      </c>
      <c r="C1043" s="4" t="s">
        <v>197</v>
      </c>
      <c r="D1043" s="4" t="s">
        <v>30</v>
      </c>
      <c r="E1043">
        <v>6</v>
      </c>
      <c r="F1043" s="3">
        <v>2714.5531999999998</v>
      </c>
      <c r="G1043" s="2">
        <v>0.65992063492063502</v>
      </c>
      <c r="H1043" s="3">
        <v>0</v>
      </c>
      <c r="I1043" s="1">
        <v>45612</v>
      </c>
      <c r="J1043" s="4" t="s">
        <v>20</v>
      </c>
      <c r="K1043" s="4" t="s">
        <v>40</v>
      </c>
      <c r="L1043" s="3">
        <v>1016.11</v>
      </c>
      <c r="M1043" s="4" t="s">
        <v>1255</v>
      </c>
      <c r="N1043" s="3">
        <v>16287.3192</v>
      </c>
    </row>
    <row r="1044" spans="1:14" x14ac:dyDescent="0.35">
      <c r="A1044">
        <v>1971</v>
      </c>
      <c r="B1044" s="4" t="s">
        <v>141</v>
      </c>
      <c r="C1044" s="4" t="s">
        <v>772</v>
      </c>
      <c r="D1044" s="4" t="s">
        <v>19</v>
      </c>
      <c r="E1044">
        <v>0</v>
      </c>
      <c r="F1044" s="3">
        <v>4746.5200000000004</v>
      </c>
      <c r="G1044" s="2">
        <v>0.65992063492063502</v>
      </c>
      <c r="H1044" s="3">
        <v>0</v>
      </c>
      <c r="I1044" s="1">
        <v>45629</v>
      </c>
      <c r="J1044" s="4" t="s">
        <v>11</v>
      </c>
      <c r="K1044" s="4" t="s">
        <v>12</v>
      </c>
      <c r="L1044" s="3">
        <v>1981.22</v>
      </c>
      <c r="M1044" s="4" t="s">
        <v>1255</v>
      </c>
      <c r="N1044" s="3">
        <v>0</v>
      </c>
    </row>
    <row r="1045" spans="1:14" x14ac:dyDescent="0.35">
      <c r="A1045">
        <v>1972</v>
      </c>
      <c r="B1045" s="4" t="s">
        <v>359</v>
      </c>
      <c r="C1045" s="4" t="s">
        <v>682</v>
      </c>
      <c r="D1045" s="4" t="s">
        <v>27</v>
      </c>
      <c r="E1045">
        <v>-1</v>
      </c>
      <c r="F1045" s="3">
        <v>2715.2597999999998</v>
      </c>
      <c r="G1045" s="2">
        <v>0.65992063492063502</v>
      </c>
      <c r="H1045" s="3">
        <v>0</v>
      </c>
      <c r="I1045" s="1">
        <v>45525</v>
      </c>
      <c r="J1045" s="4" t="s">
        <v>7</v>
      </c>
      <c r="K1045" s="4" t="s">
        <v>8</v>
      </c>
      <c r="L1045" s="3">
        <v>-161.86000000000001</v>
      </c>
      <c r="M1045" s="4" t="s">
        <v>1255</v>
      </c>
      <c r="N1045" s="3">
        <v>-2715.2597999999998</v>
      </c>
    </row>
    <row r="1046" spans="1:14" x14ac:dyDescent="0.35">
      <c r="A1046">
        <v>1973</v>
      </c>
      <c r="B1046" s="4" t="s">
        <v>56</v>
      </c>
      <c r="C1046" s="4" t="s">
        <v>142</v>
      </c>
      <c r="D1046" s="4" t="s">
        <v>35</v>
      </c>
      <c r="E1046">
        <v>0</v>
      </c>
      <c r="F1046" s="3">
        <v>2712.6983</v>
      </c>
      <c r="G1046" s="2">
        <v>0.65992063492063502</v>
      </c>
      <c r="H1046" s="3">
        <v>0</v>
      </c>
      <c r="I1046" s="1">
        <v>45745</v>
      </c>
      <c r="J1046" s="4" t="s">
        <v>20</v>
      </c>
      <c r="K1046" s="4" t="s">
        <v>8</v>
      </c>
      <c r="L1046" s="3">
        <v>838.06</v>
      </c>
      <c r="M1046" s="4" t="s">
        <v>1255</v>
      </c>
      <c r="N1046" s="3">
        <v>0</v>
      </c>
    </row>
    <row r="1047" spans="1:14" x14ac:dyDescent="0.35">
      <c r="A1047">
        <v>1974</v>
      </c>
      <c r="B1047" s="4" t="s">
        <v>132</v>
      </c>
      <c r="C1047" s="4" t="s">
        <v>353</v>
      </c>
      <c r="D1047" s="4" t="s">
        <v>32</v>
      </c>
      <c r="E1047">
        <v>0</v>
      </c>
      <c r="F1047" s="3">
        <v>3286.66</v>
      </c>
      <c r="G1047" s="2">
        <v>0.65992063492063502</v>
      </c>
      <c r="H1047" s="3">
        <v>0</v>
      </c>
      <c r="I1047" s="1">
        <v>45745</v>
      </c>
      <c r="J1047" s="4" t="s">
        <v>9</v>
      </c>
      <c r="K1047" s="4" t="s">
        <v>12</v>
      </c>
      <c r="L1047" s="3">
        <v>1019.91</v>
      </c>
      <c r="M1047" s="4" t="s">
        <v>1255</v>
      </c>
      <c r="N1047" s="3">
        <v>0</v>
      </c>
    </row>
    <row r="1048" spans="1:14" x14ac:dyDescent="0.35">
      <c r="A1048">
        <v>1975</v>
      </c>
      <c r="B1048" s="4" t="s">
        <v>132</v>
      </c>
      <c r="C1048" s="4" t="s">
        <v>95</v>
      </c>
      <c r="D1048" s="4" t="s">
        <v>26</v>
      </c>
      <c r="E1048">
        <v>0</v>
      </c>
      <c r="F1048" s="3">
        <v>3853.49</v>
      </c>
      <c r="G1048" s="2">
        <v>0.65992063492063502</v>
      </c>
      <c r="H1048" s="3">
        <v>0</v>
      </c>
      <c r="I1048" s="1">
        <v>45745</v>
      </c>
      <c r="J1048" s="4" t="s">
        <v>11</v>
      </c>
      <c r="K1048" s="4" t="s">
        <v>12</v>
      </c>
      <c r="L1048" s="3">
        <v>77.2</v>
      </c>
      <c r="M1048" s="4" t="s">
        <v>1255</v>
      </c>
      <c r="N1048" s="3">
        <v>0</v>
      </c>
    </row>
    <row r="1049" spans="1:14" x14ac:dyDescent="0.35">
      <c r="A1049">
        <v>1976</v>
      </c>
      <c r="B1049" s="4" t="s">
        <v>220</v>
      </c>
      <c r="C1049" s="4" t="s">
        <v>887</v>
      </c>
      <c r="D1049" s="4" t="s">
        <v>32</v>
      </c>
      <c r="E1049">
        <v>0</v>
      </c>
      <c r="F1049" s="3">
        <v>4363.08</v>
      </c>
      <c r="G1049" s="2">
        <v>0.65992063492063502</v>
      </c>
      <c r="H1049" s="3">
        <v>0</v>
      </c>
      <c r="I1049" s="1">
        <v>45803</v>
      </c>
      <c r="J1049" s="4" t="s">
        <v>7</v>
      </c>
      <c r="K1049" s="4" t="s">
        <v>8</v>
      </c>
      <c r="L1049" s="3">
        <v>-16.09</v>
      </c>
      <c r="M1049" s="4" t="s">
        <v>1255</v>
      </c>
      <c r="N1049" s="3">
        <v>0</v>
      </c>
    </row>
    <row r="1050" spans="1:14" hidden="1" x14ac:dyDescent="0.35">
      <c r="A1050">
        <v>1977</v>
      </c>
      <c r="B1050" s="4" t="s">
        <v>121</v>
      </c>
      <c r="C1050" s="4" t="s">
        <v>483</v>
      </c>
      <c r="D1050" s="4" t="s">
        <v>37</v>
      </c>
      <c r="E1050">
        <v>2</v>
      </c>
      <c r="F1050" s="3">
        <v>4126.29</v>
      </c>
      <c r="G1050" s="2">
        <v>0.65992063492063502</v>
      </c>
      <c r="H1050" s="3">
        <v>0</v>
      </c>
      <c r="I1050" s="1">
        <v>45803</v>
      </c>
      <c r="J1050" s="4" t="s">
        <v>11</v>
      </c>
      <c r="K1050" s="4" t="s">
        <v>40</v>
      </c>
      <c r="L1050" s="3">
        <v>-578.63</v>
      </c>
      <c r="M1050" s="4" t="s">
        <v>1255</v>
      </c>
      <c r="N1050" s="3">
        <v>8252.58</v>
      </c>
    </row>
    <row r="1051" spans="1:14" hidden="1" x14ac:dyDescent="0.35">
      <c r="A1051">
        <v>1978</v>
      </c>
      <c r="B1051" s="4" t="s">
        <v>260</v>
      </c>
      <c r="C1051" s="4" t="s">
        <v>888</v>
      </c>
      <c r="D1051" s="4" t="s">
        <v>26</v>
      </c>
      <c r="E1051">
        <v>4</v>
      </c>
      <c r="F1051" s="3">
        <v>2708.4386</v>
      </c>
      <c r="G1051" s="2">
        <v>0.65992063492063502</v>
      </c>
      <c r="H1051" s="3">
        <v>0</v>
      </c>
      <c r="I1051" s="1">
        <v>45522</v>
      </c>
      <c r="J1051" s="4" t="s">
        <v>11</v>
      </c>
      <c r="K1051" s="4" t="s">
        <v>40</v>
      </c>
      <c r="L1051" s="3">
        <v>-120.11</v>
      </c>
      <c r="M1051" s="4" t="s">
        <v>1255</v>
      </c>
      <c r="N1051" s="3">
        <v>10833.7544</v>
      </c>
    </row>
    <row r="1052" spans="1:14" x14ac:dyDescent="0.35">
      <c r="A1052">
        <v>1979</v>
      </c>
      <c r="B1052" s="4" t="s">
        <v>50</v>
      </c>
      <c r="C1052" s="4" t="s">
        <v>339</v>
      </c>
      <c r="D1052" s="4" t="s">
        <v>31</v>
      </c>
      <c r="E1052">
        <v>-2</v>
      </c>
      <c r="F1052" s="3">
        <v>4375.7</v>
      </c>
      <c r="G1052" s="2">
        <v>0.91</v>
      </c>
      <c r="H1052" s="3">
        <v>-787.63</v>
      </c>
      <c r="I1052" s="1">
        <v>45821</v>
      </c>
      <c r="J1052" s="4" t="s">
        <v>18</v>
      </c>
      <c r="K1052" s="4" t="s">
        <v>12</v>
      </c>
      <c r="L1052" s="3">
        <v>250.46</v>
      </c>
      <c r="M1052" s="4" t="s">
        <v>1255</v>
      </c>
      <c r="N1052" s="3">
        <v>-8751.4</v>
      </c>
    </row>
    <row r="1053" spans="1:14" x14ac:dyDescent="0.35">
      <c r="A1053">
        <v>1980</v>
      </c>
      <c r="B1053" s="4" t="s">
        <v>317</v>
      </c>
      <c r="C1053" s="4" t="s">
        <v>889</v>
      </c>
      <c r="D1053" s="4" t="s">
        <v>35</v>
      </c>
      <c r="E1053">
        <v>1</v>
      </c>
      <c r="F1053" s="3">
        <v>1426.73</v>
      </c>
      <c r="G1053" s="2">
        <v>0.65942345924453205</v>
      </c>
      <c r="H1053" s="3">
        <v>0</v>
      </c>
      <c r="I1053" s="1">
        <v>45207</v>
      </c>
      <c r="J1053" s="4" t="s">
        <v>20</v>
      </c>
      <c r="K1053" s="4" t="s">
        <v>8</v>
      </c>
      <c r="L1053" s="3">
        <v>2451.9899999999998</v>
      </c>
      <c r="M1053" s="4" t="s">
        <v>1255</v>
      </c>
      <c r="N1053" s="3">
        <v>1426.73</v>
      </c>
    </row>
    <row r="1054" spans="1:14" x14ac:dyDescent="0.35">
      <c r="A1054">
        <v>1981</v>
      </c>
      <c r="B1054" s="4" t="s">
        <v>745</v>
      </c>
      <c r="C1054" s="4" t="s">
        <v>99</v>
      </c>
      <c r="D1054" s="4" t="s">
        <v>24</v>
      </c>
      <c r="E1054">
        <v>0</v>
      </c>
      <c r="F1054" s="3">
        <v>2704.5234999999998</v>
      </c>
      <c r="G1054" s="2">
        <v>0.65942345924453205</v>
      </c>
      <c r="H1054" s="3">
        <v>0</v>
      </c>
      <c r="I1054" s="1">
        <v>45207</v>
      </c>
      <c r="J1054" s="4" t="s">
        <v>7</v>
      </c>
      <c r="K1054" s="4" t="s">
        <v>12</v>
      </c>
      <c r="L1054" s="3">
        <v>1171.6500000000001</v>
      </c>
      <c r="M1054" s="4" t="s">
        <v>1255</v>
      </c>
      <c r="N1054" s="3">
        <v>0</v>
      </c>
    </row>
    <row r="1055" spans="1:14" hidden="1" x14ac:dyDescent="0.35">
      <c r="A1055">
        <v>1982</v>
      </c>
      <c r="B1055" s="4" t="s">
        <v>673</v>
      </c>
      <c r="C1055" s="4" t="s">
        <v>149</v>
      </c>
      <c r="D1055" s="4" t="s">
        <v>25</v>
      </c>
      <c r="E1055">
        <v>0</v>
      </c>
      <c r="F1055" s="3">
        <v>3701.72</v>
      </c>
      <c r="G1055" s="2">
        <v>0.65942345924453205</v>
      </c>
      <c r="H1055" s="3">
        <v>0</v>
      </c>
      <c r="I1055" s="1">
        <v>45207</v>
      </c>
      <c r="J1055" s="4" t="s">
        <v>9</v>
      </c>
      <c r="K1055" s="4" t="s">
        <v>40</v>
      </c>
      <c r="L1055" s="3">
        <v>1936.33</v>
      </c>
      <c r="M1055" s="4" t="s">
        <v>1255</v>
      </c>
      <c r="N1055" s="3">
        <v>0</v>
      </c>
    </row>
    <row r="1056" spans="1:14" x14ac:dyDescent="0.35">
      <c r="A1056">
        <v>1983</v>
      </c>
      <c r="B1056" s="4" t="s">
        <v>475</v>
      </c>
      <c r="C1056" s="4" t="s">
        <v>336</v>
      </c>
      <c r="D1056" s="4" t="s">
        <v>27</v>
      </c>
      <c r="E1056">
        <v>0</v>
      </c>
      <c r="F1056" s="3">
        <v>2348.2600000000002</v>
      </c>
      <c r="G1056" s="2">
        <v>0.65942345924453205</v>
      </c>
      <c r="H1056" s="3">
        <v>0</v>
      </c>
      <c r="I1056" s="1">
        <v>45756</v>
      </c>
      <c r="J1056" s="4" t="s">
        <v>18</v>
      </c>
      <c r="K1056" s="4" t="s">
        <v>12</v>
      </c>
      <c r="L1056" s="3">
        <v>358.59</v>
      </c>
      <c r="M1056" s="4" t="s">
        <v>1255</v>
      </c>
      <c r="N1056" s="3">
        <v>0</v>
      </c>
    </row>
    <row r="1057" spans="1:14" x14ac:dyDescent="0.35">
      <c r="A1057">
        <v>1984</v>
      </c>
      <c r="B1057" s="4" t="s">
        <v>65</v>
      </c>
      <c r="C1057" s="4" t="s">
        <v>242</v>
      </c>
      <c r="D1057" s="4" t="s">
        <v>24</v>
      </c>
      <c r="E1057">
        <v>0</v>
      </c>
      <c r="F1057" s="3">
        <v>2704.8805000000002</v>
      </c>
      <c r="G1057" s="2">
        <v>1.25</v>
      </c>
      <c r="H1057" s="3">
        <v>0</v>
      </c>
      <c r="I1057" s="1">
        <v>45555</v>
      </c>
      <c r="J1057" s="4" t="s">
        <v>18</v>
      </c>
      <c r="K1057" s="4" t="s">
        <v>12</v>
      </c>
      <c r="L1057" s="3">
        <v>881.47</v>
      </c>
      <c r="M1057" s="4" t="s">
        <v>1255</v>
      </c>
      <c r="N1057" s="3">
        <v>0</v>
      </c>
    </row>
    <row r="1058" spans="1:14" hidden="1" x14ac:dyDescent="0.35">
      <c r="A1058">
        <v>1985</v>
      </c>
      <c r="B1058" s="4" t="s">
        <v>435</v>
      </c>
      <c r="C1058" s="4" t="s">
        <v>691</v>
      </c>
      <c r="D1058" s="4" t="s">
        <v>29</v>
      </c>
      <c r="E1058">
        <v>0</v>
      </c>
      <c r="F1058" s="3">
        <v>1668.18</v>
      </c>
      <c r="G1058" s="2">
        <v>0.63</v>
      </c>
      <c r="H1058" s="3">
        <v>0</v>
      </c>
      <c r="I1058" s="1">
        <v>45638</v>
      </c>
      <c r="J1058" s="4" t="s">
        <v>7</v>
      </c>
      <c r="K1058" s="4" t="s">
        <v>40</v>
      </c>
      <c r="L1058" s="3">
        <v>-553.53</v>
      </c>
      <c r="M1058" s="4" t="s">
        <v>1255</v>
      </c>
      <c r="N1058" s="3">
        <v>0</v>
      </c>
    </row>
    <row r="1059" spans="1:14" hidden="1" x14ac:dyDescent="0.35">
      <c r="A1059">
        <v>1986</v>
      </c>
      <c r="B1059" s="4" t="s">
        <v>111</v>
      </c>
      <c r="C1059" s="4" t="s">
        <v>236</v>
      </c>
      <c r="D1059" s="4" t="s">
        <v>17</v>
      </c>
      <c r="E1059">
        <v>0</v>
      </c>
      <c r="F1059" s="3">
        <v>2705.3348000000001</v>
      </c>
      <c r="G1059" s="2">
        <v>0.06</v>
      </c>
      <c r="H1059" s="3">
        <v>0</v>
      </c>
      <c r="I1059" s="1">
        <v>45672</v>
      </c>
      <c r="J1059" s="4" t="s">
        <v>23</v>
      </c>
      <c r="K1059" s="4" t="s">
        <v>40</v>
      </c>
      <c r="L1059" s="3">
        <v>2806.51</v>
      </c>
      <c r="M1059" s="4" t="s">
        <v>1255</v>
      </c>
      <c r="N1059" s="3">
        <v>0</v>
      </c>
    </row>
    <row r="1060" spans="1:14" hidden="1" x14ac:dyDescent="0.35">
      <c r="A1060">
        <v>1987</v>
      </c>
      <c r="B1060" s="4" t="s">
        <v>341</v>
      </c>
      <c r="C1060" s="4" t="s">
        <v>890</v>
      </c>
      <c r="D1060" s="4" t="s">
        <v>14</v>
      </c>
      <c r="E1060">
        <v>0</v>
      </c>
      <c r="F1060" s="3">
        <v>2706.6577000000002</v>
      </c>
      <c r="G1060" s="2">
        <v>0.8</v>
      </c>
      <c r="H1060" s="3">
        <v>0</v>
      </c>
      <c r="I1060" s="1">
        <v>45667</v>
      </c>
      <c r="J1060" s="4" t="s">
        <v>23</v>
      </c>
      <c r="K1060" s="4" t="s">
        <v>40</v>
      </c>
      <c r="L1060" s="3">
        <v>2732.84</v>
      </c>
      <c r="M1060" s="4" t="s">
        <v>1255</v>
      </c>
      <c r="N1060" s="3">
        <v>0</v>
      </c>
    </row>
    <row r="1061" spans="1:14" x14ac:dyDescent="0.35">
      <c r="A1061">
        <v>1988</v>
      </c>
      <c r="B1061" s="4" t="s">
        <v>705</v>
      </c>
      <c r="C1061" s="4" t="s">
        <v>889</v>
      </c>
      <c r="D1061" s="4" t="s">
        <v>29</v>
      </c>
      <c r="E1061">
        <v>0</v>
      </c>
      <c r="F1061" s="3">
        <v>2706.6577000000002</v>
      </c>
      <c r="G1061" s="2">
        <v>0.65921843687374704</v>
      </c>
      <c r="H1061" s="3">
        <v>0</v>
      </c>
      <c r="I1061" s="1">
        <v>45741</v>
      </c>
      <c r="J1061" s="4" t="s">
        <v>18</v>
      </c>
      <c r="K1061" s="4" t="s">
        <v>12</v>
      </c>
      <c r="L1061" s="3">
        <v>-298.07</v>
      </c>
      <c r="M1061" s="4" t="s">
        <v>1255</v>
      </c>
      <c r="N1061" s="3">
        <v>0</v>
      </c>
    </row>
    <row r="1062" spans="1:14" hidden="1" x14ac:dyDescent="0.35">
      <c r="A1062">
        <v>1989</v>
      </c>
      <c r="B1062" s="4" t="s">
        <v>734</v>
      </c>
      <c r="C1062" s="4" t="s">
        <v>891</v>
      </c>
      <c r="D1062" s="4" t="s">
        <v>15</v>
      </c>
      <c r="E1062">
        <v>0</v>
      </c>
      <c r="F1062" s="3">
        <v>2706.6577000000002</v>
      </c>
      <c r="G1062" s="2">
        <v>0.65921843687374704</v>
      </c>
      <c r="H1062" s="3">
        <v>0</v>
      </c>
      <c r="I1062" s="1">
        <v>45740</v>
      </c>
      <c r="J1062" s="4" t="s">
        <v>9</v>
      </c>
      <c r="K1062" s="4" t="s">
        <v>40</v>
      </c>
      <c r="L1062" s="3">
        <v>2646.08</v>
      </c>
      <c r="M1062" s="4" t="s">
        <v>1255</v>
      </c>
      <c r="N1062" s="3">
        <v>0</v>
      </c>
    </row>
    <row r="1063" spans="1:14" x14ac:dyDescent="0.35">
      <c r="A1063">
        <v>1990</v>
      </c>
      <c r="B1063" s="4" t="s">
        <v>506</v>
      </c>
      <c r="C1063" s="4" t="s">
        <v>892</v>
      </c>
      <c r="D1063" s="4" t="s">
        <v>16</v>
      </c>
      <c r="E1063">
        <v>-1</v>
      </c>
      <c r="F1063" s="3">
        <v>1203.45</v>
      </c>
      <c r="G1063" s="2">
        <v>0.65921843687374704</v>
      </c>
      <c r="H1063" s="3">
        <v>0</v>
      </c>
      <c r="I1063" s="1">
        <v>45774</v>
      </c>
      <c r="J1063" s="4" t="s">
        <v>7</v>
      </c>
      <c r="K1063" s="4" t="s">
        <v>8</v>
      </c>
      <c r="L1063" s="3">
        <v>1184.3599999999999</v>
      </c>
      <c r="M1063" s="4" t="s">
        <v>1255</v>
      </c>
      <c r="N1063" s="3">
        <v>-1203.45</v>
      </c>
    </row>
    <row r="1064" spans="1:14" x14ac:dyDescent="0.35">
      <c r="A1064">
        <v>1991</v>
      </c>
      <c r="B1064" s="4" t="s">
        <v>893</v>
      </c>
      <c r="C1064" s="4" t="s">
        <v>257</v>
      </c>
      <c r="D1064" s="4" t="s">
        <v>34</v>
      </c>
      <c r="E1064">
        <v>0</v>
      </c>
      <c r="F1064" s="3">
        <v>2808.46</v>
      </c>
      <c r="G1064" s="2">
        <v>0.67</v>
      </c>
      <c r="H1064" s="3">
        <v>0</v>
      </c>
      <c r="I1064" s="1">
        <v>45774</v>
      </c>
      <c r="J1064" s="4" t="s">
        <v>11</v>
      </c>
      <c r="K1064" s="4" t="s">
        <v>8</v>
      </c>
      <c r="L1064" s="3">
        <v>1592.37</v>
      </c>
      <c r="M1064" s="4" t="s">
        <v>1255</v>
      </c>
      <c r="N1064" s="3">
        <v>0</v>
      </c>
    </row>
    <row r="1065" spans="1:14" x14ac:dyDescent="0.35">
      <c r="A1065">
        <v>1992</v>
      </c>
      <c r="B1065" s="4" t="s">
        <v>312</v>
      </c>
      <c r="C1065" s="4" t="s">
        <v>61</v>
      </c>
      <c r="D1065" s="4" t="s">
        <v>26</v>
      </c>
      <c r="E1065">
        <v>0</v>
      </c>
      <c r="F1065" s="3">
        <v>2708.5774999999999</v>
      </c>
      <c r="G1065" s="2">
        <v>0.72</v>
      </c>
      <c r="H1065" s="3">
        <v>0</v>
      </c>
      <c r="I1065" s="1">
        <v>45774</v>
      </c>
      <c r="J1065" s="4" t="s">
        <v>18</v>
      </c>
      <c r="K1065" s="4" t="s">
        <v>12</v>
      </c>
      <c r="L1065" s="3">
        <v>2416.37</v>
      </c>
      <c r="M1065" s="4" t="s">
        <v>1255</v>
      </c>
      <c r="N1065" s="3">
        <v>0</v>
      </c>
    </row>
    <row r="1066" spans="1:14" x14ac:dyDescent="0.35">
      <c r="A1066">
        <v>1993</v>
      </c>
      <c r="B1066" s="4" t="s">
        <v>894</v>
      </c>
      <c r="C1066" s="4" t="s">
        <v>444</v>
      </c>
      <c r="D1066" s="4" t="s">
        <v>29</v>
      </c>
      <c r="E1066">
        <v>0</v>
      </c>
      <c r="F1066" s="3">
        <v>2708.4497999999999</v>
      </c>
      <c r="G1066" s="2">
        <v>0.65907444668007997</v>
      </c>
      <c r="H1066" s="3">
        <v>0</v>
      </c>
      <c r="I1066" s="1">
        <v>45213</v>
      </c>
      <c r="J1066" s="4" t="s">
        <v>20</v>
      </c>
      <c r="K1066" s="4" t="s">
        <v>8</v>
      </c>
      <c r="L1066" s="3">
        <v>937.22</v>
      </c>
      <c r="M1066" s="4" t="s">
        <v>1255</v>
      </c>
      <c r="N1066" s="3">
        <v>0</v>
      </c>
    </row>
    <row r="1067" spans="1:14" x14ac:dyDescent="0.35">
      <c r="A1067">
        <v>1994</v>
      </c>
      <c r="B1067" s="4" t="s">
        <v>119</v>
      </c>
      <c r="C1067" s="4" t="s">
        <v>701</v>
      </c>
      <c r="D1067" s="4" t="s">
        <v>32</v>
      </c>
      <c r="E1067">
        <v>-1</v>
      </c>
      <c r="F1067" s="3">
        <v>1010.48</v>
      </c>
      <c r="G1067" s="2">
        <v>0.65907444668007997</v>
      </c>
      <c r="H1067" s="3">
        <v>0</v>
      </c>
      <c r="I1067" s="1">
        <v>45499</v>
      </c>
      <c r="J1067" s="4" t="s">
        <v>23</v>
      </c>
      <c r="K1067" s="4" t="s">
        <v>8</v>
      </c>
      <c r="L1067" s="3">
        <v>2321.5300000000002</v>
      </c>
      <c r="M1067" s="4" t="s">
        <v>1255</v>
      </c>
      <c r="N1067" s="3">
        <v>-1010.48</v>
      </c>
    </row>
    <row r="1068" spans="1:14" x14ac:dyDescent="0.35">
      <c r="A1068">
        <v>1995</v>
      </c>
      <c r="B1068" s="4" t="s">
        <v>71</v>
      </c>
      <c r="C1068" s="4" t="s">
        <v>556</v>
      </c>
      <c r="D1068" s="4" t="s">
        <v>34</v>
      </c>
      <c r="E1068">
        <v>4</v>
      </c>
      <c r="F1068" s="3">
        <v>2708.4497999999999</v>
      </c>
      <c r="G1068" s="2">
        <v>0.65907444668007997</v>
      </c>
      <c r="H1068" s="3">
        <v>0</v>
      </c>
      <c r="I1068" s="1">
        <v>45721</v>
      </c>
      <c r="J1068" s="4" t="s">
        <v>7</v>
      </c>
      <c r="K1068" s="4" t="s">
        <v>8</v>
      </c>
      <c r="L1068" s="3">
        <v>1815.94</v>
      </c>
      <c r="M1068" s="4" t="s">
        <v>1255</v>
      </c>
      <c r="N1068" s="3">
        <v>10833.799199999999</v>
      </c>
    </row>
    <row r="1069" spans="1:14" hidden="1" x14ac:dyDescent="0.35">
      <c r="A1069">
        <v>1996</v>
      </c>
      <c r="B1069" s="4" t="s">
        <v>162</v>
      </c>
      <c r="C1069" s="4" t="s">
        <v>442</v>
      </c>
      <c r="D1069" s="4" t="s">
        <v>33</v>
      </c>
      <c r="E1069">
        <v>0</v>
      </c>
      <c r="F1069" s="3">
        <v>2710.6239</v>
      </c>
      <c r="G1069" s="2">
        <v>0.65907444668007997</v>
      </c>
      <c r="H1069" s="3">
        <v>0</v>
      </c>
      <c r="I1069" s="1">
        <v>45777</v>
      </c>
      <c r="J1069" s="4" t="s">
        <v>11</v>
      </c>
      <c r="K1069" s="4" t="s">
        <v>40</v>
      </c>
      <c r="L1069" s="3">
        <v>1145.05</v>
      </c>
      <c r="M1069" s="4" t="s">
        <v>1255</v>
      </c>
      <c r="N1069" s="3">
        <v>0</v>
      </c>
    </row>
    <row r="1070" spans="1:14" x14ac:dyDescent="0.35">
      <c r="A1070">
        <v>1997</v>
      </c>
      <c r="B1070" s="4" t="s">
        <v>382</v>
      </c>
      <c r="C1070" s="4" t="s">
        <v>694</v>
      </c>
      <c r="D1070" s="4" t="s">
        <v>10</v>
      </c>
      <c r="E1070">
        <v>4</v>
      </c>
      <c r="F1070" s="3">
        <v>2710.6239</v>
      </c>
      <c r="G1070" s="2">
        <v>0.53</v>
      </c>
      <c r="H1070" s="3">
        <v>0</v>
      </c>
      <c r="I1070" s="1">
        <v>45726</v>
      </c>
      <c r="J1070" s="4" t="s">
        <v>7</v>
      </c>
      <c r="K1070" s="4" t="s">
        <v>8</v>
      </c>
      <c r="L1070" s="3">
        <v>141.76</v>
      </c>
      <c r="M1070" s="4" t="s">
        <v>1255</v>
      </c>
      <c r="N1070" s="3">
        <v>10842.4956</v>
      </c>
    </row>
    <row r="1071" spans="1:14" x14ac:dyDescent="0.35">
      <c r="A1071">
        <v>1998</v>
      </c>
      <c r="B1071" s="4" t="s">
        <v>50</v>
      </c>
      <c r="C1071" s="4" t="s">
        <v>303</v>
      </c>
      <c r="D1071" s="4" t="s">
        <v>26</v>
      </c>
      <c r="E1071">
        <v>5</v>
      </c>
      <c r="F1071" s="3">
        <v>2567.59</v>
      </c>
      <c r="G1071" s="2">
        <v>0.65933467741935503</v>
      </c>
      <c r="H1071" s="3">
        <v>0</v>
      </c>
      <c r="I1071" s="1">
        <v>45203</v>
      </c>
      <c r="J1071" s="4" t="s">
        <v>7</v>
      </c>
      <c r="K1071" s="4" t="s">
        <v>8</v>
      </c>
      <c r="L1071" s="3">
        <v>-702.7</v>
      </c>
      <c r="M1071" s="4" t="s">
        <v>1255</v>
      </c>
      <c r="N1071" s="3">
        <v>12837.95</v>
      </c>
    </row>
    <row r="1072" spans="1:14" x14ac:dyDescent="0.35">
      <c r="A1072">
        <v>1999</v>
      </c>
      <c r="B1072" s="4" t="s">
        <v>895</v>
      </c>
      <c r="C1072" s="4" t="s">
        <v>896</v>
      </c>
      <c r="D1072" s="4" t="s">
        <v>38</v>
      </c>
      <c r="E1072">
        <v>0</v>
      </c>
      <c r="F1072" s="3">
        <v>2710.6239</v>
      </c>
      <c r="G1072" s="2">
        <v>0.81</v>
      </c>
      <c r="H1072" s="3">
        <v>0</v>
      </c>
      <c r="I1072" s="1">
        <v>45773</v>
      </c>
      <c r="J1072" s="4" t="s">
        <v>23</v>
      </c>
      <c r="K1072" s="4" t="s">
        <v>8</v>
      </c>
      <c r="L1072" s="3">
        <v>938.71</v>
      </c>
      <c r="M1072" s="4" t="s">
        <v>1255</v>
      </c>
      <c r="N1072" s="3">
        <v>0</v>
      </c>
    </row>
    <row r="1073" spans="1:14" hidden="1" x14ac:dyDescent="0.35">
      <c r="A1073">
        <v>2000</v>
      </c>
      <c r="B1073" s="4" t="s">
        <v>65</v>
      </c>
      <c r="C1073" s="4" t="s">
        <v>207</v>
      </c>
      <c r="D1073" s="4" t="s">
        <v>34</v>
      </c>
      <c r="E1073">
        <v>-1</v>
      </c>
      <c r="F1073" s="3">
        <v>1966.21</v>
      </c>
      <c r="G1073" s="2">
        <v>0.65903030303030297</v>
      </c>
      <c r="H1073" s="3">
        <v>0</v>
      </c>
      <c r="I1073" s="1">
        <v>45520</v>
      </c>
      <c r="J1073" s="4" t="s">
        <v>18</v>
      </c>
      <c r="K1073" s="4" t="s">
        <v>40</v>
      </c>
      <c r="L1073" s="3">
        <v>2035.1</v>
      </c>
      <c r="M1073" s="4" t="s">
        <v>1255</v>
      </c>
      <c r="N1073" s="3">
        <v>-1966.21</v>
      </c>
    </row>
    <row r="1074" spans="1:14" x14ac:dyDescent="0.35">
      <c r="A1074">
        <v>2001</v>
      </c>
      <c r="B1074" s="4" t="s">
        <v>276</v>
      </c>
      <c r="C1074" s="4" t="s">
        <v>810</v>
      </c>
      <c r="D1074" s="4" t="s">
        <v>25</v>
      </c>
      <c r="E1074">
        <v>1</v>
      </c>
      <c r="F1074" s="3">
        <v>2710.8072000000002</v>
      </c>
      <c r="G1074" s="2">
        <v>0.65903030303030297</v>
      </c>
      <c r="H1074" s="3">
        <v>0</v>
      </c>
      <c r="I1074" s="1">
        <v>45520</v>
      </c>
      <c r="J1074" s="4" t="s">
        <v>11</v>
      </c>
      <c r="K1074" s="4" t="s">
        <v>8</v>
      </c>
      <c r="L1074" s="3">
        <v>1592.62</v>
      </c>
      <c r="M1074" s="4" t="s">
        <v>1255</v>
      </c>
      <c r="N1074" s="3">
        <v>2710.8072000000002</v>
      </c>
    </row>
    <row r="1075" spans="1:14" x14ac:dyDescent="0.35">
      <c r="A1075">
        <v>2002</v>
      </c>
      <c r="B1075" s="4" t="s">
        <v>89</v>
      </c>
      <c r="C1075" s="4" t="s">
        <v>897</v>
      </c>
      <c r="D1075" s="4" t="s">
        <v>15</v>
      </c>
      <c r="E1075">
        <v>0</v>
      </c>
      <c r="F1075" s="3">
        <v>1335.29</v>
      </c>
      <c r="G1075" s="2">
        <v>0.65903030303030297</v>
      </c>
      <c r="H1075" s="3">
        <v>0</v>
      </c>
      <c r="I1075" s="1">
        <v>45623</v>
      </c>
      <c r="J1075" s="4" t="s">
        <v>9</v>
      </c>
      <c r="K1075" s="4" t="s">
        <v>8</v>
      </c>
      <c r="L1075" s="3">
        <v>1372.9</v>
      </c>
      <c r="M1075" s="4" t="s">
        <v>1255</v>
      </c>
      <c r="N1075" s="3">
        <v>0</v>
      </c>
    </row>
    <row r="1076" spans="1:14" x14ac:dyDescent="0.35">
      <c r="A1076">
        <v>2003</v>
      </c>
      <c r="B1076" s="4" t="s">
        <v>563</v>
      </c>
      <c r="C1076" s="4" t="s">
        <v>701</v>
      </c>
      <c r="D1076" s="4" t="s">
        <v>30</v>
      </c>
      <c r="E1076">
        <v>0</v>
      </c>
      <c r="F1076" s="3">
        <v>2910.84</v>
      </c>
      <c r="G1076" s="2">
        <v>0.65903030303030297</v>
      </c>
      <c r="H1076" s="3">
        <v>0</v>
      </c>
      <c r="I1076" s="1">
        <v>45577</v>
      </c>
      <c r="J1076" s="4" t="s">
        <v>9</v>
      </c>
      <c r="K1076" s="4" t="s">
        <v>8</v>
      </c>
      <c r="L1076" s="3">
        <v>-304.63</v>
      </c>
      <c r="M1076" s="4" t="s">
        <v>1255</v>
      </c>
      <c r="N1076" s="3">
        <v>0</v>
      </c>
    </row>
    <row r="1077" spans="1:14" x14ac:dyDescent="0.35">
      <c r="A1077">
        <v>2004</v>
      </c>
      <c r="B1077" s="4" t="s">
        <v>116</v>
      </c>
      <c r="C1077" s="4" t="s">
        <v>898</v>
      </c>
      <c r="D1077" s="4" t="s">
        <v>27</v>
      </c>
      <c r="E1077">
        <v>-1</v>
      </c>
      <c r="F1077" s="3">
        <v>2713.5322999999999</v>
      </c>
      <c r="G1077" s="2">
        <v>0.65903030303030297</v>
      </c>
      <c r="H1077" s="3">
        <v>0</v>
      </c>
      <c r="I1077" s="1">
        <v>45605</v>
      </c>
      <c r="J1077" s="4" t="s">
        <v>11</v>
      </c>
      <c r="K1077" s="4" t="s">
        <v>12</v>
      </c>
      <c r="L1077" s="3">
        <v>1452.85</v>
      </c>
      <c r="M1077" s="4" t="s">
        <v>1255</v>
      </c>
      <c r="N1077" s="3">
        <v>-2713.5322999999999</v>
      </c>
    </row>
    <row r="1078" spans="1:14" hidden="1" x14ac:dyDescent="0.35">
      <c r="A1078">
        <v>2005</v>
      </c>
      <c r="B1078" s="4" t="s">
        <v>262</v>
      </c>
      <c r="C1078" s="4" t="s">
        <v>241</v>
      </c>
      <c r="D1078" s="4" t="s">
        <v>21</v>
      </c>
      <c r="E1078">
        <v>0</v>
      </c>
      <c r="F1078" s="3">
        <v>2713.2784000000001</v>
      </c>
      <c r="G1078" s="2">
        <v>0.65903030303030297</v>
      </c>
      <c r="H1078" s="3">
        <v>0</v>
      </c>
      <c r="I1078" s="1">
        <v>45559</v>
      </c>
      <c r="J1078" s="4" t="s">
        <v>7</v>
      </c>
      <c r="K1078" s="4" t="s">
        <v>40</v>
      </c>
      <c r="L1078" s="3">
        <v>559.6</v>
      </c>
      <c r="M1078" s="4" t="s">
        <v>1255</v>
      </c>
      <c r="N1078" s="3">
        <v>0</v>
      </c>
    </row>
    <row r="1079" spans="1:14" x14ac:dyDescent="0.35">
      <c r="A1079">
        <v>2006</v>
      </c>
      <c r="B1079" s="4" t="s">
        <v>544</v>
      </c>
      <c r="C1079" s="4" t="s">
        <v>387</v>
      </c>
      <c r="D1079" s="4" t="s">
        <v>35</v>
      </c>
      <c r="E1079">
        <v>0</v>
      </c>
      <c r="F1079" s="3">
        <v>1283.6199999999999</v>
      </c>
      <c r="G1079" s="2">
        <v>0.65903030303030297</v>
      </c>
      <c r="H1079" s="3">
        <v>0</v>
      </c>
      <c r="I1079" s="1">
        <v>45559</v>
      </c>
      <c r="J1079" s="4" t="s">
        <v>9</v>
      </c>
      <c r="K1079" s="4" t="s">
        <v>8</v>
      </c>
      <c r="L1079" s="3">
        <v>541.27</v>
      </c>
      <c r="M1079" s="4" t="s">
        <v>1255</v>
      </c>
      <c r="N1079" s="3">
        <v>0</v>
      </c>
    </row>
    <row r="1080" spans="1:14" x14ac:dyDescent="0.35">
      <c r="A1080">
        <v>2007</v>
      </c>
      <c r="B1080" s="4" t="s">
        <v>536</v>
      </c>
      <c r="C1080" s="4" t="s">
        <v>242</v>
      </c>
      <c r="D1080" s="4" t="s">
        <v>34</v>
      </c>
      <c r="E1080">
        <v>3</v>
      </c>
      <c r="F1080" s="3">
        <v>3413.11</v>
      </c>
      <c r="G1080" s="2">
        <v>0.9</v>
      </c>
      <c r="H1080" s="3">
        <v>1023.93</v>
      </c>
      <c r="I1080" s="1">
        <v>45559</v>
      </c>
      <c r="J1080" s="4" t="s">
        <v>23</v>
      </c>
      <c r="K1080" s="4" t="s">
        <v>12</v>
      </c>
      <c r="L1080" s="3">
        <v>-440.8</v>
      </c>
      <c r="M1080" s="4" t="s">
        <v>1256</v>
      </c>
      <c r="N1080" s="3">
        <v>10239.33</v>
      </c>
    </row>
    <row r="1081" spans="1:14" x14ac:dyDescent="0.35">
      <c r="A1081">
        <v>2008</v>
      </c>
      <c r="B1081" s="4" t="s">
        <v>472</v>
      </c>
      <c r="C1081" s="4" t="s">
        <v>899</v>
      </c>
      <c r="D1081" s="4" t="s">
        <v>24</v>
      </c>
      <c r="E1081">
        <v>3</v>
      </c>
      <c r="F1081" s="3">
        <v>1284.3599999999999</v>
      </c>
      <c r="G1081" s="2">
        <v>0.65854251012145704</v>
      </c>
      <c r="H1081" s="3">
        <v>0</v>
      </c>
      <c r="I1081" s="1">
        <v>45559</v>
      </c>
      <c r="J1081" s="4" t="s">
        <v>9</v>
      </c>
      <c r="K1081" s="4" t="s">
        <v>8</v>
      </c>
      <c r="L1081" s="3">
        <v>108.58</v>
      </c>
      <c r="M1081" s="4" t="s">
        <v>1255</v>
      </c>
      <c r="N1081" s="3">
        <v>3853.08</v>
      </c>
    </row>
    <row r="1082" spans="1:14" x14ac:dyDescent="0.35">
      <c r="A1082">
        <v>2009</v>
      </c>
      <c r="B1082" s="4" t="s">
        <v>43</v>
      </c>
      <c r="C1082" s="4" t="s">
        <v>147</v>
      </c>
      <c r="D1082" s="4" t="s">
        <v>21</v>
      </c>
      <c r="E1082">
        <v>0</v>
      </c>
      <c r="F1082" s="3">
        <v>3385.59</v>
      </c>
      <c r="G1082" s="2">
        <v>0.02</v>
      </c>
      <c r="H1082" s="3">
        <v>0</v>
      </c>
      <c r="I1082" s="1">
        <v>45520</v>
      </c>
      <c r="J1082" s="4" t="s">
        <v>18</v>
      </c>
      <c r="K1082" s="4" t="s">
        <v>12</v>
      </c>
      <c r="L1082" s="3">
        <v>-927.71</v>
      </c>
      <c r="M1082" s="4" t="s">
        <v>1255</v>
      </c>
      <c r="N1082" s="3">
        <v>0</v>
      </c>
    </row>
    <row r="1083" spans="1:14" hidden="1" x14ac:dyDescent="0.35">
      <c r="A1083">
        <v>2010</v>
      </c>
      <c r="B1083" s="4" t="s">
        <v>695</v>
      </c>
      <c r="C1083" s="4" t="s">
        <v>900</v>
      </c>
      <c r="D1083" s="4" t="s">
        <v>28</v>
      </c>
      <c r="E1083">
        <v>-1</v>
      </c>
      <c r="F1083" s="3">
        <v>3630.24</v>
      </c>
      <c r="G1083" s="2">
        <v>0.65983772819472597</v>
      </c>
      <c r="H1083" s="3">
        <v>0</v>
      </c>
      <c r="I1083" s="1">
        <v>45582</v>
      </c>
      <c r="J1083" s="4" t="s">
        <v>9</v>
      </c>
      <c r="K1083" s="4" t="s">
        <v>40</v>
      </c>
      <c r="L1083" s="3">
        <v>-194.42</v>
      </c>
      <c r="M1083" s="4" t="s">
        <v>1255</v>
      </c>
      <c r="N1083" s="3">
        <v>-3630.24</v>
      </c>
    </row>
    <row r="1084" spans="1:14" x14ac:dyDescent="0.35">
      <c r="A1084">
        <v>2011</v>
      </c>
      <c r="B1084" s="4" t="s">
        <v>901</v>
      </c>
      <c r="C1084" s="4" t="s">
        <v>404</v>
      </c>
      <c r="D1084" s="4" t="s">
        <v>38</v>
      </c>
      <c r="E1084">
        <v>1</v>
      </c>
      <c r="F1084" s="3">
        <v>3989.68</v>
      </c>
      <c r="G1084" s="2">
        <v>0.65983772819472597</v>
      </c>
      <c r="H1084" s="3">
        <v>0</v>
      </c>
      <c r="I1084" s="1">
        <v>45747</v>
      </c>
      <c r="J1084" s="4" t="s">
        <v>11</v>
      </c>
      <c r="K1084" s="4" t="s">
        <v>8</v>
      </c>
      <c r="L1084" s="3">
        <v>999.35</v>
      </c>
      <c r="M1084" s="4" t="s">
        <v>1255</v>
      </c>
      <c r="N1084" s="3">
        <v>3989.68</v>
      </c>
    </row>
    <row r="1085" spans="1:14" x14ac:dyDescent="0.35">
      <c r="A1085">
        <v>2012</v>
      </c>
      <c r="B1085" s="4" t="s">
        <v>441</v>
      </c>
      <c r="C1085" s="4" t="s">
        <v>902</v>
      </c>
      <c r="D1085" s="4" t="s">
        <v>37</v>
      </c>
      <c r="E1085">
        <v>0</v>
      </c>
      <c r="F1085" s="3">
        <v>2674.79</v>
      </c>
      <c r="G1085" s="2">
        <v>0.8</v>
      </c>
      <c r="H1085" s="3">
        <v>0</v>
      </c>
      <c r="I1085" s="1">
        <v>45737</v>
      </c>
      <c r="J1085" s="4" t="s">
        <v>9</v>
      </c>
      <c r="K1085" s="4" t="s">
        <v>8</v>
      </c>
      <c r="L1085" s="3">
        <v>537.29999999999995</v>
      </c>
      <c r="M1085" s="4" t="s">
        <v>1255</v>
      </c>
      <c r="N1085" s="3">
        <v>0</v>
      </c>
    </row>
    <row r="1086" spans="1:14" x14ac:dyDescent="0.35">
      <c r="A1086">
        <v>2013</v>
      </c>
      <c r="B1086" s="4" t="s">
        <v>903</v>
      </c>
      <c r="C1086" s="4" t="s">
        <v>904</v>
      </c>
      <c r="D1086" s="4" t="s">
        <v>22</v>
      </c>
      <c r="E1086">
        <v>0</v>
      </c>
      <c r="F1086" s="3">
        <v>2712.3615</v>
      </c>
      <c r="G1086" s="2">
        <v>0.65955284552845495</v>
      </c>
      <c r="H1086" s="3">
        <v>0</v>
      </c>
      <c r="I1086" s="1">
        <v>45796</v>
      </c>
      <c r="J1086" s="4" t="s">
        <v>11</v>
      </c>
      <c r="K1086" s="4" t="s">
        <v>8</v>
      </c>
      <c r="L1086" s="3">
        <v>644.41999999999996</v>
      </c>
      <c r="M1086" s="4" t="s">
        <v>1255</v>
      </c>
      <c r="N1086" s="3">
        <v>0</v>
      </c>
    </row>
    <row r="1087" spans="1:14" hidden="1" x14ac:dyDescent="0.35">
      <c r="A1087">
        <v>2014</v>
      </c>
      <c r="B1087" s="4" t="s">
        <v>322</v>
      </c>
      <c r="C1087" s="4" t="s">
        <v>138</v>
      </c>
      <c r="D1087" s="4" t="s">
        <v>34</v>
      </c>
      <c r="E1087">
        <v>2</v>
      </c>
      <c r="F1087" s="3">
        <v>2712.4103</v>
      </c>
      <c r="G1087" s="2">
        <v>0.65955284552845495</v>
      </c>
      <c r="H1087" s="3">
        <v>0</v>
      </c>
      <c r="I1087" s="1">
        <v>45796</v>
      </c>
      <c r="J1087" s="4" t="s">
        <v>7</v>
      </c>
      <c r="K1087" s="4" t="s">
        <v>40</v>
      </c>
      <c r="L1087" s="3">
        <v>763.62</v>
      </c>
      <c r="M1087" s="4" t="s">
        <v>1255</v>
      </c>
      <c r="N1087" s="3">
        <v>5424.8206</v>
      </c>
    </row>
    <row r="1088" spans="1:14" x14ac:dyDescent="0.35">
      <c r="A1088">
        <v>2015</v>
      </c>
      <c r="B1088" s="4" t="s">
        <v>608</v>
      </c>
      <c r="C1088" s="4" t="s">
        <v>255</v>
      </c>
      <c r="D1088" s="4" t="s">
        <v>17</v>
      </c>
      <c r="E1088">
        <v>0</v>
      </c>
      <c r="F1088" s="3">
        <v>2712.4103</v>
      </c>
      <c r="G1088" s="2">
        <v>0.65955284552845495</v>
      </c>
      <c r="H1088" s="3">
        <v>0</v>
      </c>
      <c r="I1088" s="1">
        <v>45735</v>
      </c>
      <c r="J1088" s="4" t="s">
        <v>7</v>
      </c>
      <c r="K1088" s="4" t="s">
        <v>12</v>
      </c>
      <c r="L1088" s="3">
        <v>182.23</v>
      </c>
      <c r="M1088" s="4" t="s">
        <v>1255</v>
      </c>
      <c r="N1088" s="3">
        <v>0</v>
      </c>
    </row>
    <row r="1089" spans="1:14" x14ac:dyDescent="0.35">
      <c r="A1089">
        <v>2016</v>
      </c>
      <c r="B1089" s="4" t="s">
        <v>246</v>
      </c>
      <c r="C1089" s="4" t="s">
        <v>80</v>
      </c>
      <c r="D1089" s="4" t="s">
        <v>29</v>
      </c>
      <c r="E1089">
        <v>-2</v>
      </c>
      <c r="F1089" s="3">
        <v>1435.85</v>
      </c>
      <c r="G1089" s="2">
        <v>0.65955284552845495</v>
      </c>
      <c r="H1089" s="3">
        <v>0</v>
      </c>
      <c r="I1089" s="1">
        <v>45786</v>
      </c>
      <c r="J1089" s="4" t="s">
        <v>23</v>
      </c>
      <c r="K1089" s="4" t="s">
        <v>12</v>
      </c>
      <c r="L1089" s="3">
        <v>317.58</v>
      </c>
      <c r="M1089" s="4" t="s">
        <v>1255</v>
      </c>
      <c r="N1089" s="3">
        <v>-2871.7</v>
      </c>
    </row>
    <row r="1090" spans="1:14" x14ac:dyDescent="0.35">
      <c r="A1090">
        <v>2017</v>
      </c>
      <c r="B1090" s="4" t="s">
        <v>141</v>
      </c>
      <c r="C1090" s="4" t="s">
        <v>76</v>
      </c>
      <c r="D1090" s="4" t="s">
        <v>32</v>
      </c>
      <c r="E1090">
        <v>0</v>
      </c>
      <c r="F1090" s="3">
        <v>3549.93</v>
      </c>
      <c r="G1090" s="2">
        <v>0.65955284552845495</v>
      </c>
      <c r="H1090" s="3">
        <v>0</v>
      </c>
      <c r="I1090" s="1">
        <v>45786</v>
      </c>
      <c r="J1090" s="4" t="s">
        <v>9</v>
      </c>
      <c r="K1090" s="4" t="s">
        <v>8</v>
      </c>
      <c r="L1090" s="3">
        <v>652.09</v>
      </c>
      <c r="M1090" s="4" t="s">
        <v>1255</v>
      </c>
      <c r="N1090" s="3">
        <v>0</v>
      </c>
    </row>
    <row r="1091" spans="1:14" x14ac:dyDescent="0.35">
      <c r="A1091">
        <v>2018</v>
      </c>
      <c r="B1091" s="4" t="s">
        <v>224</v>
      </c>
      <c r="C1091" s="4" t="s">
        <v>905</v>
      </c>
      <c r="D1091" s="4" t="s">
        <v>32</v>
      </c>
      <c r="E1091">
        <v>5</v>
      </c>
      <c r="F1091" s="3">
        <v>2714.0702999999999</v>
      </c>
      <c r="G1091" s="2">
        <v>0.91</v>
      </c>
      <c r="H1091" s="3">
        <v>0</v>
      </c>
      <c r="I1091" s="1">
        <v>45551</v>
      </c>
      <c r="J1091" s="4" t="s">
        <v>11</v>
      </c>
      <c r="K1091" s="4" t="s">
        <v>8</v>
      </c>
      <c r="L1091" s="3">
        <v>-730.39</v>
      </c>
      <c r="M1091" s="4" t="s">
        <v>1255</v>
      </c>
      <c r="N1091" s="3">
        <v>13570.351500000001</v>
      </c>
    </row>
    <row r="1092" spans="1:14" x14ac:dyDescent="0.35">
      <c r="A1092">
        <v>2019</v>
      </c>
      <c r="B1092" s="4" t="s">
        <v>228</v>
      </c>
      <c r="C1092" s="4" t="s">
        <v>55</v>
      </c>
      <c r="D1092" s="4" t="s">
        <v>21</v>
      </c>
      <c r="E1092">
        <v>2</v>
      </c>
      <c r="F1092" s="3">
        <v>1797.91</v>
      </c>
      <c r="G1092" s="2">
        <v>0.65904276985743404</v>
      </c>
      <c r="H1092" s="3">
        <v>0</v>
      </c>
      <c r="I1092" s="1">
        <v>45680</v>
      </c>
      <c r="J1092" s="4" t="s">
        <v>9</v>
      </c>
      <c r="K1092" s="4" t="s">
        <v>8</v>
      </c>
      <c r="L1092" s="3">
        <v>2132.08</v>
      </c>
      <c r="M1092" s="4" t="s">
        <v>1255</v>
      </c>
      <c r="N1092" s="3">
        <v>3595.82</v>
      </c>
    </row>
    <row r="1093" spans="1:14" hidden="1" x14ac:dyDescent="0.35">
      <c r="A1093">
        <v>2020</v>
      </c>
      <c r="B1093" s="4" t="s">
        <v>81</v>
      </c>
      <c r="C1093" s="4" t="s">
        <v>203</v>
      </c>
      <c r="D1093" s="4" t="s">
        <v>21</v>
      </c>
      <c r="E1093">
        <v>-2</v>
      </c>
      <c r="F1093" s="3">
        <v>3954.73</v>
      </c>
      <c r="G1093" s="2">
        <v>0.3</v>
      </c>
      <c r="H1093" s="3">
        <v>-5536.62</v>
      </c>
      <c r="I1093" s="1">
        <v>45788</v>
      </c>
      <c r="J1093" s="4" t="s">
        <v>18</v>
      </c>
      <c r="K1093" s="4" t="s">
        <v>40</v>
      </c>
      <c r="L1093" s="3">
        <v>-78.22</v>
      </c>
      <c r="M1093" s="4" t="s">
        <v>1255</v>
      </c>
      <c r="N1093" s="3">
        <v>-7909.46</v>
      </c>
    </row>
    <row r="1094" spans="1:14" hidden="1" x14ac:dyDescent="0.35">
      <c r="A1094">
        <v>2021</v>
      </c>
      <c r="B1094" s="4" t="s">
        <v>164</v>
      </c>
      <c r="C1094" s="4" t="s">
        <v>104</v>
      </c>
      <c r="D1094" s="4" t="s">
        <v>22</v>
      </c>
      <c r="E1094">
        <v>0</v>
      </c>
      <c r="F1094" s="3">
        <v>4178.18</v>
      </c>
      <c r="G1094" s="2">
        <v>1.27</v>
      </c>
      <c r="H1094" s="3">
        <v>0</v>
      </c>
      <c r="I1094" s="1">
        <v>45153</v>
      </c>
      <c r="J1094" s="4" t="s">
        <v>11</v>
      </c>
      <c r="K1094" s="4" t="s">
        <v>40</v>
      </c>
      <c r="L1094" s="3">
        <v>2952.52</v>
      </c>
      <c r="M1094" s="4" t="s">
        <v>1255</v>
      </c>
      <c r="N1094" s="3">
        <v>0</v>
      </c>
    </row>
    <row r="1095" spans="1:14" x14ac:dyDescent="0.35">
      <c r="A1095">
        <v>2022</v>
      </c>
      <c r="B1095" s="4" t="s">
        <v>313</v>
      </c>
      <c r="C1095" s="4" t="s">
        <v>548</v>
      </c>
      <c r="D1095" s="4" t="s">
        <v>13</v>
      </c>
      <c r="E1095">
        <v>0</v>
      </c>
      <c r="F1095" s="3">
        <v>3094.77</v>
      </c>
      <c r="G1095" s="2">
        <v>0.65852760736196303</v>
      </c>
      <c r="H1095" s="3">
        <v>0</v>
      </c>
      <c r="I1095" s="1">
        <v>45817</v>
      </c>
      <c r="J1095" s="4" t="s">
        <v>20</v>
      </c>
      <c r="K1095" s="4" t="s">
        <v>12</v>
      </c>
      <c r="L1095" s="3">
        <v>2340.79</v>
      </c>
      <c r="M1095" s="4" t="s">
        <v>1255</v>
      </c>
      <c r="N1095" s="3">
        <v>0</v>
      </c>
    </row>
    <row r="1096" spans="1:14" x14ac:dyDescent="0.35">
      <c r="A1096">
        <v>2023</v>
      </c>
      <c r="B1096" s="4" t="s">
        <v>276</v>
      </c>
      <c r="C1096" s="4" t="s">
        <v>595</v>
      </c>
      <c r="D1096" s="4" t="s">
        <v>29</v>
      </c>
      <c r="E1096">
        <v>3</v>
      </c>
      <c r="F1096" s="3">
        <v>618.17999999999995</v>
      </c>
      <c r="G1096" s="2">
        <v>0.65852760736196303</v>
      </c>
      <c r="H1096" s="3">
        <v>0</v>
      </c>
      <c r="I1096" s="1">
        <v>45817</v>
      </c>
      <c r="J1096" s="4" t="s">
        <v>9</v>
      </c>
      <c r="K1096" s="4" t="s">
        <v>8</v>
      </c>
      <c r="L1096" s="3">
        <v>404.9</v>
      </c>
      <c r="M1096" s="4" t="s">
        <v>1255</v>
      </c>
      <c r="N1096" s="3">
        <v>1854.54</v>
      </c>
    </row>
    <row r="1097" spans="1:14" x14ac:dyDescent="0.35">
      <c r="A1097">
        <v>2024</v>
      </c>
      <c r="B1097" s="4" t="s">
        <v>504</v>
      </c>
      <c r="C1097" s="4" t="s">
        <v>199</v>
      </c>
      <c r="D1097" s="4" t="s">
        <v>17</v>
      </c>
      <c r="E1097">
        <v>4</v>
      </c>
      <c r="F1097" s="3">
        <v>4220.2</v>
      </c>
      <c r="G1097" s="2">
        <v>0.65852760736196303</v>
      </c>
      <c r="H1097" s="3">
        <v>0</v>
      </c>
      <c r="I1097" s="1">
        <v>45274</v>
      </c>
      <c r="J1097" s="4" t="s">
        <v>7</v>
      </c>
      <c r="K1097" s="4" t="s">
        <v>8</v>
      </c>
      <c r="L1097" s="3">
        <v>2488.92</v>
      </c>
      <c r="M1097" s="4" t="s">
        <v>1255</v>
      </c>
      <c r="N1097" s="3">
        <v>16880.8</v>
      </c>
    </row>
    <row r="1098" spans="1:14" x14ac:dyDescent="0.35">
      <c r="A1098">
        <v>2025</v>
      </c>
      <c r="B1098" s="4" t="s">
        <v>164</v>
      </c>
      <c r="C1098" s="4" t="s">
        <v>906</v>
      </c>
      <c r="D1098" s="4" t="s">
        <v>33</v>
      </c>
      <c r="E1098">
        <v>4</v>
      </c>
      <c r="F1098" s="3">
        <v>2712.8786</v>
      </c>
      <c r="G1098" s="2">
        <v>0.65852760736196303</v>
      </c>
      <c r="H1098" s="3">
        <v>0</v>
      </c>
      <c r="I1098" s="1">
        <v>45750</v>
      </c>
      <c r="J1098" s="4" t="s">
        <v>7</v>
      </c>
      <c r="K1098" s="4" t="s">
        <v>12</v>
      </c>
      <c r="L1098" s="3">
        <v>1259.95</v>
      </c>
      <c r="M1098" s="4" t="s">
        <v>1255</v>
      </c>
      <c r="N1098" s="3">
        <v>10851.5144</v>
      </c>
    </row>
    <row r="1099" spans="1:14" hidden="1" x14ac:dyDescent="0.35">
      <c r="A1099">
        <v>2026</v>
      </c>
      <c r="B1099" s="4" t="s">
        <v>373</v>
      </c>
      <c r="C1099" s="4" t="s">
        <v>50</v>
      </c>
      <c r="D1099" s="4" t="s">
        <v>22</v>
      </c>
      <c r="E1099">
        <v>0</v>
      </c>
      <c r="F1099" s="3">
        <v>2710.9005000000002</v>
      </c>
      <c r="G1099" s="2">
        <v>0.65852760736196303</v>
      </c>
      <c r="H1099" s="3">
        <v>0</v>
      </c>
      <c r="I1099" s="1">
        <v>45812</v>
      </c>
      <c r="J1099" s="4" t="s">
        <v>9</v>
      </c>
      <c r="K1099" s="4" t="s">
        <v>40</v>
      </c>
      <c r="L1099" s="3">
        <v>83.33</v>
      </c>
      <c r="M1099" s="4" t="s">
        <v>1255</v>
      </c>
      <c r="N1099" s="3">
        <v>0</v>
      </c>
    </row>
    <row r="1100" spans="1:14" x14ac:dyDescent="0.35">
      <c r="A1100">
        <v>2027</v>
      </c>
      <c r="B1100" s="4" t="s">
        <v>491</v>
      </c>
      <c r="C1100" s="4" t="s">
        <v>565</v>
      </c>
      <c r="D1100" s="4" t="s">
        <v>38</v>
      </c>
      <c r="E1100">
        <v>5</v>
      </c>
      <c r="F1100" s="3">
        <v>2734.95</v>
      </c>
      <c r="G1100" s="2">
        <v>0.17</v>
      </c>
      <c r="H1100" s="3">
        <v>11350.04</v>
      </c>
      <c r="I1100" s="1">
        <v>45661</v>
      </c>
      <c r="J1100" s="4" t="s">
        <v>11</v>
      </c>
      <c r="K1100" s="4" t="s">
        <v>8</v>
      </c>
      <c r="L1100" s="3">
        <v>-657.03</v>
      </c>
      <c r="M1100" s="4" t="s">
        <v>1256</v>
      </c>
      <c r="N1100" s="3">
        <v>13674.75</v>
      </c>
    </row>
    <row r="1101" spans="1:14" x14ac:dyDescent="0.35">
      <c r="A1101">
        <v>2028</v>
      </c>
      <c r="B1101" s="4" t="s">
        <v>494</v>
      </c>
      <c r="C1101" s="4" t="s">
        <v>388</v>
      </c>
      <c r="D1101" s="4" t="s">
        <v>34</v>
      </c>
      <c r="E1101">
        <v>2</v>
      </c>
      <c r="F1101" s="3">
        <v>2710.9005000000002</v>
      </c>
      <c r="G1101" s="2">
        <v>0.65952868852459001</v>
      </c>
      <c r="H1101" s="3">
        <v>0</v>
      </c>
      <c r="I1101" s="1">
        <v>45549</v>
      </c>
      <c r="J1101" s="4" t="s">
        <v>18</v>
      </c>
      <c r="K1101" s="4" t="s">
        <v>12</v>
      </c>
      <c r="L1101" s="3">
        <v>2393.48</v>
      </c>
      <c r="M1101" s="4" t="s">
        <v>1255</v>
      </c>
      <c r="N1101" s="3">
        <v>5421.8010000000004</v>
      </c>
    </row>
    <row r="1102" spans="1:14" x14ac:dyDescent="0.35">
      <c r="A1102">
        <v>2029</v>
      </c>
      <c r="B1102" s="4" t="s">
        <v>335</v>
      </c>
      <c r="C1102" s="4" t="s">
        <v>907</v>
      </c>
      <c r="D1102" s="4" t="s">
        <v>27</v>
      </c>
      <c r="E1102">
        <v>6</v>
      </c>
      <c r="F1102" s="3">
        <v>2710.8688999999999</v>
      </c>
      <c r="G1102" s="2">
        <v>0.65952868852459001</v>
      </c>
      <c r="H1102" s="3">
        <v>0</v>
      </c>
      <c r="I1102" s="1">
        <v>45625</v>
      </c>
      <c r="J1102" s="4" t="s">
        <v>18</v>
      </c>
      <c r="K1102" s="4" t="s">
        <v>12</v>
      </c>
      <c r="L1102" s="3">
        <v>2374.9</v>
      </c>
      <c r="M1102" s="4" t="s">
        <v>1255</v>
      </c>
      <c r="N1102" s="3">
        <v>16265.213400000001</v>
      </c>
    </row>
    <row r="1103" spans="1:14" x14ac:dyDescent="0.35">
      <c r="A1103">
        <v>2030</v>
      </c>
      <c r="B1103" s="4" t="s">
        <v>298</v>
      </c>
      <c r="C1103" s="4" t="s">
        <v>613</v>
      </c>
      <c r="D1103" s="4" t="s">
        <v>25</v>
      </c>
      <c r="E1103">
        <v>1</v>
      </c>
      <c r="F1103" s="3">
        <v>1354.69</v>
      </c>
      <c r="G1103" s="2">
        <v>0.65952868852459001</v>
      </c>
      <c r="H1103" s="3">
        <v>0</v>
      </c>
      <c r="I1103" s="1">
        <v>45637</v>
      </c>
      <c r="J1103" s="4" t="s">
        <v>23</v>
      </c>
      <c r="K1103" s="4" t="s">
        <v>8</v>
      </c>
      <c r="L1103" s="3">
        <v>-710.56</v>
      </c>
      <c r="M1103" s="4" t="s">
        <v>1255</v>
      </c>
      <c r="N1103" s="3">
        <v>1354.69</v>
      </c>
    </row>
    <row r="1104" spans="1:14" hidden="1" x14ac:dyDescent="0.35">
      <c r="A1104">
        <v>2031</v>
      </c>
      <c r="B1104" s="4" t="s">
        <v>335</v>
      </c>
      <c r="C1104" s="4" t="s">
        <v>353</v>
      </c>
      <c r="D1104" s="4" t="s">
        <v>24</v>
      </c>
      <c r="E1104">
        <v>0</v>
      </c>
      <c r="F1104" s="3">
        <v>2710.8688999999999</v>
      </c>
      <c r="G1104" s="2">
        <v>0.65952868852459001</v>
      </c>
      <c r="H1104" s="3">
        <v>0</v>
      </c>
      <c r="I1104" s="1">
        <v>45832</v>
      </c>
      <c r="J1104" s="4" t="s">
        <v>7</v>
      </c>
      <c r="K1104" s="4" t="s">
        <v>40</v>
      </c>
      <c r="L1104" s="3">
        <v>2655.01</v>
      </c>
      <c r="M1104" s="4" t="s">
        <v>1255</v>
      </c>
      <c r="N1104" s="3">
        <v>0</v>
      </c>
    </row>
    <row r="1105" spans="1:14" x14ac:dyDescent="0.35">
      <c r="A1105">
        <v>2032</v>
      </c>
      <c r="B1105" s="4" t="s">
        <v>306</v>
      </c>
      <c r="C1105" s="4" t="s">
        <v>769</v>
      </c>
      <c r="D1105" s="4" t="s">
        <v>19</v>
      </c>
      <c r="E1105">
        <v>0</v>
      </c>
      <c r="F1105" s="3">
        <v>4910.91</v>
      </c>
      <c r="G1105" s="2">
        <v>1.1200000000000001</v>
      </c>
      <c r="H1105" s="3">
        <v>0</v>
      </c>
      <c r="I1105" s="1">
        <v>45153</v>
      </c>
      <c r="J1105" s="4" t="s">
        <v>23</v>
      </c>
      <c r="K1105" s="4" t="s">
        <v>12</v>
      </c>
      <c r="L1105" s="3">
        <v>1419.21</v>
      </c>
      <c r="M1105" s="4" t="s">
        <v>1255</v>
      </c>
      <c r="N1105" s="3">
        <v>0</v>
      </c>
    </row>
    <row r="1106" spans="1:14" x14ac:dyDescent="0.35">
      <c r="A1106">
        <v>2033</v>
      </c>
      <c r="B1106" s="4" t="s">
        <v>65</v>
      </c>
      <c r="C1106" s="4" t="s">
        <v>102</v>
      </c>
      <c r="D1106" s="4" t="s">
        <v>17</v>
      </c>
      <c r="E1106">
        <v>6</v>
      </c>
      <c r="F1106" s="3">
        <v>2712.6532999999999</v>
      </c>
      <c r="G1106" s="2">
        <v>0.658583162217659</v>
      </c>
      <c r="H1106" s="3">
        <v>0</v>
      </c>
      <c r="I1106" s="1">
        <v>45153</v>
      </c>
      <c r="J1106" s="4" t="s">
        <v>23</v>
      </c>
      <c r="K1106" s="4" t="s">
        <v>12</v>
      </c>
      <c r="L1106" s="3">
        <v>63.41</v>
      </c>
      <c r="M1106" s="4" t="s">
        <v>1255</v>
      </c>
      <c r="N1106" s="3">
        <v>16275.9198</v>
      </c>
    </row>
    <row r="1107" spans="1:14" x14ac:dyDescent="0.35">
      <c r="A1107">
        <v>2034</v>
      </c>
      <c r="B1107" s="4" t="s">
        <v>125</v>
      </c>
      <c r="C1107" s="4" t="s">
        <v>205</v>
      </c>
      <c r="D1107" s="4" t="s">
        <v>19</v>
      </c>
      <c r="E1107">
        <v>6</v>
      </c>
      <c r="F1107" s="3">
        <v>3080.12</v>
      </c>
      <c r="G1107" s="2">
        <v>0.26</v>
      </c>
      <c r="H1107" s="3">
        <v>13675.73</v>
      </c>
      <c r="I1107" s="1">
        <v>45831</v>
      </c>
      <c r="J1107" s="4" t="s">
        <v>23</v>
      </c>
      <c r="K1107" s="4" t="s">
        <v>8</v>
      </c>
      <c r="L1107" s="3">
        <v>-678.89</v>
      </c>
      <c r="M1107" s="4" t="s">
        <v>1256</v>
      </c>
      <c r="N1107" s="3">
        <v>18480.72</v>
      </c>
    </row>
    <row r="1108" spans="1:14" x14ac:dyDescent="0.35">
      <c r="A1108">
        <v>2035</v>
      </c>
      <c r="B1108" s="4" t="s">
        <v>361</v>
      </c>
      <c r="C1108" s="4" t="s">
        <v>908</v>
      </c>
      <c r="D1108" s="4" t="s">
        <v>24</v>
      </c>
      <c r="E1108">
        <v>0</v>
      </c>
      <c r="F1108" s="3">
        <v>2516.6</v>
      </c>
      <c r="G1108" s="2">
        <v>0.65940329218106997</v>
      </c>
      <c r="H1108" s="3">
        <v>0</v>
      </c>
      <c r="I1108" s="1">
        <v>45769</v>
      </c>
      <c r="J1108" s="4" t="s">
        <v>9</v>
      </c>
      <c r="K1108" s="4" t="s">
        <v>8</v>
      </c>
      <c r="L1108" s="3">
        <v>2860.05</v>
      </c>
      <c r="M1108" s="4" t="s">
        <v>1255</v>
      </c>
      <c r="N1108" s="3">
        <v>0</v>
      </c>
    </row>
    <row r="1109" spans="1:14" hidden="1" x14ac:dyDescent="0.35">
      <c r="A1109">
        <v>2036</v>
      </c>
      <c r="B1109" s="4" t="s">
        <v>93</v>
      </c>
      <c r="C1109" s="4" t="s">
        <v>236</v>
      </c>
      <c r="D1109" s="4" t="s">
        <v>28</v>
      </c>
      <c r="E1109">
        <v>-2</v>
      </c>
      <c r="F1109" s="3">
        <v>2709.2685000000001</v>
      </c>
      <c r="G1109" s="2">
        <v>0.72</v>
      </c>
      <c r="H1109" s="3">
        <v>0</v>
      </c>
      <c r="I1109" s="1">
        <v>45769</v>
      </c>
      <c r="J1109" s="4" t="s">
        <v>9</v>
      </c>
      <c r="K1109" s="4" t="s">
        <v>40</v>
      </c>
      <c r="L1109" s="3">
        <v>106.67</v>
      </c>
      <c r="M1109" s="4" t="s">
        <v>1255</v>
      </c>
      <c r="N1109" s="3">
        <v>-5418.5370000000003</v>
      </c>
    </row>
    <row r="1110" spans="1:14" x14ac:dyDescent="0.35">
      <c r="A1110">
        <v>2037</v>
      </c>
      <c r="B1110" s="4" t="s">
        <v>224</v>
      </c>
      <c r="C1110" s="4" t="s">
        <v>909</v>
      </c>
      <c r="D1110" s="4" t="s">
        <v>29</v>
      </c>
      <c r="E1110">
        <v>1</v>
      </c>
      <c r="F1110" s="3">
        <v>1120.52</v>
      </c>
      <c r="G1110" s="2">
        <v>0.65927835051546402</v>
      </c>
      <c r="H1110" s="3">
        <v>0</v>
      </c>
      <c r="I1110" s="1">
        <v>45849</v>
      </c>
      <c r="J1110" s="4" t="s">
        <v>23</v>
      </c>
      <c r="K1110" s="4" t="s">
        <v>12</v>
      </c>
      <c r="L1110" s="3">
        <v>-523.32000000000005</v>
      </c>
      <c r="M1110" s="4" t="s">
        <v>1255</v>
      </c>
      <c r="N1110" s="3">
        <v>1120.52</v>
      </c>
    </row>
    <row r="1111" spans="1:14" hidden="1" x14ac:dyDescent="0.35">
      <c r="A1111">
        <v>2038</v>
      </c>
      <c r="B1111" s="4" t="s">
        <v>743</v>
      </c>
      <c r="C1111" s="4" t="s">
        <v>553</v>
      </c>
      <c r="D1111" s="4" t="s">
        <v>37</v>
      </c>
      <c r="E1111">
        <v>0</v>
      </c>
      <c r="F1111" s="3">
        <v>2709.5230000000001</v>
      </c>
      <c r="G1111" s="2">
        <v>0.65927835051546402</v>
      </c>
      <c r="H1111" s="3">
        <v>0</v>
      </c>
      <c r="I1111" s="1">
        <v>45367</v>
      </c>
      <c r="J1111" s="4" t="s">
        <v>23</v>
      </c>
      <c r="K1111" s="4" t="s">
        <v>40</v>
      </c>
      <c r="L1111" s="3">
        <v>2548.6</v>
      </c>
      <c r="M1111" s="4" t="s">
        <v>1255</v>
      </c>
      <c r="N1111" s="3">
        <v>0</v>
      </c>
    </row>
    <row r="1112" spans="1:14" x14ac:dyDescent="0.35">
      <c r="A1112">
        <v>2039</v>
      </c>
      <c r="B1112" s="4" t="s">
        <v>910</v>
      </c>
      <c r="C1112" s="4" t="s">
        <v>95</v>
      </c>
      <c r="D1112" s="4" t="s">
        <v>10</v>
      </c>
      <c r="E1112">
        <v>0</v>
      </c>
      <c r="F1112" s="3">
        <v>1802.43</v>
      </c>
      <c r="G1112" s="2">
        <v>0.65927835051546402</v>
      </c>
      <c r="H1112" s="3">
        <v>0</v>
      </c>
      <c r="I1112" s="1">
        <v>45367</v>
      </c>
      <c r="J1112" s="4" t="s">
        <v>23</v>
      </c>
      <c r="K1112" s="4" t="s">
        <v>12</v>
      </c>
      <c r="L1112" s="3">
        <v>644.27</v>
      </c>
      <c r="M1112" s="4" t="s">
        <v>1255</v>
      </c>
      <c r="N1112" s="3">
        <v>0</v>
      </c>
    </row>
    <row r="1113" spans="1:14" x14ac:dyDescent="0.35">
      <c r="A1113">
        <v>2040</v>
      </c>
      <c r="B1113" s="4" t="s">
        <v>85</v>
      </c>
      <c r="C1113" s="4" t="s">
        <v>388</v>
      </c>
      <c r="D1113" s="4" t="s">
        <v>31</v>
      </c>
      <c r="E1113">
        <v>0</v>
      </c>
      <c r="F1113" s="3">
        <v>2711.6248000000001</v>
      </c>
      <c r="G1113" s="2">
        <v>0.34</v>
      </c>
      <c r="H1113" s="3">
        <v>0</v>
      </c>
      <c r="I1113" s="1">
        <v>45531</v>
      </c>
      <c r="J1113" s="4" t="s">
        <v>23</v>
      </c>
      <c r="K1113" s="4" t="s">
        <v>8</v>
      </c>
      <c r="L1113" s="3">
        <v>-838.24</v>
      </c>
      <c r="M1113" s="4" t="s">
        <v>1255</v>
      </c>
      <c r="N1113" s="3">
        <v>0</v>
      </c>
    </row>
    <row r="1114" spans="1:14" x14ac:dyDescent="0.35">
      <c r="A1114">
        <v>2041</v>
      </c>
      <c r="B1114" s="4" t="s">
        <v>304</v>
      </c>
      <c r="C1114" s="4" t="s">
        <v>88</v>
      </c>
      <c r="D1114" s="4" t="s">
        <v>31</v>
      </c>
      <c r="E1114">
        <v>0</v>
      </c>
      <c r="F1114" s="3">
        <v>854.8</v>
      </c>
      <c r="G1114" s="2">
        <v>0.65993801652892603</v>
      </c>
      <c r="H1114" s="3">
        <v>0</v>
      </c>
      <c r="I1114" s="1">
        <v>45619</v>
      </c>
      <c r="J1114" s="4" t="s">
        <v>7</v>
      </c>
      <c r="K1114" s="4" t="s">
        <v>8</v>
      </c>
      <c r="L1114" s="3">
        <v>400.41</v>
      </c>
      <c r="M1114" s="4" t="s">
        <v>1255</v>
      </c>
      <c r="N1114" s="3">
        <v>0</v>
      </c>
    </row>
    <row r="1115" spans="1:14" x14ac:dyDescent="0.35">
      <c r="A1115">
        <v>2042</v>
      </c>
      <c r="B1115" s="4" t="s">
        <v>125</v>
      </c>
      <c r="C1115" s="4" t="s">
        <v>336</v>
      </c>
      <c r="D1115" s="4" t="s">
        <v>26</v>
      </c>
      <c r="E1115">
        <v>3</v>
      </c>
      <c r="F1115" s="3">
        <v>2712.8290999999999</v>
      </c>
      <c r="G1115" s="2">
        <v>0.65993801652892603</v>
      </c>
      <c r="H1115" s="3">
        <v>0</v>
      </c>
      <c r="I1115" s="1">
        <v>45619</v>
      </c>
      <c r="J1115" s="4" t="s">
        <v>11</v>
      </c>
      <c r="K1115" s="4" t="s">
        <v>8</v>
      </c>
      <c r="L1115" s="3">
        <v>80.86</v>
      </c>
      <c r="M1115" s="4" t="s">
        <v>1255</v>
      </c>
      <c r="N1115" s="3">
        <v>8138.4872999999998</v>
      </c>
    </row>
    <row r="1116" spans="1:14" x14ac:dyDescent="0.35">
      <c r="A1116">
        <v>2043</v>
      </c>
      <c r="B1116" s="4" t="s">
        <v>145</v>
      </c>
      <c r="C1116" s="4" t="s">
        <v>55</v>
      </c>
      <c r="D1116" s="4" t="s">
        <v>15</v>
      </c>
      <c r="E1116">
        <v>0</v>
      </c>
      <c r="F1116" s="3">
        <v>2715.2932999999998</v>
      </c>
      <c r="G1116" s="2">
        <v>0.74</v>
      </c>
      <c r="H1116" s="3">
        <v>0</v>
      </c>
      <c r="I1116" s="1">
        <v>45801</v>
      </c>
      <c r="J1116" s="4" t="s">
        <v>18</v>
      </c>
      <c r="K1116" s="4" t="s">
        <v>8</v>
      </c>
      <c r="L1116" s="3">
        <v>647.80999999999995</v>
      </c>
      <c r="M1116" s="4" t="s">
        <v>1255</v>
      </c>
      <c r="N1116" s="3">
        <v>0</v>
      </c>
    </row>
    <row r="1117" spans="1:14" x14ac:dyDescent="0.35">
      <c r="A1117">
        <v>2044</v>
      </c>
      <c r="B1117" s="4" t="s">
        <v>54</v>
      </c>
      <c r="C1117" s="4" t="s">
        <v>911</v>
      </c>
      <c r="D1117" s="4" t="s">
        <v>14</v>
      </c>
      <c r="E1117">
        <v>0</v>
      </c>
      <c r="F1117" s="3">
        <v>2912.48</v>
      </c>
      <c r="G1117" s="2">
        <v>0.39</v>
      </c>
      <c r="H1117" s="3">
        <v>0</v>
      </c>
      <c r="I1117" s="1">
        <v>45786</v>
      </c>
      <c r="J1117" s="4" t="s">
        <v>11</v>
      </c>
      <c r="K1117" s="4" t="s">
        <v>8</v>
      </c>
      <c r="L1117" s="3">
        <v>565.53</v>
      </c>
      <c r="M1117" s="4" t="s">
        <v>1255</v>
      </c>
      <c r="N1117" s="3">
        <v>0</v>
      </c>
    </row>
    <row r="1118" spans="1:14" x14ac:dyDescent="0.35">
      <c r="A1118">
        <v>2045</v>
      </c>
      <c r="B1118" s="4" t="s">
        <v>160</v>
      </c>
      <c r="C1118" s="4" t="s">
        <v>912</v>
      </c>
      <c r="D1118" s="4" t="s">
        <v>10</v>
      </c>
      <c r="E1118">
        <v>-1</v>
      </c>
      <c r="F1118" s="3">
        <v>473.68</v>
      </c>
      <c r="G1118" s="2">
        <v>0.66033195020746904</v>
      </c>
      <c r="H1118" s="3">
        <v>0</v>
      </c>
      <c r="I1118" s="1">
        <v>45786</v>
      </c>
      <c r="J1118" s="4" t="s">
        <v>23</v>
      </c>
      <c r="K1118" s="4" t="s">
        <v>8</v>
      </c>
      <c r="L1118" s="3">
        <v>-108.72</v>
      </c>
      <c r="M1118" s="4" t="s">
        <v>1255</v>
      </c>
      <c r="N1118" s="3">
        <v>-473.68</v>
      </c>
    </row>
    <row r="1119" spans="1:14" x14ac:dyDescent="0.35">
      <c r="A1119">
        <v>2046</v>
      </c>
      <c r="B1119" s="4" t="s">
        <v>294</v>
      </c>
      <c r="C1119" s="4" t="s">
        <v>913</v>
      </c>
      <c r="D1119" s="4" t="s">
        <v>33</v>
      </c>
      <c r="E1119">
        <v>6</v>
      </c>
      <c r="F1119" s="3">
        <v>2715.0313999999998</v>
      </c>
      <c r="G1119" s="2">
        <v>0.6</v>
      </c>
      <c r="H1119" s="3">
        <v>0</v>
      </c>
      <c r="I1119" s="1">
        <v>45242</v>
      </c>
      <c r="J1119" s="4" t="s">
        <v>11</v>
      </c>
      <c r="K1119" s="4" t="s">
        <v>8</v>
      </c>
      <c r="L1119" s="3">
        <v>1657.74</v>
      </c>
      <c r="M1119" s="4" t="s">
        <v>1255</v>
      </c>
      <c r="N1119" s="3">
        <v>16290.188399999999</v>
      </c>
    </row>
    <row r="1120" spans="1:14" x14ac:dyDescent="0.35">
      <c r="A1120">
        <v>2047</v>
      </c>
      <c r="B1120" s="4" t="s">
        <v>70</v>
      </c>
      <c r="C1120" s="4" t="s">
        <v>733</v>
      </c>
      <c r="D1120" s="4" t="s">
        <v>16</v>
      </c>
      <c r="E1120">
        <v>0</v>
      </c>
      <c r="F1120" s="3">
        <v>2718.0119</v>
      </c>
      <c r="G1120" s="2">
        <v>0.66045738045738001</v>
      </c>
      <c r="H1120" s="3">
        <v>0</v>
      </c>
      <c r="I1120" s="1">
        <v>45767</v>
      </c>
      <c r="J1120" s="4" t="s">
        <v>11</v>
      </c>
      <c r="K1120" s="4" t="s">
        <v>8</v>
      </c>
      <c r="L1120" s="3">
        <v>238.33</v>
      </c>
      <c r="M1120" s="4" t="s">
        <v>1255</v>
      </c>
      <c r="N1120" s="3">
        <v>0</v>
      </c>
    </row>
    <row r="1121" spans="1:14" x14ac:dyDescent="0.35">
      <c r="A1121">
        <v>2048</v>
      </c>
      <c r="B1121" s="4" t="s">
        <v>482</v>
      </c>
      <c r="C1121" s="4" t="s">
        <v>253</v>
      </c>
      <c r="D1121" s="4" t="s">
        <v>38</v>
      </c>
      <c r="E1121">
        <v>0</v>
      </c>
      <c r="F1121" s="3">
        <v>1469.13</v>
      </c>
      <c r="G1121" s="2">
        <v>0.11</v>
      </c>
      <c r="H1121" s="3">
        <v>0</v>
      </c>
      <c r="I1121" s="1">
        <v>45569</v>
      </c>
      <c r="J1121" s="4" t="s">
        <v>9</v>
      </c>
      <c r="K1121" s="4" t="s">
        <v>8</v>
      </c>
      <c r="L1121" s="3">
        <v>665.1</v>
      </c>
      <c r="M1121" s="4" t="s">
        <v>1255</v>
      </c>
      <c r="N1121" s="3">
        <v>0</v>
      </c>
    </row>
    <row r="1122" spans="1:14" x14ac:dyDescent="0.35">
      <c r="A1122">
        <v>2049</v>
      </c>
      <c r="B1122" s="4" t="s">
        <v>627</v>
      </c>
      <c r="C1122" s="4" t="s">
        <v>349</v>
      </c>
      <c r="D1122" s="4" t="s">
        <v>13</v>
      </c>
      <c r="E1122">
        <v>-1</v>
      </c>
      <c r="F1122" s="3">
        <v>2462.92</v>
      </c>
      <c r="G1122" s="2">
        <v>0.66160416666666699</v>
      </c>
      <c r="H1122" s="3">
        <v>0</v>
      </c>
      <c r="I1122" s="1">
        <v>45569</v>
      </c>
      <c r="J1122" s="4" t="s">
        <v>7</v>
      </c>
      <c r="K1122" s="4" t="s">
        <v>12</v>
      </c>
      <c r="L1122" s="3">
        <v>825.06</v>
      </c>
      <c r="M1122" s="4" t="s">
        <v>1255</v>
      </c>
      <c r="N1122" s="3">
        <v>-2462.92</v>
      </c>
    </row>
    <row r="1123" spans="1:14" x14ac:dyDescent="0.35">
      <c r="A1123">
        <v>2050</v>
      </c>
      <c r="B1123" s="4" t="s">
        <v>861</v>
      </c>
      <c r="C1123" s="4" t="s">
        <v>914</v>
      </c>
      <c r="D1123" s="4" t="s">
        <v>37</v>
      </c>
      <c r="E1123">
        <v>1</v>
      </c>
      <c r="F1123" s="3">
        <v>4234.28</v>
      </c>
      <c r="G1123" s="2">
        <v>1.03</v>
      </c>
      <c r="H1123" s="3">
        <v>-127.03</v>
      </c>
      <c r="I1123" s="1">
        <v>45457</v>
      </c>
      <c r="J1123" s="4" t="s">
        <v>11</v>
      </c>
      <c r="K1123" s="4" t="s">
        <v>12</v>
      </c>
      <c r="L1123" s="3">
        <v>2931.9</v>
      </c>
      <c r="M1123" s="4" t="s">
        <v>1255</v>
      </c>
      <c r="N1123" s="3">
        <v>4234.28</v>
      </c>
    </row>
    <row r="1124" spans="1:14" x14ac:dyDescent="0.35">
      <c r="A1124">
        <v>2051</v>
      </c>
      <c r="B1124" s="4" t="s">
        <v>212</v>
      </c>
      <c r="C1124" s="4" t="s">
        <v>765</v>
      </c>
      <c r="D1124" s="4" t="s">
        <v>19</v>
      </c>
      <c r="E1124">
        <v>2</v>
      </c>
      <c r="F1124" s="3">
        <v>1234.27</v>
      </c>
      <c r="G1124" s="2">
        <v>0.660835073068893</v>
      </c>
      <c r="H1124" s="3">
        <v>0</v>
      </c>
      <c r="I1124" s="1">
        <v>45716</v>
      </c>
      <c r="J1124" s="4" t="s">
        <v>20</v>
      </c>
      <c r="K1124" s="4" t="s">
        <v>12</v>
      </c>
      <c r="L1124" s="3">
        <v>-911.71</v>
      </c>
      <c r="M1124" s="4" t="s">
        <v>1255</v>
      </c>
      <c r="N1124" s="3">
        <v>2468.54</v>
      </c>
    </row>
    <row r="1125" spans="1:14" hidden="1" x14ac:dyDescent="0.35">
      <c r="A1125">
        <v>2052</v>
      </c>
      <c r="B1125" s="4" t="s">
        <v>477</v>
      </c>
      <c r="C1125" s="4" t="s">
        <v>93</v>
      </c>
      <c r="D1125" s="4" t="s">
        <v>24</v>
      </c>
      <c r="E1125">
        <v>3</v>
      </c>
      <c r="F1125" s="3">
        <v>4971.74</v>
      </c>
      <c r="G1125" s="2">
        <v>0.660835073068893</v>
      </c>
      <c r="H1125" s="3">
        <v>0</v>
      </c>
      <c r="I1125" s="1">
        <v>45443</v>
      </c>
      <c r="J1125" s="4" t="s">
        <v>18</v>
      </c>
      <c r="K1125" s="4" t="s">
        <v>40</v>
      </c>
      <c r="L1125" s="3">
        <v>1386.13</v>
      </c>
      <c r="M1125" s="4" t="s">
        <v>1255</v>
      </c>
      <c r="N1125" s="3">
        <v>14915.22</v>
      </c>
    </row>
    <row r="1126" spans="1:14" x14ac:dyDescent="0.35">
      <c r="A1126">
        <v>2053</v>
      </c>
      <c r="B1126" s="4" t="s">
        <v>145</v>
      </c>
      <c r="C1126" s="4" t="s">
        <v>738</v>
      </c>
      <c r="D1126" s="4" t="s">
        <v>14</v>
      </c>
      <c r="E1126">
        <v>0</v>
      </c>
      <c r="F1126" s="3">
        <v>2719.9791</v>
      </c>
      <c r="G1126" s="2">
        <v>0.660835073068893</v>
      </c>
      <c r="H1126" s="3">
        <v>0</v>
      </c>
      <c r="I1126" s="1">
        <v>45501</v>
      </c>
      <c r="J1126" s="4" t="s">
        <v>20</v>
      </c>
      <c r="K1126" s="4" t="s">
        <v>12</v>
      </c>
      <c r="L1126" s="3">
        <v>-940.51</v>
      </c>
      <c r="M1126" s="4" t="s">
        <v>1255</v>
      </c>
      <c r="N1126" s="3">
        <v>0</v>
      </c>
    </row>
    <row r="1127" spans="1:14" x14ac:dyDescent="0.35">
      <c r="A1127">
        <v>2054</v>
      </c>
      <c r="B1127" s="4" t="s">
        <v>220</v>
      </c>
      <c r="C1127" s="4" t="s">
        <v>74</v>
      </c>
      <c r="D1127" s="4" t="s">
        <v>16</v>
      </c>
      <c r="E1127">
        <v>1</v>
      </c>
      <c r="F1127" s="3">
        <v>1254.77</v>
      </c>
      <c r="G1127" s="2">
        <v>0.62</v>
      </c>
      <c r="H1127" s="3">
        <v>476.81</v>
      </c>
      <c r="I1127" s="1">
        <v>45501</v>
      </c>
      <c r="J1127" s="4" t="s">
        <v>23</v>
      </c>
      <c r="K1127" s="4" t="s">
        <v>12</v>
      </c>
      <c r="L1127" s="3">
        <v>2605.15</v>
      </c>
      <c r="M1127" s="4" t="s">
        <v>1256</v>
      </c>
      <c r="N1127" s="3">
        <v>1254.77</v>
      </c>
    </row>
    <row r="1128" spans="1:14" hidden="1" x14ac:dyDescent="0.35">
      <c r="A1128">
        <v>2055</v>
      </c>
      <c r="B1128" s="4" t="s">
        <v>421</v>
      </c>
      <c r="C1128" s="4" t="s">
        <v>329</v>
      </c>
      <c r="D1128" s="4" t="s">
        <v>6</v>
      </c>
      <c r="E1128">
        <v>0</v>
      </c>
      <c r="F1128" s="3">
        <v>677.9</v>
      </c>
      <c r="G1128" s="2">
        <v>0.15</v>
      </c>
      <c r="H1128" s="3">
        <v>0</v>
      </c>
      <c r="I1128" s="1">
        <v>45501</v>
      </c>
      <c r="J1128" s="4" t="s">
        <v>23</v>
      </c>
      <c r="K1128" s="4" t="s">
        <v>40</v>
      </c>
      <c r="L1128" s="3">
        <v>-503.02</v>
      </c>
      <c r="M1128" s="4" t="s">
        <v>1255</v>
      </c>
      <c r="N1128" s="3">
        <v>0</v>
      </c>
    </row>
    <row r="1129" spans="1:14" x14ac:dyDescent="0.35">
      <c r="A1129">
        <v>2056</v>
      </c>
      <c r="B1129" s="4" t="s">
        <v>77</v>
      </c>
      <c r="C1129" s="4" t="s">
        <v>129</v>
      </c>
      <c r="D1129" s="4" t="s">
        <v>25</v>
      </c>
      <c r="E1129">
        <v>0</v>
      </c>
      <c r="F1129" s="3">
        <v>2718.9247999999998</v>
      </c>
      <c r="G1129" s="2">
        <v>0.7</v>
      </c>
      <c r="H1129" s="3">
        <v>0</v>
      </c>
      <c r="I1129" s="1">
        <v>45184</v>
      </c>
      <c r="J1129" s="4" t="s">
        <v>9</v>
      </c>
      <c r="K1129" s="4" t="s">
        <v>12</v>
      </c>
      <c r="L1129" s="3">
        <v>2544.92</v>
      </c>
      <c r="M1129" s="4" t="s">
        <v>1255</v>
      </c>
      <c r="N1129" s="3">
        <v>0</v>
      </c>
    </row>
    <row r="1130" spans="1:14" x14ac:dyDescent="0.35">
      <c r="A1130">
        <v>2057</v>
      </c>
      <c r="B1130" s="4" t="s">
        <v>228</v>
      </c>
      <c r="C1130" s="4" t="s">
        <v>915</v>
      </c>
      <c r="D1130" s="4" t="s">
        <v>32</v>
      </c>
      <c r="E1130">
        <v>-1</v>
      </c>
      <c r="F1130" s="3">
        <v>2721.6644000000001</v>
      </c>
      <c r="G1130" s="2">
        <v>0.66191176470588198</v>
      </c>
      <c r="H1130" s="3">
        <v>0</v>
      </c>
      <c r="I1130" s="1">
        <v>45596</v>
      </c>
      <c r="J1130" s="4" t="s">
        <v>11</v>
      </c>
      <c r="K1130" s="4" t="s">
        <v>12</v>
      </c>
      <c r="L1130" s="3">
        <v>17.96</v>
      </c>
      <c r="M1130" s="4" t="s">
        <v>1255</v>
      </c>
      <c r="N1130" s="3">
        <v>-2721.6644000000001</v>
      </c>
    </row>
    <row r="1131" spans="1:14" x14ac:dyDescent="0.35">
      <c r="A1131">
        <v>2058</v>
      </c>
      <c r="B1131" s="4" t="s">
        <v>276</v>
      </c>
      <c r="C1131" s="4" t="s">
        <v>822</v>
      </c>
      <c r="D1131" s="4" t="s">
        <v>26</v>
      </c>
      <c r="E1131">
        <v>6</v>
      </c>
      <c r="F1131" s="3">
        <v>2721.6644000000001</v>
      </c>
      <c r="G1131" s="2">
        <v>0.66191176470588198</v>
      </c>
      <c r="H1131" s="3">
        <v>0</v>
      </c>
      <c r="I1131" s="1">
        <v>45573</v>
      </c>
      <c r="J1131" s="4" t="s">
        <v>9</v>
      </c>
      <c r="K1131" s="4" t="s">
        <v>12</v>
      </c>
      <c r="L1131" s="3">
        <v>-248.49</v>
      </c>
      <c r="M1131" s="4" t="s">
        <v>1255</v>
      </c>
      <c r="N1131" s="3">
        <v>16329.9864</v>
      </c>
    </row>
    <row r="1132" spans="1:14" x14ac:dyDescent="0.35">
      <c r="A1132">
        <v>2059</v>
      </c>
      <c r="B1132" s="4" t="s">
        <v>65</v>
      </c>
      <c r="C1132" s="4" t="s">
        <v>197</v>
      </c>
      <c r="D1132" s="4" t="s">
        <v>19</v>
      </c>
      <c r="E1132">
        <v>3</v>
      </c>
      <c r="F1132" s="3">
        <v>1193.03</v>
      </c>
      <c r="G1132" s="2">
        <v>0.66191176470588198</v>
      </c>
      <c r="H1132" s="3">
        <v>0</v>
      </c>
      <c r="I1132" s="1">
        <v>45723</v>
      </c>
      <c r="J1132" s="4" t="s">
        <v>11</v>
      </c>
      <c r="K1132" s="4" t="s">
        <v>12</v>
      </c>
      <c r="L1132" s="3">
        <v>-876.83</v>
      </c>
      <c r="M1132" s="4" t="s">
        <v>1255</v>
      </c>
      <c r="N1132" s="3">
        <v>3579.09</v>
      </c>
    </row>
    <row r="1133" spans="1:14" hidden="1" x14ac:dyDescent="0.35">
      <c r="A1133">
        <v>2060</v>
      </c>
      <c r="B1133" s="4" t="s">
        <v>77</v>
      </c>
      <c r="C1133" s="4" t="s">
        <v>757</v>
      </c>
      <c r="D1133" s="4" t="s">
        <v>37</v>
      </c>
      <c r="E1133">
        <v>0</v>
      </c>
      <c r="F1133" s="3">
        <v>3725.58</v>
      </c>
      <c r="G1133" s="2">
        <v>0.66191176470588198</v>
      </c>
      <c r="H1133" s="3">
        <v>0</v>
      </c>
      <c r="I1133" s="1">
        <v>45581</v>
      </c>
      <c r="J1133" s="4" t="s">
        <v>20</v>
      </c>
      <c r="K1133" s="4" t="s">
        <v>40</v>
      </c>
      <c r="L1133" s="3">
        <v>2544.5500000000002</v>
      </c>
      <c r="M1133" s="4" t="s">
        <v>1255</v>
      </c>
      <c r="N1133" s="3">
        <v>0</v>
      </c>
    </row>
    <row r="1134" spans="1:14" hidden="1" x14ac:dyDescent="0.35">
      <c r="A1134">
        <v>2061</v>
      </c>
      <c r="B1134" s="4" t="s">
        <v>916</v>
      </c>
      <c r="C1134" s="4" t="s">
        <v>812</v>
      </c>
      <c r="D1134" s="4" t="s">
        <v>29</v>
      </c>
      <c r="E1134">
        <v>0</v>
      </c>
      <c r="F1134" s="3">
        <v>2077.8200000000002</v>
      </c>
      <c r="G1134" s="2">
        <v>0.66191176470588198</v>
      </c>
      <c r="H1134" s="3">
        <v>0</v>
      </c>
      <c r="I1134" s="1">
        <v>45722</v>
      </c>
      <c r="J1134" s="4" t="s">
        <v>20</v>
      </c>
      <c r="K1134" s="4" t="s">
        <v>40</v>
      </c>
      <c r="L1134" s="3">
        <v>2769.01</v>
      </c>
      <c r="M1134" s="4" t="s">
        <v>1255</v>
      </c>
      <c r="N1134" s="3">
        <v>0</v>
      </c>
    </row>
    <row r="1135" spans="1:14" hidden="1" x14ac:dyDescent="0.35">
      <c r="A1135">
        <v>2062</v>
      </c>
      <c r="B1135" s="4" t="s">
        <v>93</v>
      </c>
      <c r="C1135" s="4" t="s">
        <v>114</v>
      </c>
      <c r="D1135" s="4" t="s">
        <v>17</v>
      </c>
      <c r="E1135">
        <v>4</v>
      </c>
      <c r="F1135" s="3">
        <v>2975.64</v>
      </c>
      <c r="G1135" s="2">
        <v>0.66191176470588198</v>
      </c>
      <c r="H1135" s="3">
        <v>0</v>
      </c>
      <c r="I1135" s="1">
        <v>45502</v>
      </c>
      <c r="J1135" s="4" t="s">
        <v>23</v>
      </c>
      <c r="K1135" s="4" t="s">
        <v>40</v>
      </c>
      <c r="L1135" s="3">
        <v>-644.20000000000005</v>
      </c>
      <c r="M1135" s="4" t="s">
        <v>1255</v>
      </c>
      <c r="N1135" s="3">
        <v>11902.56</v>
      </c>
    </row>
    <row r="1136" spans="1:14" hidden="1" x14ac:dyDescent="0.35">
      <c r="A1136">
        <v>2063</v>
      </c>
      <c r="B1136" s="4" t="s">
        <v>189</v>
      </c>
      <c r="C1136" s="4" t="s">
        <v>917</v>
      </c>
      <c r="D1136" s="4" t="s">
        <v>37</v>
      </c>
      <c r="E1136">
        <v>5</v>
      </c>
      <c r="F1136" s="3">
        <v>2723.2393000000002</v>
      </c>
      <c r="G1136" s="2">
        <v>0.66191176470588198</v>
      </c>
      <c r="H1136" s="3">
        <v>0</v>
      </c>
      <c r="I1136" s="1">
        <v>45587</v>
      </c>
      <c r="J1136" s="4" t="s">
        <v>20</v>
      </c>
      <c r="K1136" s="4" t="s">
        <v>40</v>
      </c>
      <c r="L1136" s="3">
        <v>2549.09</v>
      </c>
      <c r="M1136" s="4" t="s">
        <v>1255</v>
      </c>
      <c r="N1136" s="3">
        <v>13616.1965</v>
      </c>
    </row>
    <row r="1137" spans="1:14" x14ac:dyDescent="0.35">
      <c r="A1137">
        <v>2064</v>
      </c>
      <c r="B1137" s="4" t="s">
        <v>373</v>
      </c>
      <c r="C1137" s="4" t="s">
        <v>918</v>
      </c>
      <c r="D1137" s="4" t="s">
        <v>19</v>
      </c>
      <c r="E1137">
        <v>0</v>
      </c>
      <c r="F1137" s="3">
        <v>702.86</v>
      </c>
      <c r="G1137" s="2">
        <v>0.66191176470588198</v>
      </c>
      <c r="H1137" s="3">
        <v>0</v>
      </c>
      <c r="I1137" s="1">
        <v>45596</v>
      </c>
      <c r="J1137" s="4" t="s">
        <v>20</v>
      </c>
      <c r="K1137" s="4" t="s">
        <v>8</v>
      </c>
      <c r="L1137" s="3">
        <v>577.70000000000005</v>
      </c>
      <c r="M1137" s="4" t="s">
        <v>1255</v>
      </c>
      <c r="N1137" s="3">
        <v>0</v>
      </c>
    </row>
    <row r="1138" spans="1:14" hidden="1" x14ac:dyDescent="0.35">
      <c r="A1138">
        <v>2065</v>
      </c>
      <c r="B1138" s="4" t="s">
        <v>282</v>
      </c>
      <c r="C1138" s="4" t="s">
        <v>205</v>
      </c>
      <c r="D1138" s="4" t="s">
        <v>15</v>
      </c>
      <c r="E1138">
        <v>4</v>
      </c>
      <c r="F1138" s="3">
        <v>3590.4</v>
      </c>
      <c r="G1138" s="2">
        <v>0.66191176470588198</v>
      </c>
      <c r="H1138" s="3">
        <v>0</v>
      </c>
      <c r="I1138" s="1">
        <v>45526</v>
      </c>
      <c r="J1138" s="4" t="s">
        <v>18</v>
      </c>
      <c r="K1138" s="4" t="s">
        <v>40</v>
      </c>
      <c r="L1138" s="3">
        <v>-86.57</v>
      </c>
      <c r="M1138" s="4" t="s">
        <v>1255</v>
      </c>
      <c r="N1138" s="3">
        <v>14361.6</v>
      </c>
    </row>
    <row r="1139" spans="1:14" x14ac:dyDescent="0.35">
      <c r="A1139">
        <v>2066</v>
      </c>
      <c r="B1139" s="4" t="s">
        <v>559</v>
      </c>
      <c r="C1139" s="4" t="s">
        <v>376</v>
      </c>
      <c r="D1139" s="4" t="s">
        <v>21</v>
      </c>
      <c r="E1139">
        <v>0</v>
      </c>
      <c r="F1139" s="3">
        <v>2725.6284000000001</v>
      </c>
      <c r="G1139" s="2">
        <v>0.66191176470588198</v>
      </c>
      <c r="H1139" s="3">
        <v>0</v>
      </c>
      <c r="I1139" s="1">
        <v>45526</v>
      </c>
      <c r="J1139" s="4" t="s">
        <v>11</v>
      </c>
      <c r="K1139" s="4" t="s">
        <v>8</v>
      </c>
      <c r="L1139" s="3">
        <v>2532.65</v>
      </c>
      <c r="M1139" s="4" t="s">
        <v>1255</v>
      </c>
      <c r="N1139" s="3">
        <v>0</v>
      </c>
    </row>
    <row r="1140" spans="1:14" hidden="1" x14ac:dyDescent="0.35">
      <c r="A1140">
        <v>2067</v>
      </c>
      <c r="B1140" s="4" t="s">
        <v>121</v>
      </c>
      <c r="C1140" s="4" t="s">
        <v>82</v>
      </c>
      <c r="D1140" s="4" t="s">
        <v>25</v>
      </c>
      <c r="E1140">
        <v>0</v>
      </c>
      <c r="F1140" s="3">
        <v>2975.33</v>
      </c>
      <c r="G1140" s="2">
        <v>0.66191176470588198</v>
      </c>
      <c r="H1140" s="3">
        <v>0</v>
      </c>
      <c r="I1140" s="1">
        <v>45749</v>
      </c>
      <c r="J1140" s="4" t="s">
        <v>23</v>
      </c>
      <c r="K1140" s="4" t="s">
        <v>40</v>
      </c>
      <c r="L1140" s="3">
        <v>1035.45</v>
      </c>
      <c r="M1140" s="4" t="s">
        <v>1255</v>
      </c>
      <c r="N1140" s="3">
        <v>0</v>
      </c>
    </row>
    <row r="1141" spans="1:14" hidden="1" x14ac:dyDescent="0.35">
      <c r="A1141">
        <v>2068</v>
      </c>
      <c r="B1141" s="4" t="s">
        <v>125</v>
      </c>
      <c r="C1141" s="4" t="s">
        <v>483</v>
      </c>
      <c r="D1141" s="4" t="s">
        <v>38</v>
      </c>
      <c r="E1141">
        <v>0</v>
      </c>
      <c r="F1141" s="3">
        <v>2724.4582</v>
      </c>
      <c r="G1141" s="2">
        <v>1</v>
      </c>
      <c r="H1141" s="3">
        <v>0</v>
      </c>
      <c r="I1141" s="1">
        <v>45295</v>
      </c>
      <c r="J1141" s="4" t="s">
        <v>7</v>
      </c>
      <c r="K1141" s="4" t="s">
        <v>40</v>
      </c>
      <c r="L1141" s="3">
        <v>999.95</v>
      </c>
      <c r="M1141" s="4" t="s">
        <v>1255</v>
      </c>
      <c r="N1141" s="3">
        <v>0</v>
      </c>
    </row>
    <row r="1142" spans="1:14" x14ac:dyDescent="0.35">
      <c r="A1142">
        <v>2069</v>
      </c>
      <c r="B1142" s="4" t="s">
        <v>857</v>
      </c>
      <c r="C1142" s="4" t="s">
        <v>255</v>
      </c>
      <c r="D1142" s="4" t="s">
        <v>28</v>
      </c>
      <c r="E1142">
        <v>0</v>
      </c>
      <c r="F1142" s="3">
        <v>3266.05</v>
      </c>
      <c r="G1142" s="2">
        <v>0.66120000000000001</v>
      </c>
      <c r="H1142" s="3">
        <v>0</v>
      </c>
      <c r="I1142" s="1">
        <v>45500</v>
      </c>
      <c r="J1142" s="4" t="s">
        <v>11</v>
      </c>
      <c r="K1142" s="4" t="s">
        <v>8</v>
      </c>
      <c r="L1142" s="3">
        <v>1188.8900000000001</v>
      </c>
      <c r="M1142" s="4" t="s">
        <v>1255</v>
      </c>
      <c r="N1142" s="3">
        <v>0</v>
      </c>
    </row>
    <row r="1143" spans="1:14" x14ac:dyDescent="0.35">
      <c r="A1143">
        <v>2070</v>
      </c>
      <c r="B1143" s="4" t="s">
        <v>264</v>
      </c>
      <c r="C1143" s="4" t="s">
        <v>133</v>
      </c>
      <c r="D1143" s="4" t="s">
        <v>19</v>
      </c>
      <c r="E1143">
        <v>-1</v>
      </c>
      <c r="F1143" s="3">
        <v>2724.1183000000001</v>
      </c>
      <c r="G1143" s="2">
        <v>0.66120000000000001</v>
      </c>
      <c r="H1143" s="3">
        <v>0</v>
      </c>
      <c r="I1143" s="1">
        <v>45726</v>
      </c>
      <c r="J1143" s="4" t="s">
        <v>11</v>
      </c>
      <c r="K1143" s="4" t="s">
        <v>12</v>
      </c>
      <c r="L1143" s="3">
        <v>614.38</v>
      </c>
      <c r="M1143" s="4" t="s">
        <v>1255</v>
      </c>
      <c r="N1143" s="3">
        <v>-2724.1183000000001</v>
      </c>
    </row>
    <row r="1144" spans="1:14" x14ac:dyDescent="0.35">
      <c r="A1144">
        <v>2071</v>
      </c>
      <c r="B1144" s="4" t="s">
        <v>284</v>
      </c>
      <c r="C1144" s="4" t="s">
        <v>866</v>
      </c>
      <c r="D1144" s="4" t="s">
        <v>38</v>
      </c>
      <c r="E1144">
        <v>0</v>
      </c>
      <c r="F1144" s="3">
        <v>2723.3829999999998</v>
      </c>
      <c r="G1144" s="2">
        <v>0.98</v>
      </c>
      <c r="H1144" s="3">
        <v>0</v>
      </c>
      <c r="I1144" s="1">
        <v>45834</v>
      </c>
      <c r="J1144" s="4" t="s">
        <v>11</v>
      </c>
      <c r="K1144" s="4" t="s">
        <v>8</v>
      </c>
      <c r="L1144" s="3">
        <v>1522.69</v>
      </c>
      <c r="M1144" s="4" t="s">
        <v>1255</v>
      </c>
      <c r="N1144" s="3">
        <v>0</v>
      </c>
    </row>
    <row r="1145" spans="1:14" hidden="1" x14ac:dyDescent="0.35">
      <c r="A1145">
        <v>2072</v>
      </c>
      <c r="B1145" s="4" t="s">
        <v>85</v>
      </c>
      <c r="C1145" s="4" t="s">
        <v>796</v>
      </c>
      <c r="D1145" s="4" t="s">
        <v>17</v>
      </c>
      <c r="E1145">
        <v>0</v>
      </c>
      <c r="F1145" s="3">
        <v>2723.3829999999998</v>
      </c>
      <c r="G1145" s="2">
        <v>0.66052742616033799</v>
      </c>
      <c r="H1145" s="3">
        <v>0</v>
      </c>
      <c r="I1145" s="1">
        <v>45778</v>
      </c>
      <c r="J1145" s="4" t="s">
        <v>23</v>
      </c>
      <c r="K1145" s="4" t="s">
        <v>40</v>
      </c>
      <c r="L1145" s="3">
        <v>-670.22</v>
      </c>
      <c r="M1145" s="4" t="s">
        <v>1255</v>
      </c>
      <c r="N1145" s="3">
        <v>0</v>
      </c>
    </row>
    <row r="1146" spans="1:14" x14ac:dyDescent="0.35">
      <c r="A1146">
        <v>2073</v>
      </c>
      <c r="B1146" s="4" t="s">
        <v>166</v>
      </c>
      <c r="C1146" s="4" t="s">
        <v>919</v>
      </c>
      <c r="D1146" s="4" t="s">
        <v>38</v>
      </c>
      <c r="E1146">
        <v>3</v>
      </c>
      <c r="F1146" s="3">
        <v>1596.02</v>
      </c>
      <c r="G1146" s="2">
        <v>0.66052742616033799</v>
      </c>
      <c r="H1146" s="3">
        <v>0</v>
      </c>
      <c r="I1146" s="1">
        <v>45778</v>
      </c>
      <c r="J1146" s="4" t="s">
        <v>9</v>
      </c>
      <c r="K1146" s="4" t="s">
        <v>8</v>
      </c>
      <c r="L1146" s="3">
        <v>-217.87</v>
      </c>
      <c r="M1146" s="4" t="s">
        <v>1255</v>
      </c>
      <c r="N1146" s="3">
        <v>4788.0600000000004</v>
      </c>
    </row>
    <row r="1147" spans="1:14" x14ac:dyDescent="0.35">
      <c r="A1147">
        <v>2074</v>
      </c>
      <c r="B1147" s="4" t="s">
        <v>419</v>
      </c>
      <c r="C1147" s="4" t="s">
        <v>66</v>
      </c>
      <c r="D1147" s="4" t="s">
        <v>35</v>
      </c>
      <c r="E1147">
        <v>4</v>
      </c>
      <c r="F1147" s="3">
        <v>2723.3829999999998</v>
      </c>
      <c r="G1147" s="2">
        <v>0.66052742616033799</v>
      </c>
      <c r="H1147" s="3">
        <v>0</v>
      </c>
      <c r="I1147" s="1">
        <v>45573</v>
      </c>
      <c r="J1147" s="4" t="s">
        <v>18</v>
      </c>
      <c r="K1147" s="4" t="s">
        <v>8</v>
      </c>
      <c r="L1147" s="3">
        <v>2628.09</v>
      </c>
      <c r="M1147" s="4" t="s">
        <v>1255</v>
      </c>
      <c r="N1147" s="3">
        <v>10893.531999999999</v>
      </c>
    </row>
    <row r="1148" spans="1:14" x14ac:dyDescent="0.35">
      <c r="A1148">
        <v>2075</v>
      </c>
      <c r="B1148" s="4" t="s">
        <v>122</v>
      </c>
      <c r="C1148" s="4" t="s">
        <v>273</v>
      </c>
      <c r="D1148" s="4" t="s">
        <v>10</v>
      </c>
      <c r="E1148">
        <v>0</v>
      </c>
      <c r="F1148" s="3">
        <v>2724.9146999999998</v>
      </c>
      <c r="G1148" s="2">
        <v>0.66052742616033799</v>
      </c>
      <c r="H1148" s="3">
        <v>0</v>
      </c>
      <c r="I1148" s="1">
        <v>45573</v>
      </c>
      <c r="J1148" s="4" t="s">
        <v>18</v>
      </c>
      <c r="K1148" s="4" t="s">
        <v>12</v>
      </c>
      <c r="L1148" s="3">
        <v>1501.9</v>
      </c>
      <c r="M1148" s="4" t="s">
        <v>1255</v>
      </c>
      <c r="N1148" s="3">
        <v>0</v>
      </c>
    </row>
    <row r="1149" spans="1:14" x14ac:dyDescent="0.35">
      <c r="A1149">
        <v>2076</v>
      </c>
      <c r="B1149" s="4" t="s">
        <v>197</v>
      </c>
      <c r="C1149" s="4" t="s">
        <v>242</v>
      </c>
      <c r="D1149" s="4" t="s">
        <v>22</v>
      </c>
      <c r="E1149">
        <v>0</v>
      </c>
      <c r="F1149" s="3">
        <v>1151.07</v>
      </c>
      <c r="G1149" s="2">
        <v>0.66052742616033799</v>
      </c>
      <c r="H1149" s="3">
        <v>0</v>
      </c>
      <c r="I1149" s="1">
        <v>45798</v>
      </c>
      <c r="J1149" s="4" t="s">
        <v>18</v>
      </c>
      <c r="K1149" s="4" t="s">
        <v>12</v>
      </c>
      <c r="L1149" s="3">
        <v>854.02</v>
      </c>
      <c r="M1149" s="4" t="s">
        <v>1255</v>
      </c>
      <c r="N1149" s="3">
        <v>0</v>
      </c>
    </row>
    <row r="1150" spans="1:14" x14ac:dyDescent="0.35">
      <c r="A1150">
        <v>2077</v>
      </c>
      <c r="B1150" s="4" t="s">
        <v>134</v>
      </c>
      <c r="C1150" s="4" t="s">
        <v>834</v>
      </c>
      <c r="D1150" s="4" t="s">
        <v>37</v>
      </c>
      <c r="E1150">
        <v>0</v>
      </c>
      <c r="F1150" s="3">
        <v>2724.9146999999998</v>
      </c>
      <c r="G1150" s="2">
        <v>0.66052742616033799</v>
      </c>
      <c r="H1150" s="3">
        <v>0</v>
      </c>
      <c r="I1150" s="1">
        <v>45798</v>
      </c>
      <c r="J1150" s="4" t="s">
        <v>20</v>
      </c>
      <c r="K1150" s="4" t="s">
        <v>8</v>
      </c>
      <c r="L1150" s="3">
        <v>1082.3599999999999</v>
      </c>
      <c r="M1150" s="4" t="s">
        <v>1255</v>
      </c>
      <c r="N1150" s="3">
        <v>0</v>
      </c>
    </row>
    <row r="1151" spans="1:14" hidden="1" x14ac:dyDescent="0.35">
      <c r="A1151">
        <v>2078</v>
      </c>
      <c r="B1151" s="4" t="s">
        <v>421</v>
      </c>
      <c r="C1151" s="4" t="s">
        <v>920</v>
      </c>
      <c r="D1151" s="4" t="s">
        <v>26</v>
      </c>
      <c r="E1151">
        <v>0</v>
      </c>
      <c r="F1151" s="3">
        <v>1760.85</v>
      </c>
      <c r="G1151" s="2">
        <v>0.66052742616033799</v>
      </c>
      <c r="H1151" s="3">
        <v>0</v>
      </c>
      <c r="I1151" s="1">
        <v>45808</v>
      </c>
      <c r="J1151" s="4" t="s">
        <v>20</v>
      </c>
      <c r="K1151" s="4" t="s">
        <v>40</v>
      </c>
      <c r="L1151" s="3">
        <v>-542.71</v>
      </c>
      <c r="M1151" s="4" t="s">
        <v>1255</v>
      </c>
      <c r="N1151" s="3">
        <v>0</v>
      </c>
    </row>
    <row r="1152" spans="1:14" x14ac:dyDescent="0.35">
      <c r="A1152">
        <v>2079</v>
      </c>
      <c r="B1152" s="4" t="s">
        <v>286</v>
      </c>
      <c r="C1152" s="4" t="s">
        <v>55</v>
      </c>
      <c r="D1152" s="4" t="s">
        <v>14</v>
      </c>
      <c r="E1152">
        <v>2</v>
      </c>
      <c r="F1152" s="3">
        <v>2778.14</v>
      </c>
      <c r="G1152" s="2">
        <v>1.21</v>
      </c>
      <c r="H1152" s="3">
        <v>-1166.82</v>
      </c>
      <c r="I1152" s="1">
        <v>45808</v>
      </c>
      <c r="J1152" s="4" t="s">
        <v>9</v>
      </c>
      <c r="K1152" s="4" t="s">
        <v>12</v>
      </c>
      <c r="L1152" s="3">
        <v>516.66</v>
      </c>
      <c r="M1152" s="4" t="s">
        <v>1255</v>
      </c>
      <c r="N1152" s="3">
        <v>5556.28</v>
      </c>
    </row>
    <row r="1153" spans="1:14" x14ac:dyDescent="0.35">
      <c r="A1153">
        <v>2080</v>
      </c>
      <c r="B1153" s="4" t="s">
        <v>52</v>
      </c>
      <c r="C1153" s="4" t="s">
        <v>72</v>
      </c>
      <c r="D1153" s="4" t="s">
        <v>33</v>
      </c>
      <c r="E1153">
        <v>3</v>
      </c>
      <c r="F1153" s="3">
        <v>4672.3500000000004</v>
      </c>
      <c r="G1153" s="2">
        <v>0.65936575052854096</v>
      </c>
      <c r="H1153" s="3">
        <v>0</v>
      </c>
      <c r="I1153" s="1">
        <v>45808</v>
      </c>
      <c r="J1153" s="4" t="s">
        <v>7</v>
      </c>
      <c r="K1153" s="4" t="s">
        <v>12</v>
      </c>
      <c r="L1153" s="3">
        <v>991.5</v>
      </c>
      <c r="M1153" s="4" t="s">
        <v>1255</v>
      </c>
      <c r="N1153" s="3">
        <v>14017.05</v>
      </c>
    </row>
    <row r="1154" spans="1:14" x14ac:dyDescent="0.35">
      <c r="A1154">
        <v>2081</v>
      </c>
      <c r="B1154" s="4" t="s">
        <v>780</v>
      </c>
      <c r="C1154" s="4" t="s">
        <v>921</v>
      </c>
      <c r="D1154" s="4" t="s">
        <v>15</v>
      </c>
      <c r="E1154">
        <v>0</v>
      </c>
      <c r="F1154" s="3">
        <v>2809.88</v>
      </c>
      <c r="G1154" s="2">
        <v>0.65936575052854096</v>
      </c>
      <c r="H1154" s="3">
        <v>0</v>
      </c>
      <c r="I1154" s="1">
        <v>45850</v>
      </c>
      <c r="J1154" s="4" t="s">
        <v>9</v>
      </c>
      <c r="K1154" s="4" t="s">
        <v>12</v>
      </c>
      <c r="L1154" s="3">
        <v>1063.07</v>
      </c>
      <c r="M1154" s="4" t="s">
        <v>1255</v>
      </c>
      <c r="N1154" s="3">
        <v>0</v>
      </c>
    </row>
    <row r="1155" spans="1:14" hidden="1" x14ac:dyDescent="0.35">
      <c r="A1155">
        <v>2082</v>
      </c>
      <c r="B1155" s="4" t="s">
        <v>164</v>
      </c>
      <c r="C1155" s="4" t="s">
        <v>922</v>
      </c>
      <c r="D1155" s="4" t="s">
        <v>34</v>
      </c>
      <c r="E1155">
        <v>5</v>
      </c>
      <c r="F1155" s="3">
        <v>2725.6487000000002</v>
      </c>
      <c r="G1155" s="2">
        <v>1.1499999999999999</v>
      </c>
      <c r="H1155" s="3">
        <v>0</v>
      </c>
      <c r="I1155" s="1">
        <v>45411</v>
      </c>
      <c r="J1155" s="4" t="s">
        <v>11</v>
      </c>
      <c r="K1155" s="4" t="s">
        <v>40</v>
      </c>
      <c r="L1155" s="3">
        <v>-208.43</v>
      </c>
      <c r="M1155" s="4" t="s">
        <v>1255</v>
      </c>
      <c r="N1155" s="3">
        <v>13628.2435</v>
      </c>
    </row>
    <row r="1156" spans="1:14" x14ac:dyDescent="0.35">
      <c r="A1156">
        <v>2083</v>
      </c>
      <c r="B1156" s="4" t="s">
        <v>328</v>
      </c>
      <c r="C1156" s="4" t="s">
        <v>266</v>
      </c>
      <c r="D1156" s="4" t="s">
        <v>38</v>
      </c>
      <c r="E1156">
        <v>0</v>
      </c>
      <c r="F1156" s="3">
        <v>2105.7399999999998</v>
      </c>
      <c r="G1156" s="2">
        <v>0.34</v>
      </c>
      <c r="H1156" s="3">
        <v>0</v>
      </c>
      <c r="I1156" s="1">
        <v>45710</v>
      </c>
      <c r="J1156" s="4" t="s">
        <v>7</v>
      </c>
      <c r="K1156" s="4" t="s">
        <v>8</v>
      </c>
      <c r="L1156" s="3">
        <v>-907.84</v>
      </c>
      <c r="M1156" s="4" t="s">
        <v>1255</v>
      </c>
      <c r="N1156" s="3">
        <v>0</v>
      </c>
    </row>
    <row r="1157" spans="1:14" x14ac:dyDescent="0.35">
      <c r="A1157">
        <v>2084</v>
      </c>
      <c r="B1157" s="4" t="s">
        <v>923</v>
      </c>
      <c r="C1157" s="4" t="s">
        <v>293</v>
      </c>
      <c r="D1157" s="4" t="s">
        <v>10</v>
      </c>
      <c r="E1157">
        <v>6</v>
      </c>
      <c r="F1157" s="3">
        <v>4068.82</v>
      </c>
      <c r="G1157" s="2">
        <v>0.65900212314225004</v>
      </c>
      <c r="H1157" s="3">
        <v>0</v>
      </c>
      <c r="I1157" s="1">
        <v>45750</v>
      </c>
      <c r="J1157" s="4" t="s">
        <v>9</v>
      </c>
      <c r="K1157" s="4" t="s">
        <v>12</v>
      </c>
      <c r="L1157" s="3">
        <v>719.55</v>
      </c>
      <c r="M1157" s="4" t="s">
        <v>1255</v>
      </c>
      <c r="N1157" s="3">
        <v>24412.92</v>
      </c>
    </row>
    <row r="1158" spans="1:14" hidden="1" x14ac:dyDescent="0.35">
      <c r="A1158">
        <v>2085</v>
      </c>
      <c r="B1158" s="4" t="s">
        <v>375</v>
      </c>
      <c r="C1158" s="4" t="s">
        <v>924</v>
      </c>
      <c r="D1158" s="4" t="s">
        <v>30</v>
      </c>
      <c r="E1158">
        <v>0</v>
      </c>
      <c r="F1158" s="3">
        <v>2726.3825000000002</v>
      </c>
      <c r="G1158" s="2">
        <v>0.65900212314225004</v>
      </c>
      <c r="H1158" s="3">
        <v>0</v>
      </c>
      <c r="I1158" s="1">
        <v>45554</v>
      </c>
      <c r="J1158" s="4" t="s">
        <v>23</v>
      </c>
      <c r="K1158" s="4" t="s">
        <v>40</v>
      </c>
      <c r="L1158" s="3">
        <v>212.87</v>
      </c>
      <c r="M1158" s="4" t="s">
        <v>1255</v>
      </c>
      <c r="N1158" s="3">
        <v>0</v>
      </c>
    </row>
    <row r="1159" spans="1:14" x14ac:dyDescent="0.35">
      <c r="A1159">
        <v>2087</v>
      </c>
      <c r="B1159" s="4" t="s">
        <v>219</v>
      </c>
      <c r="C1159" s="4" t="s">
        <v>187</v>
      </c>
      <c r="D1159" s="4" t="s">
        <v>25</v>
      </c>
      <c r="E1159">
        <v>0</v>
      </c>
      <c r="F1159" s="3">
        <v>2610.84</v>
      </c>
      <c r="G1159" s="2">
        <v>0.65900212314225004</v>
      </c>
      <c r="H1159" s="3">
        <v>0</v>
      </c>
      <c r="I1159" s="1">
        <v>45501</v>
      </c>
      <c r="J1159" s="4" t="s">
        <v>18</v>
      </c>
      <c r="K1159" s="4" t="s">
        <v>8</v>
      </c>
      <c r="L1159" s="3">
        <v>-904.51</v>
      </c>
      <c r="M1159" s="4" t="s">
        <v>1255</v>
      </c>
      <c r="N1159" s="3">
        <v>0</v>
      </c>
    </row>
    <row r="1160" spans="1:14" x14ac:dyDescent="0.35">
      <c r="A1160">
        <v>2088</v>
      </c>
      <c r="B1160" s="4" t="s">
        <v>228</v>
      </c>
      <c r="C1160" s="4" t="s">
        <v>925</v>
      </c>
      <c r="D1160" s="4" t="s">
        <v>22</v>
      </c>
      <c r="E1160">
        <v>0</v>
      </c>
      <c r="F1160" s="3">
        <v>2724.5410000000002</v>
      </c>
      <c r="G1160" s="2">
        <v>0.65900212314225004</v>
      </c>
      <c r="H1160" s="3">
        <v>0</v>
      </c>
      <c r="I1160" s="1">
        <v>45670</v>
      </c>
      <c r="J1160" s="4" t="s">
        <v>11</v>
      </c>
      <c r="K1160" s="4" t="s">
        <v>8</v>
      </c>
      <c r="L1160" s="3">
        <v>1353.01</v>
      </c>
      <c r="M1160" s="4" t="s">
        <v>1255</v>
      </c>
      <c r="N1160" s="3">
        <v>0</v>
      </c>
    </row>
    <row r="1161" spans="1:14" x14ac:dyDescent="0.35">
      <c r="A1161">
        <v>2089</v>
      </c>
      <c r="B1161" s="4" t="s">
        <v>787</v>
      </c>
      <c r="C1161" s="4" t="s">
        <v>345</v>
      </c>
      <c r="D1161" s="4" t="s">
        <v>35</v>
      </c>
      <c r="E1161">
        <v>0</v>
      </c>
      <c r="F1161" s="3">
        <v>1571.58</v>
      </c>
      <c r="G1161" s="2">
        <v>1.17</v>
      </c>
      <c r="H1161" s="3">
        <v>0</v>
      </c>
      <c r="I1161" s="1">
        <v>45192</v>
      </c>
      <c r="J1161" s="4" t="s">
        <v>23</v>
      </c>
      <c r="K1161" s="4" t="s">
        <v>12</v>
      </c>
      <c r="L1161" s="3">
        <v>1195.3399999999999</v>
      </c>
      <c r="M1161" s="4" t="s">
        <v>1255</v>
      </c>
      <c r="N1161" s="3">
        <v>0</v>
      </c>
    </row>
    <row r="1162" spans="1:14" hidden="1" x14ac:dyDescent="0.35">
      <c r="A1162">
        <v>2090</v>
      </c>
      <c r="B1162" s="4" t="s">
        <v>139</v>
      </c>
      <c r="C1162" s="4" t="s">
        <v>112</v>
      </c>
      <c r="D1162" s="4" t="s">
        <v>35</v>
      </c>
      <c r="E1162">
        <v>0</v>
      </c>
      <c r="F1162" s="3">
        <v>940.71</v>
      </c>
      <c r="G1162" s="2">
        <v>0.65791489361702105</v>
      </c>
      <c r="H1162" s="3">
        <v>0</v>
      </c>
      <c r="I1162" s="1">
        <v>45736</v>
      </c>
      <c r="J1162" s="4" t="s">
        <v>7</v>
      </c>
      <c r="K1162" s="4" t="s">
        <v>40</v>
      </c>
      <c r="L1162" s="3">
        <v>1317.26</v>
      </c>
      <c r="M1162" s="4" t="s">
        <v>1255</v>
      </c>
      <c r="N1162" s="3">
        <v>0</v>
      </c>
    </row>
    <row r="1163" spans="1:14" x14ac:dyDescent="0.35">
      <c r="A1163">
        <v>2091</v>
      </c>
      <c r="B1163" s="4" t="s">
        <v>612</v>
      </c>
      <c r="C1163" s="4" t="s">
        <v>757</v>
      </c>
      <c r="D1163" s="4" t="s">
        <v>17</v>
      </c>
      <c r="E1163">
        <v>0</v>
      </c>
      <c r="F1163" s="3">
        <v>1323.61</v>
      </c>
      <c r="G1163" s="2">
        <v>0.65791489361702105</v>
      </c>
      <c r="H1163" s="3">
        <v>0</v>
      </c>
      <c r="I1163" s="1">
        <v>45781</v>
      </c>
      <c r="J1163" s="4" t="s">
        <v>7</v>
      </c>
      <c r="K1163" s="4" t="s">
        <v>8</v>
      </c>
      <c r="L1163" s="3">
        <v>-63.42</v>
      </c>
      <c r="M1163" s="4" t="s">
        <v>1255</v>
      </c>
      <c r="N1163" s="3">
        <v>0</v>
      </c>
    </row>
    <row r="1164" spans="1:14" hidden="1" x14ac:dyDescent="0.35">
      <c r="A1164">
        <v>2092</v>
      </c>
      <c r="B1164" s="4" t="s">
        <v>192</v>
      </c>
      <c r="C1164" s="4" t="s">
        <v>926</v>
      </c>
      <c r="D1164" s="4" t="s">
        <v>29</v>
      </c>
      <c r="E1164">
        <v>0</v>
      </c>
      <c r="F1164" s="3">
        <v>4459.2</v>
      </c>
      <c r="G1164" s="2">
        <v>0.65791489361702105</v>
      </c>
      <c r="H1164" s="3">
        <v>0</v>
      </c>
      <c r="I1164" s="1">
        <v>45739</v>
      </c>
      <c r="J1164" s="4" t="s">
        <v>7</v>
      </c>
      <c r="K1164" s="4" t="s">
        <v>40</v>
      </c>
      <c r="L1164" s="3">
        <v>1008.2</v>
      </c>
      <c r="M1164" s="4" t="s">
        <v>1255</v>
      </c>
      <c r="N1164" s="3">
        <v>0</v>
      </c>
    </row>
    <row r="1165" spans="1:14" hidden="1" x14ac:dyDescent="0.35">
      <c r="A1165">
        <v>2093</v>
      </c>
      <c r="B1165" s="4" t="s">
        <v>330</v>
      </c>
      <c r="C1165" s="4" t="s">
        <v>310</v>
      </c>
      <c r="D1165" s="4" t="s">
        <v>26</v>
      </c>
      <c r="E1165">
        <v>0</v>
      </c>
      <c r="F1165" s="3">
        <v>3163.95</v>
      </c>
      <c r="G1165" s="2">
        <v>0.65791489361702105</v>
      </c>
      <c r="H1165" s="3">
        <v>0</v>
      </c>
      <c r="I1165" s="1">
        <v>45677</v>
      </c>
      <c r="J1165" s="4" t="s">
        <v>11</v>
      </c>
      <c r="K1165" s="4" t="s">
        <v>40</v>
      </c>
      <c r="L1165" s="3">
        <v>1267.01</v>
      </c>
      <c r="M1165" s="4" t="s">
        <v>1255</v>
      </c>
      <c r="N1165" s="3">
        <v>0</v>
      </c>
    </row>
    <row r="1166" spans="1:14" x14ac:dyDescent="0.35">
      <c r="A1166">
        <v>2094</v>
      </c>
      <c r="B1166" s="4" t="s">
        <v>477</v>
      </c>
      <c r="C1166" s="4" t="s">
        <v>468</v>
      </c>
      <c r="D1166" s="4" t="s">
        <v>31</v>
      </c>
      <c r="E1166">
        <v>5</v>
      </c>
      <c r="F1166" s="3">
        <v>2728.2934</v>
      </c>
      <c r="G1166" s="2">
        <v>0.65791489361702105</v>
      </c>
      <c r="H1166" s="3">
        <v>0</v>
      </c>
      <c r="I1166" s="1">
        <v>45677</v>
      </c>
      <c r="J1166" s="4" t="s">
        <v>11</v>
      </c>
      <c r="K1166" s="4" t="s">
        <v>8</v>
      </c>
      <c r="L1166" s="3">
        <v>-769.25</v>
      </c>
      <c r="M1166" s="4" t="s">
        <v>1255</v>
      </c>
      <c r="N1166" s="3">
        <v>13641.467000000001</v>
      </c>
    </row>
    <row r="1167" spans="1:14" x14ac:dyDescent="0.35">
      <c r="A1167">
        <v>2095</v>
      </c>
      <c r="B1167" s="4" t="s">
        <v>71</v>
      </c>
      <c r="C1167" s="4" t="s">
        <v>927</v>
      </c>
      <c r="D1167" s="4" t="s">
        <v>26</v>
      </c>
      <c r="E1167">
        <v>0</v>
      </c>
      <c r="F1167" s="3">
        <v>3809.95</v>
      </c>
      <c r="G1167" s="2">
        <v>1.29</v>
      </c>
      <c r="H1167" s="3">
        <v>0</v>
      </c>
      <c r="I1167" s="1">
        <v>45572</v>
      </c>
      <c r="J1167" s="4" t="s">
        <v>18</v>
      </c>
      <c r="K1167" s="4" t="s">
        <v>12</v>
      </c>
      <c r="L1167" s="3">
        <v>1252.0999999999999</v>
      </c>
      <c r="M1167" s="4" t="s">
        <v>1255</v>
      </c>
      <c r="N1167" s="3">
        <v>0</v>
      </c>
    </row>
    <row r="1168" spans="1:14" x14ac:dyDescent="0.35">
      <c r="A1168">
        <v>2096</v>
      </c>
      <c r="B1168" s="4" t="s">
        <v>145</v>
      </c>
      <c r="C1168" s="4" t="s">
        <v>268</v>
      </c>
      <c r="D1168" s="4" t="s">
        <v>32</v>
      </c>
      <c r="E1168">
        <v>0</v>
      </c>
      <c r="F1168" s="3">
        <v>3906.15</v>
      </c>
      <c r="G1168" s="2">
        <v>1.19</v>
      </c>
      <c r="H1168" s="3">
        <v>0</v>
      </c>
      <c r="I1168" s="1">
        <v>45572</v>
      </c>
      <c r="J1168" s="4" t="s">
        <v>18</v>
      </c>
      <c r="K1168" s="4" t="s">
        <v>12</v>
      </c>
      <c r="L1168" s="3">
        <v>2500.02</v>
      </c>
      <c r="M1168" s="4" t="s">
        <v>1255</v>
      </c>
      <c r="N1168" s="3">
        <v>0</v>
      </c>
    </row>
    <row r="1169" spans="1:14" x14ac:dyDescent="0.35">
      <c r="A1169">
        <v>2097</v>
      </c>
      <c r="B1169" s="4" t="s">
        <v>244</v>
      </c>
      <c r="C1169" s="4" t="s">
        <v>329</v>
      </c>
      <c r="D1169" s="4" t="s">
        <v>26</v>
      </c>
      <c r="E1169">
        <v>3</v>
      </c>
      <c r="F1169" s="3">
        <v>2726.1918999999998</v>
      </c>
      <c r="G1169" s="2">
        <v>0.64</v>
      </c>
      <c r="H1169" s="3">
        <v>0</v>
      </c>
      <c r="I1169" s="1">
        <v>45756</v>
      </c>
      <c r="J1169" s="4" t="s">
        <v>11</v>
      </c>
      <c r="K1169" s="4" t="s">
        <v>8</v>
      </c>
      <c r="L1169" s="3">
        <v>2870.13</v>
      </c>
      <c r="M1169" s="4" t="s">
        <v>1255</v>
      </c>
      <c r="N1169" s="3">
        <v>8178.5757000000003</v>
      </c>
    </row>
    <row r="1170" spans="1:14" hidden="1" x14ac:dyDescent="0.35">
      <c r="A1170">
        <v>2098</v>
      </c>
      <c r="B1170" s="4" t="s">
        <v>333</v>
      </c>
      <c r="C1170" s="4" t="s">
        <v>928</v>
      </c>
      <c r="D1170" s="4" t="s">
        <v>27</v>
      </c>
      <c r="E1170">
        <v>0</v>
      </c>
      <c r="F1170" s="3">
        <v>431.18</v>
      </c>
      <c r="G1170" s="2">
        <v>0.655460385438972</v>
      </c>
      <c r="H1170" s="3">
        <v>0</v>
      </c>
      <c r="I1170" s="1">
        <v>45708</v>
      </c>
      <c r="J1170" s="4" t="s">
        <v>20</v>
      </c>
      <c r="K1170" s="4" t="s">
        <v>40</v>
      </c>
      <c r="L1170" s="3">
        <v>-183.75</v>
      </c>
      <c r="M1170" s="4" t="s">
        <v>1255</v>
      </c>
      <c r="N1170" s="3">
        <v>0</v>
      </c>
    </row>
    <row r="1171" spans="1:14" hidden="1" x14ac:dyDescent="0.35">
      <c r="A1171">
        <v>2099</v>
      </c>
      <c r="B1171" s="4" t="s">
        <v>96</v>
      </c>
      <c r="C1171" s="4" t="s">
        <v>166</v>
      </c>
      <c r="D1171" s="4" t="s">
        <v>15</v>
      </c>
      <c r="E1171">
        <v>0</v>
      </c>
      <c r="F1171" s="3">
        <v>1806.81</v>
      </c>
      <c r="G1171" s="2">
        <v>1.1000000000000001</v>
      </c>
      <c r="H1171" s="3">
        <v>0</v>
      </c>
      <c r="I1171" s="1">
        <v>45581</v>
      </c>
      <c r="J1171" s="4" t="s">
        <v>9</v>
      </c>
      <c r="K1171" s="4" t="s">
        <v>40</v>
      </c>
      <c r="L1171" s="3">
        <v>591.13</v>
      </c>
      <c r="M1171" s="4" t="s">
        <v>1255</v>
      </c>
      <c r="N1171" s="3">
        <v>0</v>
      </c>
    </row>
    <row r="1172" spans="1:14" x14ac:dyDescent="0.35">
      <c r="A1172">
        <v>2100</v>
      </c>
      <c r="B1172" s="4" t="s">
        <v>145</v>
      </c>
      <c r="C1172" s="4" t="s">
        <v>301</v>
      </c>
      <c r="D1172" s="4" t="s">
        <v>38</v>
      </c>
      <c r="E1172">
        <v>-1</v>
      </c>
      <c r="F1172" s="3">
        <v>1528.94</v>
      </c>
      <c r="G1172" s="2">
        <v>0.67</v>
      </c>
      <c r="H1172" s="3">
        <v>-504.55</v>
      </c>
      <c r="I1172" s="1">
        <v>45683</v>
      </c>
      <c r="J1172" s="4" t="s">
        <v>7</v>
      </c>
      <c r="K1172" s="4" t="s">
        <v>12</v>
      </c>
      <c r="L1172" s="3">
        <v>2294.33</v>
      </c>
      <c r="M1172" s="4" t="s">
        <v>1255</v>
      </c>
      <c r="N1172" s="3">
        <v>-1528.94</v>
      </c>
    </row>
    <row r="1173" spans="1:14" x14ac:dyDescent="0.35">
      <c r="A1173">
        <v>2101</v>
      </c>
      <c r="B1173" s="4" t="s">
        <v>544</v>
      </c>
      <c r="C1173" s="4" t="s">
        <v>929</v>
      </c>
      <c r="D1173" s="4" t="s">
        <v>16</v>
      </c>
      <c r="E1173">
        <v>0</v>
      </c>
      <c r="F1173" s="3">
        <v>1020.85</v>
      </c>
      <c r="G1173" s="2">
        <v>0.65447311827957</v>
      </c>
      <c r="H1173" s="3">
        <v>0</v>
      </c>
      <c r="I1173" s="1">
        <v>45465</v>
      </c>
      <c r="J1173" s="4" t="s">
        <v>9</v>
      </c>
      <c r="K1173" s="4" t="s">
        <v>12</v>
      </c>
      <c r="L1173" s="3">
        <v>-881.4</v>
      </c>
      <c r="M1173" s="4" t="s">
        <v>1255</v>
      </c>
      <c r="N1173" s="3">
        <v>0</v>
      </c>
    </row>
    <row r="1174" spans="1:14" x14ac:dyDescent="0.35">
      <c r="A1174">
        <v>2102</v>
      </c>
      <c r="B1174" s="4" t="s">
        <v>587</v>
      </c>
      <c r="C1174" s="4" t="s">
        <v>106</v>
      </c>
      <c r="D1174" s="4" t="s">
        <v>24</v>
      </c>
      <c r="E1174">
        <v>0</v>
      </c>
      <c r="F1174" s="3">
        <v>2581.29</v>
      </c>
      <c r="G1174" s="2">
        <v>0.65447311827957</v>
      </c>
      <c r="H1174" s="3">
        <v>0</v>
      </c>
      <c r="I1174" s="1">
        <v>45617</v>
      </c>
      <c r="J1174" s="4" t="s">
        <v>23</v>
      </c>
      <c r="K1174" s="4" t="s">
        <v>12</v>
      </c>
      <c r="L1174" s="3">
        <v>2300.14</v>
      </c>
      <c r="M1174" s="4" t="s">
        <v>1255</v>
      </c>
      <c r="N1174" s="3">
        <v>0</v>
      </c>
    </row>
    <row r="1175" spans="1:14" hidden="1" x14ac:dyDescent="0.35">
      <c r="A1175">
        <v>2103</v>
      </c>
      <c r="B1175" s="4" t="s">
        <v>510</v>
      </c>
      <c r="C1175" s="4" t="s">
        <v>830</v>
      </c>
      <c r="D1175" s="4" t="s">
        <v>6</v>
      </c>
      <c r="E1175">
        <v>3</v>
      </c>
      <c r="F1175" s="3">
        <v>2733.0776000000001</v>
      </c>
      <c r="G1175" s="2">
        <v>0.56000000000000005</v>
      </c>
      <c r="H1175" s="3">
        <v>0</v>
      </c>
      <c r="I1175" s="1">
        <v>45617</v>
      </c>
      <c r="J1175" s="4" t="s">
        <v>9</v>
      </c>
      <c r="K1175" s="4" t="s">
        <v>40</v>
      </c>
      <c r="L1175" s="3">
        <v>-244.29</v>
      </c>
      <c r="M1175" s="4" t="s">
        <v>1255</v>
      </c>
      <c r="N1175" s="3">
        <v>8199.2327999999998</v>
      </c>
    </row>
    <row r="1176" spans="1:14" hidden="1" x14ac:dyDescent="0.35">
      <c r="A1176">
        <v>2104</v>
      </c>
      <c r="B1176" s="4" t="s">
        <v>930</v>
      </c>
      <c r="C1176" s="4" t="s">
        <v>748</v>
      </c>
      <c r="D1176" s="4" t="s">
        <v>28</v>
      </c>
      <c r="E1176">
        <v>0</v>
      </c>
      <c r="F1176" s="3">
        <v>2211.06</v>
      </c>
      <c r="G1176" s="2">
        <v>0.26</v>
      </c>
      <c r="H1176" s="3">
        <v>0</v>
      </c>
      <c r="I1176" s="1">
        <v>45837</v>
      </c>
      <c r="J1176" s="4" t="s">
        <v>23</v>
      </c>
      <c r="K1176" s="4" t="s">
        <v>40</v>
      </c>
      <c r="L1176" s="3">
        <v>2143.54</v>
      </c>
      <c r="M1176" s="4" t="s">
        <v>1255</v>
      </c>
      <c r="N1176" s="3">
        <v>0</v>
      </c>
    </row>
    <row r="1177" spans="1:14" x14ac:dyDescent="0.35">
      <c r="A1177">
        <v>2105</v>
      </c>
      <c r="B1177" s="4" t="s">
        <v>304</v>
      </c>
      <c r="C1177" s="4" t="s">
        <v>931</v>
      </c>
      <c r="D1177" s="4" t="s">
        <v>38</v>
      </c>
      <c r="E1177">
        <v>-1</v>
      </c>
      <c r="F1177" s="3">
        <v>3643.63</v>
      </c>
      <c r="G1177" s="2">
        <v>0.19</v>
      </c>
      <c r="H1177" s="3">
        <v>-2951.34</v>
      </c>
      <c r="I1177" s="1">
        <v>45754</v>
      </c>
      <c r="J1177" s="4" t="s">
        <v>11</v>
      </c>
      <c r="K1177" s="4" t="s">
        <v>8</v>
      </c>
      <c r="L1177" s="3">
        <v>375.4</v>
      </c>
      <c r="M1177" s="4" t="s">
        <v>1255</v>
      </c>
      <c r="N1177" s="3">
        <v>-3643.63</v>
      </c>
    </row>
    <row r="1178" spans="1:14" x14ac:dyDescent="0.35">
      <c r="A1178">
        <v>2106</v>
      </c>
      <c r="B1178" s="4" t="s">
        <v>849</v>
      </c>
      <c r="C1178" s="4" t="s">
        <v>676</v>
      </c>
      <c r="D1178" s="4" t="s">
        <v>25</v>
      </c>
      <c r="E1178">
        <v>4</v>
      </c>
      <c r="F1178" s="3">
        <v>4312.21</v>
      </c>
      <c r="G1178" s="2">
        <v>0.65653679653679597</v>
      </c>
      <c r="H1178" s="3">
        <v>0</v>
      </c>
      <c r="I1178" s="1">
        <v>45404</v>
      </c>
      <c r="J1178" s="4" t="s">
        <v>7</v>
      </c>
      <c r="K1178" s="4" t="s">
        <v>8</v>
      </c>
      <c r="L1178" s="3">
        <v>552.97</v>
      </c>
      <c r="M1178" s="4" t="s">
        <v>1255</v>
      </c>
      <c r="N1178" s="3">
        <v>17248.84</v>
      </c>
    </row>
    <row r="1179" spans="1:14" x14ac:dyDescent="0.35">
      <c r="A1179">
        <v>2107</v>
      </c>
      <c r="B1179" s="4" t="s">
        <v>87</v>
      </c>
      <c r="C1179" s="4" t="s">
        <v>592</v>
      </c>
      <c r="D1179" s="4" t="s">
        <v>25</v>
      </c>
      <c r="E1179">
        <v>0</v>
      </c>
      <c r="F1179" s="3">
        <v>2686.05</v>
      </c>
      <c r="G1179" s="2">
        <v>0.65653679653679597</v>
      </c>
      <c r="H1179" s="3">
        <v>0</v>
      </c>
      <c r="I1179" s="1">
        <v>45661</v>
      </c>
      <c r="J1179" s="4" t="s">
        <v>23</v>
      </c>
      <c r="K1179" s="4" t="s">
        <v>8</v>
      </c>
      <c r="L1179" s="3">
        <v>2643.46</v>
      </c>
      <c r="M1179" s="4" t="s">
        <v>1255</v>
      </c>
      <c r="N1179" s="3">
        <v>0</v>
      </c>
    </row>
    <row r="1180" spans="1:14" x14ac:dyDescent="0.35">
      <c r="A1180">
        <v>2108</v>
      </c>
      <c r="B1180" s="4" t="s">
        <v>932</v>
      </c>
      <c r="C1180" s="4" t="s">
        <v>496</v>
      </c>
      <c r="D1180" s="4" t="s">
        <v>21</v>
      </c>
      <c r="E1180">
        <v>0</v>
      </c>
      <c r="F1180" s="3">
        <v>2538.3000000000002</v>
      </c>
      <c r="G1180" s="2">
        <v>0.65653679653679597</v>
      </c>
      <c r="H1180" s="3">
        <v>0</v>
      </c>
      <c r="I1180" s="1">
        <v>45795</v>
      </c>
      <c r="J1180" s="4" t="s">
        <v>11</v>
      </c>
      <c r="K1180" s="4" t="s">
        <v>12</v>
      </c>
      <c r="L1180" s="3">
        <v>-820.5</v>
      </c>
      <c r="M1180" s="4" t="s">
        <v>1255</v>
      </c>
      <c r="N1180" s="3">
        <v>0</v>
      </c>
    </row>
    <row r="1181" spans="1:14" x14ac:dyDescent="0.35">
      <c r="A1181">
        <v>2109</v>
      </c>
      <c r="B1181" s="4" t="s">
        <v>679</v>
      </c>
      <c r="C1181" s="4" t="s">
        <v>933</v>
      </c>
      <c r="D1181" s="4" t="s">
        <v>16</v>
      </c>
      <c r="E1181">
        <v>0</v>
      </c>
      <c r="F1181" s="3">
        <v>1901.86</v>
      </c>
      <c r="G1181" s="2">
        <v>0.65653679653679597</v>
      </c>
      <c r="H1181" s="3">
        <v>0</v>
      </c>
      <c r="I1181" s="1">
        <v>45795</v>
      </c>
      <c r="J1181" s="4" t="s">
        <v>20</v>
      </c>
      <c r="K1181" s="4" t="s">
        <v>8</v>
      </c>
      <c r="L1181" s="3">
        <v>-906.34</v>
      </c>
      <c r="M1181" s="4" t="s">
        <v>1255</v>
      </c>
      <c r="N1181" s="3">
        <v>0</v>
      </c>
    </row>
    <row r="1182" spans="1:14" hidden="1" x14ac:dyDescent="0.35">
      <c r="A1182">
        <v>2110</v>
      </c>
      <c r="B1182" s="4" t="s">
        <v>934</v>
      </c>
      <c r="C1182" s="4" t="s">
        <v>138</v>
      </c>
      <c r="D1182" s="4" t="s">
        <v>26</v>
      </c>
      <c r="E1182">
        <v>0</v>
      </c>
      <c r="F1182" s="3">
        <v>2730.8636999999999</v>
      </c>
      <c r="G1182" s="2">
        <v>1.21</v>
      </c>
      <c r="H1182" s="3">
        <v>0</v>
      </c>
      <c r="I1182" s="1">
        <v>45795</v>
      </c>
      <c r="J1182" s="4" t="s">
        <v>11</v>
      </c>
      <c r="K1182" s="4" t="s">
        <v>40</v>
      </c>
      <c r="L1182" s="3">
        <v>2891.52</v>
      </c>
      <c r="M1182" s="4" t="s">
        <v>1255</v>
      </c>
      <c r="N1182" s="3">
        <v>0</v>
      </c>
    </row>
    <row r="1183" spans="1:14" x14ac:dyDescent="0.35">
      <c r="A1183">
        <v>2111</v>
      </c>
      <c r="B1183" s="4" t="s">
        <v>262</v>
      </c>
      <c r="C1183" s="4" t="s">
        <v>935</v>
      </c>
      <c r="D1183" s="4" t="s">
        <v>29</v>
      </c>
      <c r="E1183">
        <v>0</v>
      </c>
      <c r="F1183" s="3">
        <v>1934.02</v>
      </c>
      <c r="G1183" s="2">
        <v>0.65533622559652904</v>
      </c>
      <c r="H1183" s="3">
        <v>0</v>
      </c>
      <c r="I1183" s="1">
        <v>45854</v>
      </c>
      <c r="J1183" s="4" t="s">
        <v>7</v>
      </c>
      <c r="K1183" s="4" t="s">
        <v>12</v>
      </c>
      <c r="L1183" s="3">
        <v>897.11</v>
      </c>
      <c r="M1183" s="4" t="s">
        <v>1255</v>
      </c>
      <c r="N1183" s="3">
        <v>0</v>
      </c>
    </row>
    <row r="1184" spans="1:14" x14ac:dyDescent="0.35">
      <c r="A1184">
        <v>2112</v>
      </c>
      <c r="B1184" s="4" t="s">
        <v>85</v>
      </c>
      <c r="C1184" s="4" t="s">
        <v>158</v>
      </c>
      <c r="D1184" s="4" t="s">
        <v>32</v>
      </c>
      <c r="E1184">
        <v>0</v>
      </c>
      <c r="F1184" s="3">
        <v>3248.14</v>
      </c>
      <c r="G1184" s="2">
        <v>0.18</v>
      </c>
      <c r="H1184" s="3">
        <v>0</v>
      </c>
      <c r="I1184" s="1">
        <v>45854</v>
      </c>
      <c r="J1184" s="4" t="s">
        <v>20</v>
      </c>
      <c r="K1184" s="4" t="s">
        <v>12</v>
      </c>
      <c r="L1184" s="3">
        <v>1536.06</v>
      </c>
      <c r="M1184" s="4" t="s">
        <v>1255</v>
      </c>
      <c r="N1184" s="3">
        <v>0</v>
      </c>
    </row>
    <row r="1185" spans="1:14" x14ac:dyDescent="0.35">
      <c r="A1185">
        <v>2113</v>
      </c>
      <c r="B1185" s="4" t="s">
        <v>121</v>
      </c>
      <c r="C1185" s="4" t="s">
        <v>734</v>
      </c>
      <c r="D1185" s="4" t="s">
        <v>17</v>
      </c>
      <c r="E1185">
        <v>0</v>
      </c>
      <c r="F1185" s="3">
        <v>2733.1568000000002</v>
      </c>
      <c r="G1185" s="2">
        <v>0.65636956521739098</v>
      </c>
      <c r="H1185" s="3">
        <v>0</v>
      </c>
      <c r="I1185" s="1">
        <v>45854</v>
      </c>
      <c r="J1185" s="4" t="s">
        <v>7</v>
      </c>
      <c r="K1185" s="4" t="s">
        <v>12</v>
      </c>
      <c r="L1185" s="3">
        <v>2500.56</v>
      </c>
      <c r="M1185" s="4" t="s">
        <v>1255</v>
      </c>
      <c r="N1185" s="3">
        <v>0</v>
      </c>
    </row>
    <row r="1186" spans="1:14" hidden="1" x14ac:dyDescent="0.35">
      <c r="A1186">
        <v>2114</v>
      </c>
      <c r="B1186" s="4" t="s">
        <v>50</v>
      </c>
      <c r="C1186" s="4" t="s">
        <v>234</v>
      </c>
      <c r="D1186" s="4" t="s">
        <v>24</v>
      </c>
      <c r="E1186">
        <v>0</v>
      </c>
      <c r="F1186" s="3">
        <v>2732.4295000000002</v>
      </c>
      <c r="G1186" s="2">
        <v>0.65636956521739098</v>
      </c>
      <c r="H1186" s="3">
        <v>0</v>
      </c>
      <c r="I1186" s="1">
        <v>45719</v>
      </c>
      <c r="J1186" s="4" t="s">
        <v>11</v>
      </c>
      <c r="K1186" s="4" t="s">
        <v>40</v>
      </c>
      <c r="L1186" s="3">
        <v>1393.12</v>
      </c>
      <c r="M1186" s="4" t="s">
        <v>1255</v>
      </c>
      <c r="N1186" s="3">
        <v>0</v>
      </c>
    </row>
    <row r="1187" spans="1:14" x14ac:dyDescent="0.35">
      <c r="A1187">
        <v>2115</v>
      </c>
      <c r="B1187" s="4" t="s">
        <v>936</v>
      </c>
      <c r="C1187" s="4" t="s">
        <v>937</v>
      </c>
      <c r="D1187" s="4" t="s">
        <v>21</v>
      </c>
      <c r="E1187">
        <v>0</v>
      </c>
      <c r="F1187" s="3">
        <v>2732.4295000000002</v>
      </c>
      <c r="G1187" s="2">
        <v>0.65636956521739098</v>
      </c>
      <c r="H1187" s="3">
        <v>0</v>
      </c>
      <c r="I1187" s="1">
        <v>45710</v>
      </c>
      <c r="J1187" s="4" t="s">
        <v>9</v>
      </c>
      <c r="K1187" s="4" t="s">
        <v>8</v>
      </c>
      <c r="L1187" s="3">
        <v>2100.4</v>
      </c>
      <c r="M1187" s="4" t="s">
        <v>1255</v>
      </c>
      <c r="N1187" s="3">
        <v>0</v>
      </c>
    </row>
    <row r="1188" spans="1:14" x14ac:dyDescent="0.35">
      <c r="A1188">
        <v>2116</v>
      </c>
      <c r="B1188" s="4" t="s">
        <v>757</v>
      </c>
      <c r="C1188" s="4" t="s">
        <v>938</v>
      </c>
      <c r="D1188" s="4" t="s">
        <v>35</v>
      </c>
      <c r="E1188">
        <v>2</v>
      </c>
      <c r="F1188" s="3">
        <v>2732.4295000000002</v>
      </c>
      <c r="G1188" s="2">
        <v>0.65636956521739098</v>
      </c>
      <c r="H1188" s="3">
        <v>0</v>
      </c>
      <c r="I1188" s="1">
        <v>45550</v>
      </c>
      <c r="J1188" s="4" t="s">
        <v>9</v>
      </c>
      <c r="K1188" s="4" t="s">
        <v>12</v>
      </c>
      <c r="L1188" s="3">
        <v>87.1</v>
      </c>
      <c r="M1188" s="4" t="s">
        <v>1255</v>
      </c>
      <c r="N1188" s="3">
        <v>5464.8590000000004</v>
      </c>
    </row>
    <row r="1189" spans="1:14" x14ac:dyDescent="0.35">
      <c r="A1189">
        <v>2117</v>
      </c>
      <c r="B1189" s="4" t="s">
        <v>319</v>
      </c>
      <c r="C1189" s="4" t="s">
        <v>399</v>
      </c>
      <c r="D1189" s="4" t="s">
        <v>24</v>
      </c>
      <c r="E1189">
        <v>0</v>
      </c>
      <c r="F1189" s="3">
        <v>4767.37</v>
      </c>
      <c r="G1189" s="2">
        <v>0.65636956521739098</v>
      </c>
      <c r="H1189" s="3">
        <v>0</v>
      </c>
      <c r="I1189" s="1">
        <v>45553</v>
      </c>
      <c r="J1189" s="4" t="s">
        <v>7</v>
      </c>
      <c r="K1189" s="4" t="s">
        <v>12</v>
      </c>
      <c r="L1189" s="3">
        <v>2319.14</v>
      </c>
      <c r="M1189" s="4" t="s">
        <v>1255</v>
      </c>
      <c r="N1189" s="3">
        <v>0</v>
      </c>
    </row>
    <row r="1190" spans="1:14" x14ac:dyDescent="0.35">
      <c r="A1190">
        <v>2118</v>
      </c>
      <c r="B1190" s="4" t="s">
        <v>113</v>
      </c>
      <c r="C1190" s="4" t="s">
        <v>176</v>
      </c>
      <c r="D1190" s="4" t="s">
        <v>25</v>
      </c>
      <c r="E1190">
        <v>3</v>
      </c>
      <c r="F1190" s="3">
        <v>3952.46</v>
      </c>
      <c r="G1190" s="2">
        <v>0.82</v>
      </c>
      <c r="H1190" s="3">
        <v>2134.33</v>
      </c>
      <c r="I1190" s="1">
        <v>45767</v>
      </c>
      <c r="J1190" s="4" t="s">
        <v>18</v>
      </c>
      <c r="K1190" s="4" t="s">
        <v>8</v>
      </c>
      <c r="L1190" s="3">
        <v>836.99</v>
      </c>
      <c r="M1190" s="4" t="s">
        <v>1256</v>
      </c>
      <c r="N1190" s="3">
        <v>11857.38</v>
      </c>
    </row>
    <row r="1191" spans="1:14" x14ac:dyDescent="0.35">
      <c r="A1191">
        <v>2119</v>
      </c>
      <c r="B1191" s="4" t="s">
        <v>939</v>
      </c>
      <c r="C1191" s="4" t="s">
        <v>82</v>
      </c>
      <c r="D1191" s="4" t="s">
        <v>13</v>
      </c>
      <c r="E1191">
        <v>0</v>
      </c>
      <c r="F1191" s="3">
        <v>537.77</v>
      </c>
      <c r="G1191" s="2">
        <v>0.05</v>
      </c>
      <c r="H1191" s="3">
        <v>0</v>
      </c>
      <c r="I1191" s="1">
        <v>45612</v>
      </c>
      <c r="J1191" s="4" t="s">
        <v>18</v>
      </c>
      <c r="K1191" s="4" t="s">
        <v>8</v>
      </c>
      <c r="L1191" s="3">
        <v>2205.16</v>
      </c>
      <c r="M1191" s="4" t="s">
        <v>1255</v>
      </c>
      <c r="N1191" s="3">
        <v>0</v>
      </c>
    </row>
    <row r="1192" spans="1:14" hidden="1" x14ac:dyDescent="0.35">
      <c r="A1192">
        <v>2120</v>
      </c>
      <c r="B1192" s="4" t="s">
        <v>274</v>
      </c>
      <c r="C1192" s="4" t="s">
        <v>940</v>
      </c>
      <c r="D1192" s="4" t="s">
        <v>33</v>
      </c>
      <c r="E1192">
        <v>0</v>
      </c>
      <c r="F1192" s="3">
        <v>3321.05</v>
      </c>
      <c r="G1192" s="2">
        <v>1.05</v>
      </c>
      <c r="H1192" s="3">
        <v>0</v>
      </c>
      <c r="I1192" s="1">
        <v>45419</v>
      </c>
      <c r="J1192" s="4" t="s">
        <v>23</v>
      </c>
      <c r="K1192" s="4" t="s">
        <v>40</v>
      </c>
      <c r="L1192" s="3">
        <v>-196.89</v>
      </c>
      <c r="M1192" s="4" t="s">
        <v>1255</v>
      </c>
      <c r="N1192" s="3">
        <v>0</v>
      </c>
    </row>
    <row r="1193" spans="1:14" hidden="1" x14ac:dyDescent="0.35">
      <c r="A1193">
        <v>2121</v>
      </c>
      <c r="B1193" s="4" t="s">
        <v>536</v>
      </c>
      <c r="C1193" s="4" t="s">
        <v>924</v>
      </c>
      <c r="D1193" s="4" t="s">
        <v>16</v>
      </c>
      <c r="E1193">
        <v>2</v>
      </c>
      <c r="F1193" s="3">
        <v>1209.8</v>
      </c>
      <c r="G1193" s="2">
        <v>0.65647702407002195</v>
      </c>
      <c r="H1193" s="3">
        <v>0</v>
      </c>
      <c r="I1193" s="1">
        <v>45363</v>
      </c>
      <c r="J1193" s="4" t="s">
        <v>18</v>
      </c>
      <c r="K1193" s="4" t="s">
        <v>40</v>
      </c>
      <c r="L1193" s="3">
        <v>959.68</v>
      </c>
      <c r="M1193" s="4" t="s">
        <v>1255</v>
      </c>
      <c r="N1193" s="3">
        <v>2419.6</v>
      </c>
    </row>
    <row r="1194" spans="1:14" x14ac:dyDescent="0.35">
      <c r="A1194">
        <v>2122</v>
      </c>
      <c r="B1194" s="4" t="s">
        <v>121</v>
      </c>
      <c r="C1194" s="4" t="s">
        <v>694</v>
      </c>
      <c r="D1194" s="4" t="s">
        <v>21</v>
      </c>
      <c r="E1194">
        <v>0</v>
      </c>
      <c r="F1194" s="3">
        <v>2730.0871999999999</v>
      </c>
      <c r="G1194" s="2">
        <v>0.17</v>
      </c>
      <c r="H1194" s="3">
        <v>0</v>
      </c>
      <c r="I1194" s="1">
        <v>45363</v>
      </c>
      <c r="J1194" s="4" t="s">
        <v>7</v>
      </c>
      <c r="K1194" s="4" t="s">
        <v>8</v>
      </c>
      <c r="L1194" s="3">
        <v>1823.39</v>
      </c>
      <c r="M1194" s="4" t="s">
        <v>1255</v>
      </c>
      <c r="N1194" s="3">
        <v>0</v>
      </c>
    </row>
    <row r="1195" spans="1:14" x14ac:dyDescent="0.35">
      <c r="A1195">
        <v>2123</v>
      </c>
      <c r="B1195" s="4" t="s">
        <v>282</v>
      </c>
      <c r="C1195" s="4" t="s">
        <v>116</v>
      </c>
      <c r="D1195" s="4" t="s">
        <v>27</v>
      </c>
      <c r="E1195">
        <v>0</v>
      </c>
      <c r="F1195" s="3">
        <v>2732.2498000000001</v>
      </c>
      <c r="G1195" s="2">
        <v>1.05</v>
      </c>
      <c r="H1195" s="3">
        <v>0</v>
      </c>
      <c r="I1195" s="1">
        <v>45708</v>
      </c>
      <c r="J1195" s="4" t="s">
        <v>7</v>
      </c>
      <c r="K1195" s="4" t="s">
        <v>8</v>
      </c>
      <c r="L1195" s="3">
        <v>36.15</v>
      </c>
      <c r="M1195" s="4" t="s">
        <v>1255</v>
      </c>
      <c r="N1195" s="3">
        <v>0</v>
      </c>
    </row>
    <row r="1196" spans="1:14" x14ac:dyDescent="0.35">
      <c r="A1196">
        <v>2124</v>
      </c>
      <c r="B1196" s="4" t="s">
        <v>141</v>
      </c>
      <c r="C1196" s="4" t="s">
        <v>931</v>
      </c>
      <c r="D1196" s="4" t="s">
        <v>28</v>
      </c>
      <c r="E1196">
        <v>0</v>
      </c>
      <c r="F1196" s="3">
        <v>3881.17</v>
      </c>
      <c r="G1196" s="2">
        <v>0.65668131868131896</v>
      </c>
      <c r="H1196" s="3">
        <v>0</v>
      </c>
      <c r="I1196" s="1">
        <v>45284</v>
      </c>
      <c r="J1196" s="4" t="s">
        <v>11</v>
      </c>
      <c r="K1196" s="4" t="s">
        <v>12</v>
      </c>
      <c r="L1196" s="3">
        <v>339.88</v>
      </c>
      <c r="M1196" s="4" t="s">
        <v>1255</v>
      </c>
      <c r="N1196" s="3">
        <v>0</v>
      </c>
    </row>
    <row r="1197" spans="1:14" x14ac:dyDescent="0.35">
      <c r="A1197">
        <v>2125</v>
      </c>
      <c r="B1197" s="4" t="s">
        <v>262</v>
      </c>
      <c r="C1197" s="4" t="s">
        <v>869</v>
      </c>
      <c r="D1197" s="4" t="s">
        <v>6</v>
      </c>
      <c r="E1197">
        <v>0</v>
      </c>
      <c r="F1197" s="3">
        <v>2732.2498000000001</v>
      </c>
      <c r="G1197" s="2">
        <v>0.93</v>
      </c>
      <c r="H1197" s="3">
        <v>0</v>
      </c>
      <c r="I1197" s="1">
        <v>45577</v>
      </c>
      <c r="J1197" s="4" t="s">
        <v>23</v>
      </c>
      <c r="K1197" s="4" t="s">
        <v>12</v>
      </c>
      <c r="L1197" s="3">
        <v>301.27999999999997</v>
      </c>
      <c r="M1197" s="4" t="s">
        <v>1255</v>
      </c>
      <c r="N1197" s="3">
        <v>0</v>
      </c>
    </row>
    <row r="1198" spans="1:14" x14ac:dyDescent="0.35">
      <c r="A1198">
        <v>2126</v>
      </c>
      <c r="B1198" s="4" t="s">
        <v>482</v>
      </c>
      <c r="C1198" s="4" t="s">
        <v>941</v>
      </c>
      <c r="D1198" s="4" t="s">
        <v>19</v>
      </c>
      <c r="E1198">
        <v>0</v>
      </c>
      <c r="F1198" s="3">
        <v>820.88</v>
      </c>
      <c r="G1198" s="2">
        <v>0.01</v>
      </c>
      <c r="H1198" s="3">
        <v>0</v>
      </c>
      <c r="I1198" s="1">
        <v>45577</v>
      </c>
      <c r="J1198" s="4" t="s">
        <v>9</v>
      </c>
      <c r="K1198" s="4" t="s">
        <v>8</v>
      </c>
      <c r="L1198" s="3">
        <v>597.78</v>
      </c>
      <c r="M1198" s="4" t="s">
        <v>1255</v>
      </c>
      <c r="N1198" s="3">
        <v>0</v>
      </c>
    </row>
    <row r="1199" spans="1:14" x14ac:dyDescent="0.35">
      <c r="A1199">
        <v>2127</v>
      </c>
      <c r="B1199" s="4" t="s">
        <v>248</v>
      </c>
      <c r="C1199" s="4" t="s">
        <v>666</v>
      </c>
      <c r="D1199" s="4" t="s">
        <v>19</v>
      </c>
      <c r="E1199">
        <v>6</v>
      </c>
      <c r="F1199" s="3">
        <v>2730.6131999999998</v>
      </c>
      <c r="G1199" s="2">
        <v>0.94</v>
      </c>
      <c r="H1199" s="3">
        <v>0</v>
      </c>
      <c r="I1199" s="1">
        <v>45577</v>
      </c>
      <c r="J1199" s="4" t="s">
        <v>7</v>
      </c>
      <c r="K1199" s="4" t="s">
        <v>12</v>
      </c>
      <c r="L1199" s="3">
        <v>2427.9499999999998</v>
      </c>
      <c r="M1199" s="4" t="s">
        <v>1255</v>
      </c>
      <c r="N1199" s="3">
        <v>16383.6792</v>
      </c>
    </row>
    <row r="1200" spans="1:14" x14ac:dyDescent="0.35">
      <c r="A1200">
        <v>2128</v>
      </c>
      <c r="B1200" s="4" t="s">
        <v>942</v>
      </c>
      <c r="C1200" s="4" t="s">
        <v>943</v>
      </c>
      <c r="D1200" s="4" t="s">
        <v>33</v>
      </c>
      <c r="E1200">
        <v>0</v>
      </c>
      <c r="F1200" s="3">
        <v>2733.3375000000001</v>
      </c>
      <c r="G1200" s="2">
        <v>0.08</v>
      </c>
      <c r="H1200" s="3">
        <v>0</v>
      </c>
      <c r="I1200" s="1">
        <v>45567</v>
      </c>
      <c r="J1200" s="4" t="s">
        <v>18</v>
      </c>
      <c r="K1200" s="4" t="s">
        <v>8</v>
      </c>
      <c r="L1200" s="3">
        <v>-237.66</v>
      </c>
      <c r="M1200" s="4" t="s">
        <v>1255</v>
      </c>
      <c r="N1200" s="3">
        <v>0</v>
      </c>
    </row>
    <row r="1201" spans="1:14" x14ac:dyDescent="0.35">
      <c r="A1201">
        <v>2130</v>
      </c>
      <c r="B1201" s="4" t="s">
        <v>125</v>
      </c>
      <c r="C1201" s="4" t="s">
        <v>61</v>
      </c>
      <c r="D1201" s="4" t="s">
        <v>27</v>
      </c>
      <c r="E1201">
        <v>0</v>
      </c>
      <c r="F1201" s="3">
        <v>2733.3375000000001</v>
      </c>
      <c r="G1201" s="2">
        <v>0.36</v>
      </c>
      <c r="H1201" s="3">
        <v>0</v>
      </c>
      <c r="I1201" s="1">
        <v>45810</v>
      </c>
      <c r="J1201" s="4" t="s">
        <v>20</v>
      </c>
      <c r="K1201" s="4" t="s">
        <v>8</v>
      </c>
      <c r="L1201" s="3">
        <v>1132.58</v>
      </c>
      <c r="M1201" s="4" t="s">
        <v>1255</v>
      </c>
      <c r="N1201" s="3">
        <v>0</v>
      </c>
    </row>
    <row r="1202" spans="1:14" hidden="1" x14ac:dyDescent="0.35">
      <c r="A1202">
        <v>2131</v>
      </c>
      <c r="B1202" s="4" t="s">
        <v>121</v>
      </c>
      <c r="C1202" s="4" t="s">
        <v>109</v>
      </c>
      <c r="D1202" s="4" t="s">
        <v>38</v>
      </c>
      <c r="E1202">
        <v>1</v>
      </c>
      <c r="F1202" s="3">
        <v>2734.8339000000001</v>
      </c>
      <c r="G1202" s="2">
        <v>0.65882222222222198</v>
      </c>
      <c r="H1202" s="3">
        <v>0</v>
      </c>
      <c r="I1202" s="1">
        <v>45819</v>
      </c>
      <c r="J1202" s="4" t="s">
        <v>20</v>
      </c>
      <c r="K1202" s="4" t="s">
        <v>40</v>
      </c>
      <c r="L1202" s="3">
        <v>1004.43</v>
      </c>
      <c r="M1202" s="4" t="s">
        <v>1255</v>
      </c>
      <c r="N1202" s="3">
        <v>2734.8339000000001</v>
      </c>
    </row>
    <row r="1203" spans="1:14" x14ac:dyDescent="0.35">
      <c r="A1203">
        <v>2132</v>
      </c>
      <c r="B1203" s="4" t="s">
        <v>122</v>
      </c>
      <c r="C1203" s="4" t="s">
        <v>507</v>
      </c>
      <c r="D1203" s="4" t="s">
        <v>6</v>
      </c>
      <c r="E1203">
        <v>4</v>
      </c>
      <c r="F1203" s="3">
        <v>2734.8339000000001</v>
      </c>
      <c r="G1203" s="2">
        <v>0.65882222222222198</v>
      </c>
      <c r="H1203" s="3">
        <v>0</v>
      </c>
      <c r="I1203" s="1">
        <v>45729</v>
      </c>
      <c r="J1203" s="4" t="s">
        <v>11</v>
      </c>
      <c r="K1203" s="4" t="s">
        <v>12</v>
      </c>
      <c r="L1203" s="3">
        <v>680.91</v>
      </c>
      <c r="M1203" s="4" t="s">
        <v>1255</v>
      </c>
      <c r="N1203" s="3">
        <v>10939.3356</v>
      </c>
    </row>
    <row r="1204" spans="1:14" x14ac:dyDescent="0.35">
      <c r="A1204">
        <v>2133</v>
      </c>
      <c r="B1204" s="4" t="s">
        <v>758</v>
      </c>
      <c r="C1204" s="4" t="s">
        <v>124</v>
      </c>
      <c r="D1204" s="4" t="s">
        <v>26</v>
      </c>
      <c r="E1204">
        <v>5</v>
      </c>
      <c r="F1204" s="3">
        <v>2734.8339000000001</v>
      </c>
      <c r="G1204" s="2">
        <v>0.65882222222222198</v>
      </c>
      <c r="H1204" s="3">
        <v>0</v>
      </c>
      <c r="I1204" s="1">
        <v>45729</v>
      </c>
      <c r="J1204" s="4" t="s">
        <v>20</v>
      </c>
      <c r="K1204" s="4" t="s">
        <v>12</v>
      </c>
      <c r="L1204" s="3">
        <v>1700.16</v>
      </c>
      <c r="M1204" s="4" t="s">
        <v>1255</v>
      </c>
      <c r="N1204" s="3">
        <v>13674.1695</v>
      </c>
    </row>
    <row r="1205" spans="1:14" x14ac:dyDescent="0.35">
      <c r="A1205">
        <v>2134</v>
      </c>
      <c r="B1205" s="4" t="s">
        <v>67</v>
      </c>
      <c r="C1205" s="4" t="s">
        <v>649</v>
      </c>
      <c r="D1205" s="4" t="s">
        <v>19</v>
      </c>
      <c r="E1205">
        <v>2</v>
      </c>
      <c r="F1205" s="3">
        <v>2734.8339000000001</v>
      </c>
      <c r="G1205" s="2">
        <v>0.28999999999999998</v>
      </c>
      <c r="H1205" s="3">
        <v>0</v>
      </c>
      <c r="I1205" s="1">
        <v>45656</v>
      </c>
      <c r="J1205" s="4" t="s">
        <v>18</v>
      </c>
      <c r="K1205" s="4" t="s">
        <v>8</v>
      </c>
      <c r="L1205" s="3">
        <v>-986.66</v>
      </c>
      <c r="M1205" s="4" t="s">
        <v>1255</v>
      </c>
      <c r="N1205" s="3">
        <v>5469.6678000000002</v>
      </c>
    </row>
    <row r="1206" spans="1:14" x14ac:dyDescent="0.35">
      <c r="A1206">
        <v>2135</v>
      </c>
      <c r="B1206" s="4" t="s">
        <v>312</v>
      </c>
      <c r="C1206" s="4" t="s">
        <v>397</v>
      </c>
      <c r="D1206" s="4" t="s">
        <v>17</v>
      </c>
      <c r="E1206">
        <v>0</v>
      </c>
      <c r="F1206" s="3">
        <v>857.22</v>
      </c>
      <c r="G1206" s="2">
        <v>0.65964365256124702</v>
      </c>
      <c r="H1206" s="3">
        <v>0</v>
      </c>
      <c r="I1206" s="1">
        <v>45158</v>
      </c>
      <c r="J1206" s="4" t="s">
        <v>7</v>
      </c>
      <c r="K1206" s="4" t="s">
        <v>12</v>
      </c>
      <c r="L1206" s="3">
        <v>-806.63</v>
      </c>
      <c r="M1206" s="4" t="s">
        <v>1255</v>
      </c>
      <c r="N1206" s="3">
        <v>0</v>
      </c>
    </row>
    <row r="1207" spans="1:14" hidden="1" x14ac:dyDescent="0.35">
      <c r="A1207">
        <v>2136</v>
      </c>
      <c r="B1207" s="4" t="s">
        <v>56</v>
      </c>
      <c r="C1207" s="4" t="s">
        <v>207</v>
      </c>
      <c r="D1207" s="4" t="s">
        <v>28</v>
      </c>
      <c r="E1207">
        <v>0</v>
      </c>
      <c r="F1207" s="3">
        <v>2734.8339000000001</v>
      </c>
      <c r="G1207" s="2">
        <v>0.65964365256124702</v>
      </c>
      <c r="H1207" s="3">
        <v>0</v>
      </c>
      <c r="I1207" s="1">
        <v>45832</v>
      </c>
      <c r="J1207" s="4" t="s">
        <v>23</v>
      </c>
      <c r="K1207" s="4" t="s">
        <v>40</v>
      </c>
      <c r="L1207" s="3">
        <v>1627.8</v>
      </c>
      <c r="M1207" s="4" t="s">
        <v>1255</v>
      </c>
      <c r="N1207" s="3">
        <v>0</v>
      </c>
    </row>
    <row r="1208" spans="1:14" hidden="1" x14ac:dyDescent="0.35">
      <c r="A1208">
        <v>2137</v>
      </c>
      <c r="B1208" s="4" t="s">
        <v>762</v>
      </c>
      <c r="C1208" s="4" t="s">
        <v>78</v>
      </c>
      <c r="D1208" s="4" t="s">
        <v>26</v>
      </c>
      <c r="E1208">
        <v>0</v>
      </c>
      <c r="F1208" s="3">
        <v>2737.52</v>
      </c>
      <c r="G1208" s="2">
        <v>1.01</v>
      </c>
      <c r="H1208" s="3">
        <v>0</v>
      </c>
      <c r="I1208" s="1">
        <v>45772</v>
      </c>
      <c r="J1208" s="4" t="s">
        <v>20</v>
      </c>
      <c r="K1208" s="4" t="s">
        <v>40</v>
      </c>
      <c r="L1208" s="3">
        <v>1626.26</v>
      </c>
      <c r="M1208" s="4" t="s">
        <v>1255</v>
      </c>
      <c r="N1208" s="3">
        <v>0</v>
      </c>
    </row>
    <row r="1209" spans="1:14" x14ac:dyDescent="0.35">
      <c r="A1209">
        <v>2138</v>
      </c>
      <c r="B1209" s="4" t="s">
        <v>944</v>
      </c>
      <c r="C1209" s="4" t="s">
        <v>734</v>
      </c>
      <c r="D1209" s="4" t="s">
        <v>29</v>
      </c>
      <c r="E1209">
        <v>-2</v>
      </c>
      <c r="F1209" s="3">
        <v>2426.77</v>
      </c>
      <c r="G1209" s="2">
        <v>0.65886160714285702</v>
      </c>
      <c r="H1209" s="3">
        <v>0</v>
      </c>
      <c r="I1209" s="1">
        <v>45772</v>
      </c>
      <c r="J1209" s="4" t="s">
        <v>7</v>
      </c>
      <c r="K1209" s="4" t="s">
        <v>12</v>
      </c>
      <c r="L1209" s="3">
        <v>1446.08</v>
      </c>
      <c r="M1209" s="4" t="s">
        <v>1255</v>
      </c>
      <c r="N1209" s="3">
        <v>-4853.54</v>
      </c>
    </row>
    <row r="1210" spans="1:14" hidden="1" x14ac:dyDescent="0.35">
      <c r="A1210">
        <v>2140</v>
      </c>
      <c r="B1210" s="4" t="s">
        <v>540</v>
      </c>
      <c r="C1210" s="4" t="s">
        <v>163</v>
      </c>
      <c r="D1210" s="4" t="s">
        <v>13</v>
      </c>
      <c r="E1210">
        <v>0</v>
      </c>
      <c r="F1210" s="3">
        <v>2191.65</v>
      </c>
      <c r="G1210" s="2">
        <v>0.65886160714285702</v>
      </c>
      <c r="H1210" s="3">
        <v>0</v>
      </c>
      <c r="I1210" s="1">
        <v>45632</v>
      </c>
      <c r="J1210" s="4" t="s">
        <v>11</v>
      </c>
      <c r="K1210" s="4" t="s">
        <v>40</v>
      </c>
      <c r="L1210" s="3">
        <v>2424.2399999999998</v>
      </c>
      <c r="M1210" s="4" t="s">
        <v>1255</v>
      </c>
      <c r="N1210" s="3">
        <v>0</v>
      </c>
    </row>
    <row r="1211" spans="1:14" x14ac:dyDescent="0.35">
      <c r="A1211">
        <v>2141</v>
      </c>
      <c r="B1211" s="4" t="s">
        <v>75</v>
      </c>
      <c r="C1211" s="4" t="s">
        <v>834</v>
      </c>
      <c r="D1211" s="4" t="s">
        <v>34</v>
      </c>
      <c r="E1211">
        <v>0</v>
      </c>
      <c r="F1211" s="3">
        <v>1762.28</v>
      </c>
      <c r="G1211" s="2">
        <v>0.65886160714285702</v>
      </c>
      <c r="H1211" s="3">
        <v>0</v>
      </c>
      <c r="I1211" s="1">
        <v>45566</v>
      </c>
      <c r="J1211" s="4" t="s">
        <v>7</v>
      </c>
      <c r="K1211" s="4" t="s">
        <v>12</v>
      </c>
      <c r="L1211" s="3">
        <v>2590.56</v>
      </c>
      <c r="M1211" s="4" t="s">
        <v>1255</v>
      </c>
      <c r="N1211" s="3">
        <v>0</v>
      </c>
    </row>
    <row r="1212" spans="1:14" hidden="1" x14ac:dyDescent="0.35">
      <c r="A1212">
        <v>2142</v>
      </c>
      <c r="B1212" s="4" t="s">
        <v>945</v>
      </c>
      <c r="C1212" s="4" t="s">
        <v>946</v>
      </c>
      <c r="D1212" s="4" t="s">
        <v>25</v>
      </c>
      <c r="E1212">
        <v>0</v>
      </c>
      <c r="F1212" s="3">
        <v>2736.7321000000002</v>
      </c>
      <c r="G1212" s="2">
        <v>0.65886160714285702</v>
      </c>
      <c r="H1212" s="3">
        <v>0</v>
      </c>
      <c r="I1212" s="1">
        <v>45155</v>
      </c>
      <c r="J1212" s="4" t="s">
        <v>18</v>
      </c>
      <c r="K1212" s="4" t="s">
        <v>40</v>
      </c>
      <c r="L1212" s="3">
        <v>-780.6</v>
      </c>
      <c r="M1212" s="4" t="s">
        <v>1255</v>
      </c>
      <c r="N1212" s="3">
        <v>0</v>
      </c>
    </row>
    <row r="1213" spans="1:14" x14ac:dyDescent="0.35">
      <c r="A1213">
        <v>2143</v>
      </c>
      <c r="B1213" s="4" t="s">
        <v>538</v>
      </c>
      <c r="C1213" s="4" t="s">
        <v>836</v>
      </c>
      <c r="D1213" s="4" t="s">
        <v>25</v>
      </c>
      <c r="E1213">
        <v>3</v>
      </c>
      <c r="F1213" s="3">
        <v>662.52</v>
      </c>
      <c r="G1213" s="2">
        <v>0.96</v>
      </c>
      <c r="H1213" s="3">
        <v>79.5</v>
      </c>
      <c r="I1213" s="1">
        <v>45680</v>
      </c>
      <c r="J1213" s="4" t="s">
        <v>18</v>
      </c>
      <c r="K1213" s="4" t="s">
        <v>12</v>
      </c>
      <c r="L1213" s="3">
        <v>2079.0700000000002</v>
      </c>
      <c r="M1213" s="4" t="s">
        <v>1256</v>
      </c>
      <c r="N1213" s="3">
        <v>1987.56</v>
      </c>
    </row>
    <row r="1214" spans="1:14" hidden="1" x14ac:dyDescent="0.35">
      <c r="A1214">
        <v>2144</v>
      </c>
      <c r="B1214" s="4" t="s">
        <v>113</v>
      </c>
      <c r="C1214" s="4" t="s">
        <v>947</v>
      </c>
      <c r="D1214" s="4" t="s">
        <v>27</v>
      </c>
      <c r="E1214">
        <v>-1</v>
      </c>
      <c r="F1214" s="3">
        <v>906.82</v>
      </c>
      <c r="G1214" s="2">
        <v>0.92</v>
      </c>
      <c r="H1214" s="3">
        <v>-72.55</v>
      </c>
      <c r="I1214" s="1">
        <v>45661</v>
      </c>
      <c r="J1214" s="4" t="s">
        <v>9</v>
      </c>
      <c r="K1214" s="4" t="s">
        <v>40</v>
      </c>
      <c r="L1214" s="3">
        <v>2348.39</v>
      </c>
      <c r="M1214" s="4" t="s">
        <v>1255</v>
      </c>
      <c r="N1214" s="3">
        <v>-906.82</v>
      </c>
    </row>
    <row r="1215" spans="1:14" x14ac:dyDescent="0.35">
      <c r="A1215">
        <v>2145</v>
      </c>
      <c r="B1215" s="4" t="s">
        <v>67</v>
      </c>
      <c r="C1215" s="4" t="s">
        <v>883</v>
      </c>
      <c r="D1215" s="4" t="s">
        <v>37</v>
      </c>
      <c r="E1215">
        <v>0</v>
      </c>
      <c r="F1215" s="3">
        <v>3981.39</v>
      </c>
      <c r="G1215" s="2">
        <v>0.657600896860986</v>
      </c>
      <c r="H1215" s="3">
        <v>0</v>
      </c>
      <c r="I1215" s="1">
        <v>45611</v>
      </c>
      <c r="J1215" s="4" t="s">
        <v>20</v>
      </c>
      <c r="K1215" s="4" t="s">
        <v>8</v>
      </c>
      <c r="L1215" s="3">
        <v>1764.19</v>
      </c>
      <c r="M1215" s="4" t="s">
        <v>1255</v>
      </c>
      <c r="N1215" s="3">
        <v>0</v>
      </c>
    </row>
    <row r="1216" spans="1:14" x14ac:dyDescent="0.35">
      <c r="A1216">
        <v>2146</v>
      </c>
      <c r="B1216" s="4" t="s">
        <v>948</v>
      </c>
      <c r="C1216" s="4" t="s">
        <v>82</v>
      </c>
      <c r="D1216" s="4" t="s">
        <v>33</v>
      </c>
      <c r="E1216">
        <v>0</v>
      </c>
      <c r="F1216" s="3">
        <v>2743.7719000000002</v>
      </c>
      <c r="G1216" s="2">
        <v>0.65</v>
      </c>
      <c r="H1216" s="3">
        <v>0</v>
      </c>
      <c r="I1216" s="1">
        <v>45624</v>
      </c>
      <c r="J1216" s="4" t="s">
        <v>11</v>
      </c>
      <c r="K1216" s="4" t="s">
        <v>12</v>
      </c>
      <c r="L1216" s="3">
        <v>2062.9699999999998</v>
      </c>
      <c r="M1216" s="4" t="s">
        <v>1255</v>
      </c>
      <c r="N1216" s="3">
        <v>0</v>
      </c>
    </row>
    <row r="1217" spans="1:14" x14ac:dyDescent="0.35">
      <c r="A1217">
        <v>2147</v>
      </c>
      <c r="B1217" s="4" t="s">
        <v>320</v>
      </c>
      <c r="C1217" s="4" t="s">
        <v>529</v>
      </c>
      <c r="D1217" s="4" t="s">
        <v>31</v>
      </c>
      <c r="E1217">
        <v>0</v>
      </c>
      <c r="F1217" s="3">
        <v>2741.9834000000001</v>
      </c>
      <c r="G1217" s="2">
        <v>0.27</v>
      </c>
      <c r="H1217" s="3">
        <v>0</v>
      </c>
      <c r="I1217" s="1">
        <v>45182</v>
      </c>
      <c r="J1217" s="4" t="s">
        <v>9</v>
      </c>
      <c r="K1217" s="4" t="s">
        <v>8</v>
      </c>
      <c r="L1217" s="3">
        <v>2299.86</v>
      </c>
      <c r="M1217" s="4" t="s">
        <v>1255</v>
      </c>
      <c r="N1217" s="3">
        <v>0</v>
      </c>
    </row>
    <row r="1218" spans="1:14" x14ac:dyDescent="0.35">
      <c r="A1218">
        <v>2148</v>
      </c>
      <c r="B1218" s="4" t="s">
        <v>278</v>
      </c>
      <c r="C1218" s="4" t="s">
        <v>694</v>
      </c>
      <c r="D1218" s="4" t="s">
        <v>37</v>
      </c>
      <c r="E1218">
        <v>0</v>
      </c>
      <c r="F1218" s="3">
        <v>2741.9834000000001</v>
      </c>
      <c r="G1218" s="2">
        <v>0.65849099099099095</v>
      </c>
      <c r="H1218" s="3">
        <v>0</v>
      </c>
      <c r="I1218" s="1">
        <v>45182</v>
      </c>
      <c r="J1218" s="4" t="s">
        <v>23</v>
      </c>
      <c r="K1218" s="4" t="s">
        <v>8</v>
      </c>
      <c r="L1218" s="3">
        <v>-771.3</v>
      </c>
      <c r="M1218" s="4" t="s">
        <v>1255</v>
      </c>
      <c r="N1218" s="3">
        <v>0</v>
      </c>
    </row>
    <row r="1219" spans="1:14" x14ac:dyDescent="0.35">
      <c r="A1219">
        <v>2149</v>
      </c>
      <c r="B1219" s="4" t="s">
        <v>122</v>
      </c>
      <c r="C1219" s="4" t="s">
        <v>881</v>
      </c>
      <c r="D1219" s="4" t="s">
        <v>34</v>
      </c>
      <c r="E1219">
        <v>0</v>
      </c>
      <c r="F1219" s="3">
        <v>2865.62</v>
      </c>
      <c r="G1219" s="2">
        <v>0.8</v>
      </c>
      <c r="H1219" s="3">
        <v>0</v>
      </c>
      <c r="I1219" s="1">
        <v>45612</v>
      </c>
      <c r="J1219" s="4" t="s">
        <v>9</v>
      </c>
      <c r="K1219" s="4" t="s">
        <v>12</v>
      </c>
      <c r="L1219" s="3">
        <v>-660.8</v>
      </c>
      <c r="M1219" s="4" t="s">
        <v>1255</v>
      </c>
      <c r="N1219" s="3">
        <v>0</v>
      </c>
    </row>
    <row r="1220" spans="1:14" hidden="1" x14ac:dyDescent="0.35">
      <c r="A1220">
        <v>2151</v>
      </c>
      <c r="B1220" s="4" t="s">
        <v>441</v>
      </c>
      <c r="C1220" s="4" t="s">
        <v>403</v>
      </c>
      <c r="D1220" s="4" t="s">
        <v>24</v>
      </c>
      <c r="E1220">
        <v>0</v>
      </c>
      <c r="F1220" s="3">
        <v>927.64</v>
      </c>
      <c r="G1220" s="2">
        <v>0.65817155756207602</v>
      </c>
      <c r="H1220" s="3">
        <v>0</v>
      </c>
      <c r="I1220" s="1">
        <v>45512</v>
      </c>
      <c r="J1220" s="4" t="s">
        <v>20</v>
      </c>
      <c r="K1220" s="4" t="s">
        <v>40</v>
      </c>
      <c r="L1220" s="3">
        <v>-742.69</v>
      </c>
      <c r="M1220" s="4" t="s">
        <v>1255</v>
      </c>
      <c r="N1220" s="3">
        <v>0</v>
      </c>
    </row>
    <row r="1221" spans="1:14" x14ac:dyDescent="0.35">
      <c r="A1221">
        <v>2152</v>
      </c>
      <c r="B1221" s="4" t="s">
        <v>441</v>
      </c>
      <c r="C1221" s="4" t="s">
        <v>619</v>
      </c>
      <c r="D1221" s="4" t="s">
        <v>13</v>
      </c>
      <c r="E1221">
        <v>0</v>
      </c>
      <c r="F1221" s="3">
        <v>2741.8045000000002</v>
      </c>
      <c r="G1221" s="2">
        <v>0.65817155756207602</v>
      </c>
      <c r="H1221" s="3">
        <v>0</v>
      </c>
      <c r="I1221" s="1">
        <v>45512</v>
      </c>
      <c r="J1221" s="4" t="s">
        <v>9</v>
      </c>
      <c r="K1221" s="4" t="s">
        <v>12</v>
      </c>
      <c r="L1221" s="3">
        <v>-865.58</v>
      </c>
      <c r="M1221" s="4" t="s">
        <v>1255</v>
      </c>
      <c r="N1221" s="3">
        <v>0</v>
      </c>
    </row>
    <row r="1222" spans="1:14" x14ac:dyDescent="0.35">
      <c r="A1222">
        <v>2153</v>
      </c>
      <c r="B1222" s="4" t="s">
        <v>71</v>
      </c>
      <c r="C1222" s="4" t="s">
        <v>444</v>
      </c>
      <c r="D1222" s="4" t="s">
        <v>34</v>
      </c>
      <c r="E1222">
        <v>0</v>
      </c>
      <c r="F1222" s="3">
        <v>3131.57</v>
      </c>
      <c r="G1222" s="2">
        <v>0.65817155756207602</v>
      </c>
      <c r="H1222" s="3">
        <v>0</v>
      </c>
      <c r="I1222" s="1">
        <v>45614</v>
      </c>
      <c r="J1222" s="4" t="s">
        <v>9</v>
      </c>
      <c r="K1222" s="4" t="s">
        <v>8</v>
      </c>
      <c r="L1222" s="3">
        <v>517.22</v>
      </c>
      <c r="M1222" s="4" t="s">
        <v>1255</v>
      </c>
      <c r="N1222" s="3">
        <v>0</v>
      </c>
    </row>
    <row r="1223" spans="1:14" x14ac:dyDescent="0.35">
      <c r="A1223">
        <v>2154</v>
      </c>
      <c r="B1223" s="4" t="s">
        <v>546</v>
      </c>
      <c r="C1223" s="4" t="s">
        <v>949</v>
      </c>
      <c r="D1223" s="4" t="s">
        <v>14</v>
      </c>
      <c r="E1223">
        <v>0</v>
      </c>
      <c r="F1223" s="3">
        <v>2744.4337</v>
      </c>
      <c r="G1223" s="2">
        <v>0.65817155756207602</v>
      </c>
      <c r="H1223" s="3">
        <v>0</v>
      </c>
      <c r="I1223" s="1">
        <v>45793</v>
      </c>
      <c r="J1223" s="4" t="s">
        <v>20</v>
      </c>
      <c r="K1223" s="4" t="s">
        <v>12</v>
      </c>
      <c r="L1223" s="3">
        <v>2141.81</v>
      </c>
      <c r="M1223" s="4" t="s">
        <v>1255</v>
      </c>
      <c r="N1223" s="3">
        <v>0</v>
      </c>
    </row>
    <row r="1224" spans="1:14" x14ac:dyDescent="0.35">
      <c r="A1224">
        <v>2155</v>
      </c>
      <c r="B1224" s="4" t="s">
        <v>77</v>
      </c>
      <c r="C1224" s="4" t="s">
        <v>444</v>
      </c>
      <c r="D1224" s="4" t="s">
        <v>28</v>
      </c>
      <c r="E1224">
        <v>-2</v>
      </c>
      <c r="F1224" s="3">
        <v>2743.8717999999999</v>
      </c>
      <c r="G1224" s="2">
        <v>0.65817155756207602</v>
      </c>
      <c r="H1224" s="3">
        <v>0</v>
      </c>
      <c r="I1224" s="1">
        <v>45691</v>
      </c>
      <c r="J1224" s="4" t="s">
        <v>18</v>
      </c>
      <c r="K1224" s="4" t="s">
        <v>8</v>
      </c>
      <c r="L1224" s="3">
        <v>-972.74</v>
      </c>
      <c r="M1224" s="4" t="s">
        <v>1255</v>
      </c>
      <c r="N1224" s="3">
        <v>-5487.7435999999998</v>
      </c>
    </row>
    <row r="1225" spans="1:14" hidden="1" x14ac:dyDescent="0.35">
      <c r="A1225">
        <v>2156</v>
      </c>
      <c r="B1225" s="4" t="s">
        <v>85</v>
      </c>
      <c r="C1225" s="4" t="s">
        <v>950</v>
      </c>
      <c r="D1225" s="4" t="s">
        <v>38</v>
      </c>
      <c r="E1225">
        <v>0</v>
      </c>
      <c r="F1225" s="3">
        <v>2743.8717999999999</v>
      </c>
      <c r="G1225" s="2">
        <v>0.65817155756207602</v>
      </c>
      <c r="H1225" s="3">
        <v>0</v>
      </c>
      <c r="I1225" s="1">
        <v>45691</v>
      </c>
      <c r="J1225" s="4" t="s">
        <v>9</v>
      </c>
      <c r="K1225" s="4" t="s">
        <v>40</v>
      </c>
      <c r="L1225" s="3">
        <v>1648.67</v>
      </c>
      <c r="M1225" s="4" t="s">
        <v>1255</v>
      </c>
      <c r="N1225" s="3">
        <v>0</v>
      </c>
    </row>
    <row r="1226" spans="1:14" x14ac:dyDescent="0.35">
      <c r="A1226">
        <v>2157</v>
      </c>
      <c r="B1226" s="4" t="s">
        <v>546</v>
      </c>
      <c r="C1226" s="4" t="s">
        <v>168</v>
      </c>
      <c r="D1226" s="4" t="s">
        <v>22</v>
      </c>
      <c r="E1226">
        <v>0</v>
      </c>
      <c r="F1226" s="3">
        <v>2830.24</v>
      </c>
      <c r="G1226" s="2">
        <v>0.97</v>
      </c>
      <c r="H1226" s="3">
        <v>0</v>
      </c>
      <c r="I1226" s="1">
        <v>45691</v>
      </c>
      <c r="J1226" s="4" t="s">
        <v>11</v>
      </c>
      <c r="K1226" s="4" t="s">
        <v>12</v>
      </c>
      <c r="L1226" s="3">
        <v>2612.9699999999998</v>
      </c>
      <c r="M1226" s="4" t="s">
        <v>1255</v>
      </c>
      <c r="N1226" s="3">
        <v>0</v>
      </c>
    </row>
    <row r="1227" spans="1:14" hidden="1" x14ac:dyDescent="0.35">
      <c r="A1227">
        <v>2158</v>
      </c>
      <c r="B1227" s="4" t="s">
        <v>745</v>
      </c>
      <c r="C1227" s="4" t="s">
        <v>713</v>
      </c>
      <c r="D1227" s="4" t="s">
        <v>22</v>
      </c>
      <c r="E1227">
        <v>0</v>
      </c>
      <c r="F1227" s="3">
        <v>3270.68</v>
      </c>
      <c r="G1227" s="2">
        <v>0.65746606334841595</v>
      </c>
      <c r="H1227" s="3">
        <v>0</v>
      </c>
      <c r="I1227" s="1">
        <v>45691</v>
      </c>
      <c r="J1227" s="4" t="s">
        <v>11</v>
      </c>
      <c r="K1227" s="4" t="s">
        <v>40</v>
      </c>
      <c r="L1227" s="3">
        <v>-437.06</v>
      </c>
      <c r="M1227" s="4" t="s">
        <v>1255</v>
      </c>
      <c r="N1227" s="3">
        <v>0</v>
      </c>
    </row>
    <row r="1228" spans="1:14" x14ac:dyDescent="0.35">
      <c r="A1228">
        <v>2159</v>
      </c>
      <c r="B1228" s="4" t="s">
        <v>322</v>
      </c>
      <c r="C1228" s="4" t="s">
        <v>92</v>
      </c>
      <c r="D1228" s="4" t="s">
        <v>17</v>
      </c>
      <c r="E1228">
        <v>0</v>
      </c>
      <c r="F1228" s="3">
        <v>2743.7462999999998</v>
      </c>
      <c r="G1228" s="2">
        <v>0.65746606334841595</v>
      </c>
      <c r="H1228" s="3">
        <v>0</v>
      </c>
      <c r="I1228" s="1">
        <v>45639</v>
      </c>
      <c r="J1228" s="4" t="s">
        <v>11</v>
      </c>
      <c r="K1228" s="4" t="s">
        <v>12</v>
      </c>
      <c r="L1228" s="3">
        <v>-420.95</v>
      </c>
      <c r="M1228" s="4" t="s">
        <v>1255</v>
      </c>
      <c r="N1228" s="3">
        <v>0</v>
      </c>
    </row>
    <row r="1229" spans="1:14" x14ac:dyDescent="0.35">
      <c r="A1229">
        <v>2160</v>
      </c>
      <c r="B1229" s="4" t="s">
        <v>274</v>
      </c>
      <c r="C1229" s="4" t="s">
        <v>872</v>
      </c>
      <c r="D1229" s="4" t="s">
        <v>29</v>
      </c>
      <c r="E1229">
        <v>0</v>
      </c>
      <c r="F1229" s="3">
        <v>2119.66</v>
      </c>
      <c r="G1229" s="2">
        <v>0.65746606334841595</v>
      </c>
      <c r="H1229" s="3">
        <v>0</v>
      </c>
      <c r="I1229" s="1">
        <v>45598</v>
      </c>
      <c r="J1229" s="4" t="s">
        <v>20</v>
      </c>
      <c r="K1229" s="4" t="s">
        <v>8</v>
      </c>
      <c r="L1229" s="3">
        <v>-203.89</v>
      </c>
      <c r="M1229" s="4" t="s">
        <v>1255</v>
      </c>
      <c r="N1229" s="3">
        <v>0</v>
      </c>
    </row>
    <row r="1230" spans="1:14" x14ac:dyDescent="0.35">
      <c r="A1230">
        <v>2161</v>
      </c>
      <c r="B1230" s="4" t="s">
        <v>230</v>
      </c>
      <c r="C1230" s="4" t="s">
        <v>221</v>
      </c>
      <c r="D1230" s="4" t="s">
        <v>33</v>
      </c>
      <c r="E1230">
        <v>0</v>
      </c>
      <c r="F1230" s="3">
        <v>4376.41</v>
      </c>
      <c r="G1230" s="2">
        <v>0.65746606334841595</v>
      </c>
      <c r="H1230" s="3">
        <v>0</v>
      </c>
      <c r="I1230" s="1">
        <v>45754</v>
      </c>
      <c r="J1230" s="4" t="s">
        <v>11</v>
      </c>
      <c r="K1230" s="4" t="s">
        <v>8</v>
      </c>
      <c r="L1230" s="3">
        <v>1713.03</v>
      </c>
      <c r="M1230" s="4" t="s">
        <v>1255</v>
      </c>
      <c r="N1230" s="3">
        <v>0</v>
      </c>
    </row>
    <row r="1231" spans="1:14" hidden="1" x14ac:dyDescent="0.35">
      <c r="A1231">
        <v>2162</v>
      </c>
      <c r="B1231" s="4" t="s">
        <v>292</v>
      </c>
      <c r="C1231" s="4" t="s">
        <v>592</v>
      </c>
      <c r="D1231" s="4" t="s">
        <v>33</v>
      </c>
      <c r="E1231">
        <v>1</v>
      </c>
      <c r="F1231" s="3">
        <v>2743.8879000000002</v>
      </c>
      <c r="G1231" s="2">
        <v>0.71</v>
      </c>
      <c r="H1231" s="3">
        <v>0</v>
      </c>
      <c r="I1231" s="1">
        <v>45832</v>
      </c>
      <c r="J1231" s="4" t="s">
        <v>9</v>
      </c>
      <c r="K1231" s="4" t="s">
        <v>40</v>
      </c>
      <c r="L1231" s="3">
        <v>54.58</v>
      </c>
      <c r="M1231" s="4" t="s">
        <v>1255</v>
      </c>
      <c r="N1231" s="3">
        <v>2743.8879000000002</v>
      </c>
    </row>
    <row r="1232" spans="1:14" x14ac:dyDescent="0.35">
      <c r="A1232">
        <v>2163</v>
      </c>
      <c r="B1232" s="4" t="s">
        <v>536</v>
      </c>
      <c r="C1232" s="4" t="s">
        <v>822</v>
      </c>
      <c r="D1232" s="4" t="s">
        <v>24</v>
      </c>
      <c r="E1232">
        <v>0</v>
      </c>
      <c r="F1232" s="3">
        <v>2741.5047</v>
      </c>
      <c r="G1232" s="2">
        <v>0.65734693877550998</v>
      </c>
      <c r="H1232" s="3">
        <v>0</v>
      </c>
      <c r="I1232" s="1">
        <v>45559</v>
      </c>
      <c r="J1232" s="4" t="s">
        <v>11</v>
      </c>
      <c r="K1232" s="4" t="s">
        <v>8</v>
      </c>
      <c r="L1232" s="3">
        <v>1205.3800000000001</v>
      </c>
      <c r="M1232" s="4" t="s">
        <v>1255</v>
      </c>
      <c r="N1232" s="3">
        <v>0</v>
      </c>
    </row>
    <row r="1233" spans="1:14" x14ac:dyDescent="0.35">
      <c r="A1233">
        <v>2164</v>
      </c>
      <c r="B1233" s="4" t="s">
        <v>951</v>
      </c>
      <c r="C1233" s="4" t="s">
        <v>720</v>
      </c>
      <c r="D1233" s="4" t="s">
        <v>10</v>
      </c>
      <c r="E1233">
        <v>0</v>
      </c>
      <c r="F1233" s="3">
        <v>1498.8</v>
      </c>
      <c r="G1233" s="2">
        <v>0.65734693877550998</v>
      </c>
      <c r="H1233" s="3">
        <v>0</v>
      </c>
      <c r="I1233" s="1">
        <v>45516</v>
      </c>
      <c r="J1233" s="4" t="s">
        <v>7</v>
      </c>
      <c r="K1233" s="4" t="s">
        <v>12</v>
      </c>
      <c r="L1233" s="3">
        <v>-548.47</v>
      </c>
      <c r="M1233" s="4" t="s">
        <v>1255</v>
      </c>
      <c r="N1233" s="3">
        <v>0</v>
      </c>
    </row>
    <row r="1234" spans="1:14" x14ac:dyDescent="0.35">
      <c r="A1234">
        <v>2165</v>
      </c>
      <c r="B1234" s="4" t="s">
        <v>89</v>
      </c>
      <c r="C1234" s="4" t="s">
        <v>446</v>
      </c>
      <c r="D1234" s="4" t="s">
        <v>38</v>
      </c>
      <c r="E1234">
        <v>0</v>
      </c>
      <c r="F1234" s="3">
        <v>2741.5047</v>
      </c>
      <c r="G1234" s="2">
        <v>0.65734693877550998</v>
      </c>
      <c r="H1234" s="3">
        <v>0</v>
      </c>
      <c r="I1234" s="1">
        <v>45678</v>
      </c>
      <c r="J1234" s="4" t="s">
        <v>20</v>
      </c>
      <c r="K1234" s="4" t="s">
        <v>12</v>
      </c>
      <c r="L1234" s="3">
        <v>-609.52</v>
      </c>
      <c r="M1234" s="4" t="s">
        <v>1255</v>
      </c>
      <c r="N1234" s="3">
        <v>0</v>
      </c>
    </row>
    <row r="1235" spans="1:14" hidden="1" x14ac:dyDescent="0.35">
      <c r="A1235">
        <v>2166</v>
      </c>
      <c r="B1235" s="4" t="s">
        <v>259</v>
      </c>
      <c r="C1235" s="4" t="s">
        <v>72</v>
      </c>
      <c r="D1235" s="4" t="s">
        <v>34</v>
      </c>
      <c r="E1235">
        <v>0</v>
      </c>
      <c r="F1235" s="3">
        <v>2743.3215</v>
      </c>
      <c r="G1235" s="2">
        <v>1.08</v>
      </c>
      <c r="H1235" s="3">
        <v>0</v>
      </c>
      <c r="I1235" s="1">
        <v>45678</v>
      </c>
      <c r="J1235" s="4" t="s">
        <v>11</v>
      </c>
      <c r="K1235" s="4" t="s">
        <v>40</v>
      </c>
      <c r="L1235" s="3">
        <v>-845.69</v>
      </c>
      <c r="M1235" s="4" t="s">
        <v>1255</v>
      </c>
      <c r="N1235" s="3">
        <v>0</v>
      </c>
    </row>
    <row r="1236" spans="1:14" x14ac:dyDescent="0.35">
      <c r="A1236">
        <v>2167</v>
      </c>
      <c r="B1236" s="4" t="s">
        <v>71</v>
      </c>
      <c r="C1236" s="4" t="s">
        <v>197</v>
      </c>
      <c r="D1236" s="4" t="s">
        <v>17</v>
      </c>
      <c r="E1236">
        <v>0</v>
      </c>
      <c r="F1236" s="3">
        <v>2743.3215</v>
      </c>
      <c r="G1236" s="2">
        <v>1.1200000000000001</v>
      </c>
      <c r="H1236" s="3">
        <v>0</v>
      </c>
      <c r="I1236" s="1">
        <v>45678</v>
      </c>
      <c r="J1236" s="4" t="s">
        <v>11</v>
      </c>
      <c r="K1236" s="4" t="s">
        <v>8</v>
      </c>
      <c r="L1236" s="3">
        <v>-258.89</v>
      </c>
      <c r="M1236" s="4" t="s">
        <v>1255</v>
      </c>
      <c r="N1236" s="3">
        <v>0</v>
      </c>
    </row>
    <row r="1237" spans="1:14" x14ac:dyDescent="0.35">
      <c r="A1237">
        <v>2168</v>
      </c>
      <c r="B1237" s="4" t="s">
        <v>43</v>
      </c>
      <c r="C1237" s="4" t="s">
        <v>217</v>
      </c>
      <c r="D1237" s="4" t="s">
        <v>35</v>
      </c>
      <c r="E1237">
        <v>-1</v>
      </c>
      <c r="F1237" s="3">
        <v>4446.09</v>
      </c>
      <c r="G1237" s="2">
        <v>0.47</v>
      </c>
      <c r="H1237" s="3">
        <v>-2356.4299999999998</v>
      </c>
      <c r="I1237" s="1">
        <v>45678</v>
      </c>
      <c r="J1237" s="4" t="s">
        <v>9</v>
      </c>
      <c r="K1237" s="4" t="s">
        <v>12</v>
      </c>
      <c r="L1237" s="3">
        <v>784.1</v>
      </c>
      <c r="M1237" s="4" t="s">
        <v>1255</v>
      </c>
      <c r="N1237" s="3">
        <v>-4446.09</v>
      </c>
    </row>
    <row r="1238" spans="1:14" x14ac:dyDescent="0.35">
      <c r="A1238">
        <v>2169</v>
      </c>
      <c r="B1238" s="4" t="s">
        <v>271</v>
      </c>
      <c r="C1238" s="4" t="s">
        <v>88</v>
      </c>
      <c r="D1238" s="4" t="s">
        <v>21</v>
      </c>
      <c r="E1238">
        <v>2</v>
      </c>
      <c r="F1238" s="3">
        <v>2743.3215</v>
      </c>
      <c r="G1238" s="2">
        <v>0.65575342465753395</v>
      </c>
      <c r="H1238" s="3">
        <v>0</v>
      </c>
      <c r="I1238" s="1">
        <v>45587</v>
      </c>
      <c r="J1238" s="4" t="s">
        <v>9</v>
      </c>
      <c r="K1238" s="4" t="s">
        <v>8</v>
      </c>
      <c r="L1238" s="3">
        <v>1870.24</v>
      </c>
      <c r="M1238" s="4" t="s">
        <v>1255</v>
      </c>
      <c r="N1238" s="3">
        <v>5486.643</v>
      </c>
    </row>
    <row r="1239" spans="1:14" x14ac:dyDescent="0.35">
      <c r="A1239">
        <v>2170</v>
      </c>
      <c r="B1239" s="4" t="s">
        <v>417</v>
      </c>
      <c r="C1239" s="4" t="s">
        <v>952</v>
      </c>
      <c r="D1239" s="4" t="s">
        <v>14</v>
      </c>
      <c r="E1239">
        <v>0</v>
      </c>
      <c r="F1239" s="3">
        <v>826.11</v>
      </c>
      <c r="G1239" s="2">
        <v>0.99</v>
      </c>
      <c r="H1239" s="3">
        <v>0</v>
      </c>
      <c r="I1239" s="1">
        <v>45587</v>
      </c>
      <c r="J1239" s="4" t="s">
        <v>7</v>
      </c>
      <c r="K1239" s="4" t="s">
        <v>12</v>
      </c>
      <c r="L1239" s="3">
        <v>2666.62</v>
      </c>
      <c r="M1239" s="4" t="s">
        <v>1255</v>
      </c>
      <c r="N1239" s="3">
        <v>0</v>
      </c>
    </row>
    <row r="1240" spans="1:14" x14ac:dyDescent="0.35">
      <c r="A1240">
        <v>2171</v>
      </c>
      <c r="B1240" s="4" t="s">
        <v>419</v>
      </c>
      <c r="C1240" s="4" t="s">
        <v>887</v>
      </c>
      <c r="D1240" s="4" t="s">
        <v>26</v>
      </c>
      <c r="E1240">
        <v>0</v>
      </c>
      <c r="F1240" s="3">
        <v>630.28</v>
      </c>
      <c r="G1240" s="2">
        <v>0.65498855835240299</v>
      </c>
      <c r="H1240" s="3">
        <v>0</v>
      </c>
      <c r="I1240" s="1">
        <v>45860</v>
      </c>
      <c r="J1240" s="4" t="s">
        <v>7</v>
      </c>
      <c r="K1240" s="4" t="s">
        <v>12</v>
      </c>
      <c r="L1240" s="3">
        <v>2988.11</v>
      </c>
      <c r="M1240" s="4" t="s">
        <v>1255</v>
      </c>
      <c r="N1240" s="3">
        <v>0</v>
      </c>
    </row>
    <row r="1241" spans="1:14" x14ac:dyDescent="0.35">
      <c r="A1241">
        <v>2172</v>
      </c>
      <c r="B1241" s="4" t="s">
        <v>228</v>
      </c>
      <c r="C1241" s="4" t="s">
        <v>953</v>
      </c>
      <c r="D1241" s="4" t="s">
        <v>26</v>
      </c>
      <c r="E1241">
        <v>-1</v>
      </c>
      <c r="F1241" s="3">
        <v>2743.6359000000002</v>
      </c>
      <c r="G1241" s="2">
        <v>1.08</v>
      </c>
      <c r="H1241" s="3">
        <v>0</v>
      </c>
      <c r="I1241" s="1">
        <v>45860</v>
      </c>
      <c r="J1241" s="4" t="s">
        <v>7</v>
      </c>
      <c r="K1241" s="4" t="s">
        <v>8</v>
      </c>
      <c r="L1241" s="3">
        <v>2497.36</v>
      </c>
      <c r="M1241" s="4" t="s">
        <v>1255</v>
      </c>
      <c r="N1241" s="3">
        <v>-2743.6359000000002</v>
      </c>
    </row>
    <row r="1242" spans="1:14" hidden="1" x14ac:dyDescent="0.35">
      <c r="A1242">
        <v>2173</v>
      </c>
      <c r="B1242" s="4" t="s">
        <v>322</v>
      </c>
      <c r="C1242" s="4" t="s">
        <v>329</v>
      </c>
      <c r="D1242" s="4" t="s">
        <v>13</v>
      </c>
      <c r="E1242">
        <v>0</v>
      </c>
      <c r="F1242" s="3">
        <v>2679.07</v>
      </c>
      <c r="G1242" s="2">
        <v>0.65401376146789003</v>
      </c>
      <c r="H1242" s="3">
        <v>0</v>
      </c>
      <c r="I1242" s="1">
        <v>45860</v>
      </c>
      <c r="J1242" s="4" t="s">
        <v>11</v>
      </c>
      <c r="K1242" s="4" t="s">
        <v>40</v>
      </c>
      <c r="L1242" s="3">
        <v>2156.1</v>
      </c>
      <c r="M1242" s="4" t="s">
        <v>1255</v>
      </c>
      <c r="N1242" s="3">
        <v>0</v>
      </c>
    </row>
    <row r="1243" spans="1:14" x14ac:dyDescent="0.35">
      <c r="A1243">
        <v>2174</v>
      </c>
      <c r="B1243" s="4" t="s">
        <v>141</v>
      </c>
      <c r="C1243" s="4" t="s">
        <v>61</v>
      </c>
      <c r="D1243" s="4" t="s">
        <v>14</v>
      </c>
      <c r="E1243">
        <v>0</v>
      </c>
      <c r="F1243" s="3">
        <v>810.62</v>
      </c>
      <c r="G1243" s="2">
        <v>0.65401376146789003</v>
      </c>
      <c r="H1243" s="3">
        <v>0</v>
      </c>
      <c r="I1243" s="1">
        <v>45649</v>
      </c>
      <c r="J1243" s="4" t="s">
        <v>18</v>
      </c>
      <c r="K1243" s="4" t="s">
        <v>8</v>
      </c>
      <c r="L1243" s="3">
        <v>-69.8</v>
      </c>
      <c r="M1243" s="4" t="s">
        <v>1255</v>
      </c>
      <c r="N1243" s="3">
        <v>0</v>
      </c>
    </row>
    <row r="1244" spans="1:14" x14ac:dyDescent="0.35">
      <c r="A1244">
        <v>2175</v>
      </c>
      <c r="B1244" s="4" t="s">
        <v>278</v>
      </c>
      <c r="C1244" s="4" t="s">
        <v>674</v>
      </c>
      <c r="D1244" s="4" t="s">
        <v>13</v>
      </c>
      <c r="E1244">
        <v>0</v>
      </c>
      <c r="F1244" s="3">
        <v>2746.8388</v>
      </c>
      <c r="G1244" s="2">
        <v>0.65401376146789003</v>
      </c>
      <c r="H1244" s="3">
        <v>0</v>
      </c>
      <c r="I1244" s="1">
        <v>45171</v>
      </c>
      <c r="J1244" s="4" t="s">
        <v>23</v>
      </c>
      <c r="K1244" s="4" t="s">
        <v>8</v>
      </c>
      <c r="L1244" s="3">
        <v>1022.04</v>
      </c>
      <c r="M1244" s="4" t="s">
        <v>1255</v>
      </c>
      <c r="N1244" s="3">
        <v>0</v>
      </c>
    </row>
    <row r="1245" spans="1:14" hidden="1" x14ac:dyDescent="0.35">
      <c r="A1245">
        <v>2176</v>
      </c>
      <c r="B1245" s="4" t="s">
        <v>264</v>
      </c>
      <c r="C1245" s="4" t="s">
        <v>203</v>
      </c>
      <c r="D1245" s="4" t="s">
        <v>10</v>
      </c>
      <c r="E1245">
        <v>6</v>
      </c>
      <c r="F1245" s="3">
        <v>4954.67</v>
      </c>
      <c r="G1245" s="2">
        <v>0.65401376146789003</v>
      </c>
      <c r="H1245" s="3">
        <v>0</v>
      </c>
      <c r="I1245" s="1">
        <v>45852</v>
      </c>
      <c r="J1245" s="4" t="s">
        <v>23</v>
      </c>
      <c r="K1245" s="4" t="s">
        <v>40</v>
      </c>
      <c r="L1245" s="3">
        <v>2176.54</v>
      </c>
      <c r="M1245" s="4" t="s">
        <v>1255</v>
      </c>
      <c r="N1245" s="3">
        <v>29728.02</v>
      </c>
    </row>
    <row r="1246" spans="1:14" x14ac:dyDescent="0.35">
      <c r="A1246">
        <v>2177</v>
      </c>
      <c r="B1246" s="4" t="s">
        <v>375</v>
      </c>
      <c r="C1246" s="4" t="s">
        <v>494</v>
      </c>
      <c r="D1246" s="4" t="s">
        <v>29</v>
      </c>
      <c r="E1246">
        <v>3</v>
      </c>
      <c r="F1246" s="3">
        <v>2749.6903000000002</v>
      </c>
      <c r="G1246" s="2">
        <v>0.65401376146789003</v>
      </c>
      <c r="H1246" s="3">
        <v>0</v>
      </c>
      <c r="I1246" s="1">
        <v>45672</v>
      </c>
      <c r="J1246" s="4" t="s">
        <v>9</v>
      </c>
      <c r="K1246" s="4" t="s">
        <v>12</v>
      </c>
      <c r="L1246" s="3">
        <v>-723.01</v>
      </c>
      <c r="M1246" s="4" t="s">
        <v>1255</v>
      </c>
      <c r="N1246" s="3">
        <v>8249.0709000000006</v>
      </c>
    </row>
    <row r="1247" spans="1:14" x14ac:dyDescent="0.35">
      <c r="A1247">
        <v>2178</v>
      </c>
      <c r="B1247" s="4" t="s">
        <v>228</v>
      </c>
      <c r="C1247" s="4" t="s">
        <v>954</v>
      </c>
      <c r="D1247" s="4" t="s">
        <v>22</v>
      </c>
      <c r="E1247">
        <v>0</v>
      </c>
      <c r="F1247" s="3">
        <v>2746.4380999999998</v>
      </c>
      <c r="G1247" s="2">
        <v>0.89</v>
      </c>
      <c r="H1247" s="3">
        <v>0</v>
      </c>
      <c r="I1247" s="1">
        <v>45672</v>
      </c>
      <c r="J1247" s="4" t="s">
        <v>18</v>
      </c>
      <c r="K1247" s="4" t="s">
        <v>8</v>
      </c>
      <c r="L1247" s="3">
        <v>2438.98</v>
      </c>
      <c r="M1247" s="4" t="s">
        <v>1255</v>
      </c>
      <c r="N1247" s="3">
        <v>0</v>
      </c>
    </row>
    <row r="1248" spans="1:14" hidden="1" x14ac:dyDescent="0.35">
      <c r="A1248">
        <v>2179</v>
      </c>
      <c r="B1248" s="4" t="s">
        <v>955</v>
      </c>
      <c r="C1248" s="4" t="s">
        <v>48</v>
      </c>
      <c r="D1248" s="4" t="s">
        <v>14</v>
      </c>
      <c r="E1248">
        <v>0</v>
      </c>
      <c r="F1248" s="3">
        <v>466.37</v>
      </c>
      <c r="G1248" s="2">
        <v>0.653471264367816</v>
      </c>
      <c r="H1248" s="3">
        <v>0</v>
      </c>
      <c r="I1248" s="1">
        <v>45672</v>
      </c>
      <c r="J1248" s="4" t="s">
        <v>23</v>
      </c>
      <c r="K1248" s="4" t="s">
        <v>40</v>
      </c>
      <c r="L1248" s="3">
        <v>2807.92</v>
      </c>
      <c r="M1248" s="4" t="s">
        <v>1255</v>
      </c>
      <c r="N1248" s="3">
        <v>0</v>
      </c>
    </row>
    <row r="1249" spans="1:14" hidden="1" x14ac:dyDescent="0.35">
      <c r="A1249">
        <v>2180</v>
      </c>
      <c r="B1249" s="4" t="s">
        <v>113</v>
      </c>
      <c r="C1249" s="4" t="s">
        <v>774</v>
      </c>
      <c r="D1249" s="4" t="s">
        <v>13</v>
      </c>
      <c r="E1249">
        <v>6</v>
      </c>
      <c r="F1249" s="3">
        <v>2746.4380999999998</v>
      </c>
      <c r="G1249" s="2">
        <v>1.06</v>
      </c>
      <c r="H1249" s="3">
        <v>0</v>
      </c>
      <c r="I1249" s="1">
        <v>45694</v>
      </c>
      <c r="J1249" s="4" t="s">
        <v>7</v>
      </c>
      <c r="K1249" s="4" t="s">
        <v>40</v>
      </c>
      <c r="L1249" s="3">
        <v>28.77</v>
      </c>
      <c r="M1249" s="4" t="s">
        <v>1255</v>
      </c>
      <c r="N1249" s="3">
        <v>16478.6286</v>
      </c>
    </row>
    <row r="1250" spans="1:14" x14ac:dyDescent="0.35">
      <c r="A1250">
        <v>2181</v>
      </c>
      <c r="B1250" s="4" t="s">
        <v>164</v>
      </c>
      <c r="C1250" s="4" t="s">
        <v>329</v>
      </c>
      <c r="D1250" s="4" t="s">
        <v>28</v>
      </c>
      <c r="E1250">
        <v>0</v>
      </c>
      <c r="F1250" s="3">
        <v>2749.806</v>
      </c>
      <c r="G1250" s="2">
        <v>0.65253456221198103</v>
      </c>
      <c r="H1250" s="3">
        <v>0</v>
      </c>
      <c r="I1250" s="1">
        <v>45679</v>
      </c>
      <c r="J1250" s="4" t="s">
        <v>11</v>
      </c>
      <c r="K1250" s="4" t="s">
        <v>12</v>
      </c>
      <c r="L1250" s="3">
        <v>-24.93</v>
      </c>
      <c r="M1250" s="4" t="s">
        <v>1255</v>
      </c>
      <c r="N1250" s="3">
        <v>0</v>
      </c>
    </row>
    <row r="1251" spans="1:14" x14ac:dyDescent="0.35">
      <c r="A1251">
        <v>2182</v>
      </c>
      <c r="B1251" s="4" t="s">
        <v>956</v>
      </c>
      <c r="C1251" s="4" t="s">
        <v>132</v>
      </c>
      <c r="D1251" s="4" t="s">
        <v>35</v>
      </c>
      <c r="E1251">
        <v>2</v>
      </c>
      <c r="F1251" s="3">
        <v>2749.806</v>
      </c>
      <c r="G1251" s="2">
        <v>0.53</v>
      </c>
      <c r="H1251" s="3">
        <v>0</v>
      </c>
      <c r="I1251" s="1">
        <v>45831</v>
      </c>
      <c r="J1251" s="4" t="s">
        <v>23</v>
      </c>
      <c r="K1251" s="4" t="s">
        <v>12</v>
      </c>
      <c r="L1251" s="3">
        <v>2192.44</v>
      </c>
      <c r="M1251" s="4" t="s">
        <v>1255</v>
      </c>
      <c r="N1251" s="3">
        <v>5499.6120000000001</v>
      </c>
    </row>
    <row r="1252" spans="1:14" hidden="1" x14ac:dyDescent="0.35">
      <c r="A1252">
        <v>2183</v>
      </c>
      <c r="B1252" s="4" t="s">
        <v>636</v>
      </c>
      <c r="C1252" s="4" t="s">
        <v>957</v>
      </c>
      <c r="D1252" s="4" t="s">
        <v>16</v>
      </c>
      <c r="E1252">
        <v>-2</v>
      </c>
      <c r="F1252" s="3">
        <v>1332.39</v>
      </c>
      <c r="G1252" s="2">
        <v>1.0900000000000001</v>
      </c>
      <c r="H1252" s="3">
        <v>239.83</v>
      </c>
      <c r="I1252" s="1">
        <v>45433</v>
      </c>
      <c r="J1252" s="4" t="s">
        <v>18</v>
      </c>
      <c r="K1252" s="4" t="s">
        <v>40</v>
      </c>
      <c r="L1252" s="3">
        <v>707.79</v>
      </c>
      <c r="M1252" s="4" t="s">
        <v>1256</v>
      </c>
      <c r="N1252" s="3">
        <v>-2664.78</v>
      </c>
    </row>
    <row r="1253" spans="1:14" x14ac:dyDescent="0.35">
      <c r="A1253">
        <v>2184</v>
      </c>
      <c r="B1253" s="4" t="s">
        <v>91</v>
      </c>
      <c r="C1253" s="4" t="s">
        <v>958</v>
      </c>
      <c r="D1253" s="4" t="s">
        <v>22</v>
      </c>
      <c r="E1253">
        <v>0</v>
      </c>
      <c r="F1253" s="3">
        <v>1001.57</v>
      </c>
      <c r="G1253" s="2">
        <v>0.65180555555555597</v>
      </c>
      <c r="H1253" s="3">
        <v>0</v>
      </c>
      <c r="I1253" s="1">
        <v>45846</v>
      </c>
      <c r="J1253" s="4" t="s">
        <v>23</v>
      </c>
      <c r="K1253" s="4" t="s">
        <v>8</v>
      </c>
      <c r="L1253" s="3">
        <v>2285.61</v>
      </c>
      <c r="M1253" s="4" t="s">
        <v>1255</v>
      </c>
      <c r="N1253" s="3">
        <v>0</v>
      </c>
    </row>
    <row r="1254" spans="1:14" hidden="1" x14ac:dyDescent="0.35">
      <c r="A1254">
        <v>2185</v>
      </c>
      <c r="B1254" s="4" t="s">
        <v>279</v>
      </c>
      <c r="C1254" s="4" t="s">
        <v>175</v>
      </c>
      <c r="D1254" s="4" t="s">
        <v>30</v>
      </c>
      <c r="E1254">
        <v>0</v>
      </c>
      <c r="F1254" s="3">
        <v>2751.9027999999998</v>
      </c>
      <c r="G1254" s="2">
        <v>0.14000000000000001</v>
      </c>
      <c r="H1254" s="3">
        <v>0</v>
      </c>
      <c r="I1254" s="1">
        <v>45846</v>
      </c>
      <c r="J1254" s="4" t="s">
        <v>20</v>
      </c>
      <c r="K1254" s="4" t="s">
        <v>40</v>
      </c>
      <c r="L1254" s="3">
        <v>-810.97</v>
      </c>
      <c r="M1254" s="4" t="s">
        <v>1255</v>
      </c>
      <c r="N1254" s="3">
        <v>0</v>
      </c>
    </row>
    <row r="1255" spans="1:14" x14ac:dyDescent="0.35">
      <c r="A1255">
        <v>2186</v>
      </c>
      <c r="B1255" s="4" t="s">
        <v>243</v>
      </c>
      <c r="C1255" s="4" t="s">
        <v>496</v>
      </c>
      <c r="D1255" s="4" t="s">
        <v>14</v>
      </c>
      <c r="E1255">
        <v>0</v>
      </c>
      <c r="F1255" s="3">
        <v>2036.71</v>
      </c>
      <c r="G1255" s="2">
        <v>0.65299303944315501</v>
      </c>
      <c r="H1255" s="3">
        <v>0</v>
      </c>
      <c r="I1255" s="1">
        <v>45846</v>
      </c>
      <c r="J1255" s="4" t="s">
        <v>7</v>
      </c>
      <c r="K1255" s="4" t="s">
        <v>12</v>
      </c>
      <c r="L1255" s="3">
        <v>1586.84</v>
      </c>
      <c r="M1255" s="4" t="s">
        <v>1255</v>
      </c>
      <c r="N1255" s="3">
        <v>0</v>
      </c>
    </row>
    <row r="1256" spans="1:14" hidden="1" x14ac:dyDescent="0.35">
      <c r="A1256">
        <v>2187</v>
      </c>
      <c r="B1256" s="4" t="s">
        <v>637</v>
      </c>
      <c r="C1256" s="4" t="s">
        <v>484</v>
      </c>
      <c r="D1256" s="4" t="s">
        <v>33</v>
      </c>
      <c r="E1256">
        <v>0</v>
      </c>
      <c r="F1256" s="3">
        <v>2709.1</v>
      </c>
      <c r="G1256" s="2">
        <v>0.82</v>
      </c>
      <c r="H1256" s="3">
        <v>0</v>
      </c>
      <c r="I1256" s="1">
        <v>45733</v>
      </c>
      <c r="J1256" s="4" t="s">
        <v>7</v>
      </c>
      <c r="K1256" s="4" t="s">
        <v>40</v>
      </c>
      <c r="L1256" s="3">
        <v>1386.25</v>
      </c>
      <c r="M1256" s="4" t="s">
        <v>1255</v>
      </c>
      <c r="N1256" s="3">
        <v>0</v>
      </c>
    </row>
    <row r="1257" spans="1:14" x14ac:dyDescent="0.35">
      <c r="A1257">
        <v>2188</v>
      </c>
      <c r="B1257" s="4" t="s">
        <v>797</v>
      </c>
      <c r="C1257" s="4" t="s">
        <v>236</v>
      </c>
      <c r="D1257" s="4" t="s">
        <v>37</v>
      </c>
      <c r="E1257">
        <v>0</v>
      </c>
      <c r="F1257" s="3">
        <v>3027.66</v>
      </c>
      <c r="G1257" s="2">
        <v>1.21</v>
      </c>
      <c r="H1257" s="3">
        <v>0</v>
      </c>
      <c r="I1257" s="1">
        <v>45827</v>
      </c>
      <c r="J1257" s="4" t="s">
        <v>9</v>
      </c>
      <c r="K1257" s="4" t="s">
        <v>12</v>
      </c>
      <c r="L1257" s="3">
        <v>1971.23</v>
      </c>
      <c r="M1257" s="4" t="s">
        <v>1255</v>
      </c>
      <c r="N1257" s="3">
        <v>0</v>
      </c>
    </row>
    <row r="1258" spans="1:14" x14ac:dyDescent="0.35">
      <c r="A1258">
        <v>2189</v>
      </c>
      <c r="B1258" s="4" t="s">
        <v>959</v>
      </c>
      <c r="C1258" s="4" t="s">
        <v>104</v>
      </c>
      <c r="D1258" s="4" t="s">
        <v>30</v>
      </c>
      <c r="E1258">
        <v>0</v>
      </c>
      <c r="F1258" s="3">
        <v>968.53</v>
      </c>
      <c r="G1258" s="2">
        <v>0.3</v>
      </c>
      <c r="H1258" s="3">
        <v>0</v>
      </c>
      <c r="I1258" s="1">
        <v>45820</v>
      </c>
      <c r="J1258" s="4" t="s">
        <v>7</v>
      </c>
      <c r="K1258" s="4" t="s">
        <v>8</v>
      </c>
      <c r="L1258" s="3">
        <v>-39.14</v>
      </c>
      <c r="M1258" s="4" t="s">
        <v>1255</v>
      </c>
      <c r="N1258" s="3">
        <v>0</v>
      </c>
    </row>
    <row r="1259" spans="1:14" hidden="1" x14ac:dyDescent="0.35">
      <c r="A1259">
        <v>2190</v>
      </c>
      <c r="B1259" s="4" t="s">
        <v>244</v>
      </c>
      <c r="C1259" s="4" t="s">
        <v>496</v>
      </c>
      <c r="D1259" s="4" t="s">
        <v>16</v>
      </c>
      <c r="E1259">
        <v>3</v>
      </c>
      <c r="F1259" s="3">
        <v>3887.5</v>
      </c>
      <c r="G1259" s="2">
        <v>0.65212616822429903</v>
      </c>
      <c r="H1259" s="3">
        <v>0</v>
      </c>
      <c r="I1259" s="1">
        <v>45633</v>
      </c>
      <c r="J1259" s="4" t="s">
        <v>7</v>
      </c>
      <c r="K1259" s="4" t="s">
        <v>40</v>
      </c>
      <c r="L1259" s="3">
        <v>1787.25</v>
      </c>
      <c r="M1259" s="4" t="s">
        <v>1255</v>
      </c>
      <c r="N1259" s="3">
        <v>11662.5</v>
      </c>
    </row>
    <row r="1260" spans="1:14" x14ac:dyDescent="0.35">
      <c r="A1260">
        <v>2191</v>
      </c>
      <c r="B1260" s="4" t="s">
        <v>242</v>
      </c>
      <c r="C1260" s="4" t="s">
        <v>368</v>
      </c>
      <c r="D1260" s="4" t="s">
        <v>34</v>
      </c>
      <c r="E1260">
        <v>0</v>
      </c>
      <c r="F1260" s="3">
        <v>2267.7199999999998</v>
      </c>
      <c r="G1260" s="2">
        <v>0.65212616822429903</v>
      </c>
      <c r="H1260" s="3">
        <v>0</v>
      </c>
      <c r="I1260" s="1">
        <v>45659</v>
      </c>
      <c r="J1260" s="4" t="s">
        <v>11</v>
      </c>
      <c r="K1260" s="4" t="s">
        <v>8</v>
      </c>
      <c r="L1260" s="3">
        <v>-459.62</v>
      </c>
      <c r="M1260" s="4" t="s">
        <v>1255</v>
      </c>
      <c r="N1260" s="3">
        <v>0</v>
      </c>
    </row>
    <row r="1261" spans="1:14" x14ac:dyDescent="0.35">
      <c r="A1261">
        <v>2192</v>
      </c>
      <c r="B1261" s="4" t="s">
        <v>262</v>
      </c>
      <c r="C1261" s="4" t="s">
        <v>470</v>
      </c>
      <c r="D1261" s="4" t="s">
        <v>14</v>
      </c>
      <c r="E1261">
        <v>0</v>
      </c>
      <c r="F1261" s="3">
        <v>4218.96</v>
      </c>
      <c r="G1261" s="2">
        <v>0.01</v>
      </c>
      <c r="H1261" s="3">
        <v>0</v>
      </c>
      <c r="I1261" s="1">
        <v>45328</v>
      </c>
      <c r="J1261" s="4" t="s">
        <v>20</v>
      </c>
      <c r="K1261" s="4" t="s">
        <v>12</v>
      </c>
      <c r="L1261" s="3">
        <v>1483.9</v>
      </c>
      <c r="M1261" s="4" t="s">
        <v>1255</v>
      </c>
      <c r="N1261" s="3">
        <v>0</v>
      </c>
    </row>
    <row r="1262" spans="1:14" x14ac:dyDescent="0.35">
      <c r="A1262">
        <v>2193</v>
      </c>
      <c r="B1262" s="4" t="s">
        <v>125</v>
      </c>
      <c r="C1262" s="4" t="s">
        <v>915</v>
      </c>
      <c r="D1262" s="4" t="s">
        <v>34</v>
      </c>
      <c r="E1262">
        <v>0</v>
      </c>
      <c r="F1262" s="3">
        <v>2712.09</v>
      </c>
      <c r="G1262" s="2">
        <v>0.65362997658079602</v>
      </c>
      <c r="H1262" s="3">
        <v>0</v>
      </c>
      <c r="I1262" s="1">
        <v>45526</v>
      </c>
      <c r="J1262" s="4" t="s">
        <v>23</v>
      </c>
      <c r="K1262" s="4" t="s">
        <v>8</v>
      </c>
      <c r="L1262" s="3">
        <v>2585.79</v>
      </c>
      <c r="M1262" s="4" t="s">
        <v>1255</v>
      </c>
      <c r="N1262" s="3">
        <v>0</v>
      </c>
    </row>
    <row r="1263" spans="1:14" x14ac:dyDescent="0.35">
      <c r="A1263">
        <v>2194</v>
      </c>
      <c r="B1263" s="4" t="s">
        <v>960</v>
      </c>
      <c r="C1263" s="4" t="s">
        <v>401</v>
      </c>
      <c r="D1263" s="4" t="s">
        <v>34</v>
      </c>
      <c r="E1263">
        <v>0</v>
      </c>
      <c r="F1263" s="3">
        <v>3862.58</v>
      </c>
      <c r="G1263" s="2">
        <v>0.65362997658079602</v>
      </c>
      <c r="H1263" s="3">
        <v>0</v>
      </c>
      <c r="I1263" s="1">
        <v>45855</v>
      </c>
      <c r="J1263" s="4" t="s">
        <v>9</v>
      </c>
      <c r="K1263" s="4" t="s">
        <v>12</v>
      </c>
      <c r="L1263" s="3">
        <v>794.8</v>
      </c>
      <c r="M1263" s="4" t="s">
        <v>1255</v>
      </c>
      <c r="N1263" s="3">
        <v>0</v>
      </c>
    </row>
    <row r="1264" spans="1:14" x14ac:dyDescent="0.35">
      <c r="A1264">
        <v>2195</v>
      </c>
      <c r="B1264" s="4" t="s">
        <v>93</v>
      </c>
      <c r="C1264" s="4" t="s">
        <v>838</v>
      </c>
      <c r="D1264" s="4" t="s">
        <v>29</v>
      </c>
      <c r="E1264">
        <v>4</v>
      </c>
      <c r="F1264" s="3">
        <v>3491.26</v>
      </c>
      <c r="G1264" s="2">
        <v>0.65362997658079602</v>
      </c>
      <c r="H1264" s="3">
        <v>0</v>
      </c>
      <c r="I1264" s="1">
        <v>45855</v>
      </c>
      <c r="J1264" s="4" t="s">
        <v>23</v>
      </c>
      <c r="K1264" s="4" t="s">
        <v>8</v>
      </c>
      <c r="L1264" s="3">
        <v>-165.48</v>
      </c>
      <c r="M1264" s="4" t="s">
        <v>1255</v>
      </c>
      <c r="N1264" s="3">
        <v>13965.04</v>
      </c>
    </row>
    <row r="1265" spans="1:14" x14ac:dyDescent="0.35">
      <c r="A1265">
        <v>2196</v>
      </c>
      <c r="B1265" s="4" t="s">
        <v>304</v>
      </c>
      <c r="C1265" s="4" t="s">
        <v>961</v>
      </c>
      <c r="D1265" s="4" t="s">
        <v>17</v>
      </c>
      <c r="E1265">
        <v>0</v>
      </c>
      <c r="F1265" s="3">
        <v>3655.37</v>
      </c>
      <c r="G1265" s="2">
        <v>0.65362997658079602</v>
      </c>
      <c r="H1265" s="3">
        <v>0</v>
      </c>
      <c r="I1265" s="1">
        <v>45413</v>
      </c>
      <c r="J1265" s="4" t="s">
        <v>23</v>
      </c>
      <c r="K1265" s="4" t="s">
        <v>8</v>
      </c>
      <c r="L1265" s="3">
        <v>-844.23</v>
      </c>
      <c r="M1265" s="4" t="s">
        <v>1255</v>
      </c>
      <c r="N1265" s="3">
        <v>0</v>
      </c>
    </row>
    <row r="1266" spans="1:14" x14ac:dyDescent="0.35">
      <c r="A1266">
        <v>2197</v>
      </c>
      <c r="B1266" s="4" t="s">
        <v>121</v>
      </c>
      <c r="C1266" s="4" t="s">
        <v>931</v>
      </c>
      <c r="D1266" s="4" t="s">
        <v>31</v>
      </c>
      <c r="E1266">
        <v>0</v>
      </c>
      <c r="F1266" s="3">
        <v>2752.0340000000001</v>
      </c>
      <c r="G1266" s="2">
        <v>0.65362997658079602</v>
      </c>
      <c r="H1266" s="3">
        <v>0</v>
      </c>
      <c r="I1266" s="1">
        <v>45598</v>
      </c>
      <c r="J1266" s="4" t="s">
        <v>9</v>
      </c>
      <c r="K1266" s="4" t="s">
        <v>8</v>
      </c>
      <c r="L1266" s="3">
        <v>24.78</v>
      </c>
      <c r="M1266" s="4" t="s">
        <v>1255</v>
      </c>
      <c r="N1266" s="3">
        <v>0</v>
      </c>
    </row>
    <row r="1267" spans="1:14" x14ac:dyDescent="0.35">
      <c r="A1267">
        <v>2199</v>
      </c>
      <c r="B1267" s="4" t="s">
        <v>392</v>
      </c>
      <c r="C1267" s="4" t="s">
        <v>203</v>
      </c>
      <c r="D1267" s="4" t="s">
        <v>15</v>
      </c>
      <c r="E1267">
        <v>6</v>
      </c>
      <c r="F1267" s="3">
        <v>2750.6736000000001</v>
      </c>
      <c r="G1267" s="2">
        <v>0.65366197183098596</v>
      </c>
      <c r="H1267" s="3">
        <v>0</v>
      </c>
      <c r="I1267" s="1">
        <v>45815</v>
      </c>
      <c r="J1267" s="4" t="s">
        <v>23</v>
      </c>
      <c r="K1267" s="4" t="s">
        <v>12</v>
      </c>
      <c r="L1267" s="3">
        <v>595.51</v>
      </c>
      <c r="M1267" s="4" t="s">
        <v>1255</v>
      </c>
      <c r="N1267" s="3">
        <v>16504.0416</v>
      </c>
    </row>
    <row r="1268" spans="1:14" hidden="1" x14ac:dyDescent="0.35">
      <c r="A1268">
        <v>2200</v>
      </c>
      <c r="B1268" s="4" t="s">
        <v>517</v>
      </c>
      <c r="C1268" s="4" t="s">
        <v>962</v>
      </c>
      <c r="D1268" s="4" t="s">
        <v>37</v>
      </c>
      <c r="E1268">
        <v>-1</v>
      </c>
      <c r="F1268" s="3">
        <v>1346.11</v>
      </c>
      <c r="G1268" s="2">
        <v>0.72</v>
      </c>
      <c r="H1268" s="3">
        <v>-376.91</v>
      </c>
      <c r="I1268" s="1">
        <v>45815</v>
      </c>
      <c r="J1268" s="4" t="s">
        <v>11</v>
      </c>
      <c r="K1268" s="4" t="s">
        <v>40</v>
      </c>
      <c r="L1268" s="3">
        <v>-763.62</v>
      </c>
      <c r="M1268" s="4" t="s">
        <v>1255</v>
      </c>
      <c r="N1268" s="3">
        <v>-1346.11</v>
      </c>
    </row>
    <row r="1269" spans="1:14" x14ac:dyDescent="0.35">
      <c r="A1269">
        <v>2201</v>
      </c>
      <c r="B1269" s="4" t="s">
        <v>634</v>
      </c>
      <c r="C1269" s="4" t="s">
        <v>82</v>
      </c>
      <c r="D1269" s="4" t="s">
        <v>25</v>
      </c>
      <c r="E1269">
        <v>-1</v>
      </c>
      <c r="F1269" s="3">
        <v>2750.6736000000001</v>
      </c>
      <c r="G1269" s="2">
        <v>0.65350588235294105</v>
      </c>
      <c r="H1269" s="3">
        <v>0</v>
      </c>
      <c r="I1269" s="1">
        <v>45815</v>
      </c>
      <c r="J1269" s="4" t="s">
        <v>18</v>
      </c>
      <c r="K1269" s="4" t="s">
        <v>12</v>
      </c>
      <c r="L1269" s="3">
        <v>1897.16</v>
      </c>
      <c r="M1269" s="4" t="s">
        <v>1255</v>
      </c>
      <c r="N1269" s="3">
        <v>-2750.6736000000001</v>
      </c>
    </row>
    <row r="1270" spans="1:14" x14ac:dyDescent="0.35">
      <c r="A1270">
        <v>2202</v>
      </c>
      <c r="B1270" s="4" t="s">
        <v>47</v>
      </c>
      <c r="C1270" s="4" t="s">
        <v>963</v>
      </c>
      <c r="D1270" s="4" t="s">
        <v>21</v>
      </c>
      <c r="E1270">
        <v>0</v>
      </c>
      <c r="F1270" s="3">
        <v>2752.7921000000001</v>
      </c>
      <c r="G1270" s="2">
        <v>0.92</v>
      </c>
      <c r="H1270" s="3">
        <v>0</v>
      </c>
      <c r="I1270" s="1">
        <v>45314</v>
      </c>
      <c r="J1270" s="4" t="s">
        <v>9</v>
      </c>
      <c r="K1270" s="4" t="s">
        <v>8</v>
      </c>
      <c r="L1270" s="3">
        <v>2505.39</v>
      </c>
      <c r="M1270" s="4" t="s">
        <v>1255</v>
      </c>
      <c r="N1270" s="3">
        <v>0</v>
      </c>
    </row>
    <row r="1271" spans="1:14" x14ac:dyDescent="0.35">
      <c r="A1271">
        <v>2203</v>
      </c>
      <c r="B1271" s="4" t="s">
        <v>555</v>
      </c>
      <c r="C1271" s="4" t="s">
        <v>793</v>
      </c>
      <c r="D1271" s="4" t="s">
        <v>24</v>
      </c>
      <c r="E1271">
        <v>0</v>
      </c>
      <c r="F1271" s="3">
        <v>1611.02</v>
      </c>
      <c r="G1271" s="2">
        <v>0.65287735849056605</v>
      </c>
      <c r="H1271" s="3">
        <v>0</v>
      </c>
      <c r="I1271" s="1">
        <v>45843</v>
      </c>
      <c r="J1271" s="4" t="s">
        <v>20</v>
      </c>
      <c r="K1271" s="4" t="s">
        <v>8</v>
      </c>
      <c r="L1271" s="3">
        <v>2610.41</v>
      </c>
      <c r="M1271" s="4" t="s">
        <v>1255</v>
      </c>
      <c r="N1271" s="3">
        <v>0</v>
      </c>
    </row>
    <row r="1272" spans="1:14" hidden="1" x14ac:dyDescent="0.35">
      <c r="A1272">
        <v>2204</v>
      </c>
      <c r="B1272" s="4" t="s">
        <v>185</v>
      </c>
      <c r="C1272" s="4" t="s">
        <v>247</v>
      </c>
      <c r="D1272" s="4" t="s">
        <v>22</v>
      </c>
      <c r="E1272">
        <v>2</v>
      </c>
      <c r="F1272" s="3">
        <v>2752.7921000000001</v>
      </c>
      <c r="G1272" s="2">
        <v>0.65287735849056605</v>
      </c>
      <c r="H1272" s="3">
        <v>0</v>
      </c>
      <c r="I1272" s="1">
        <v>45843</v>
      </c>
      <c r="J1272" s="4" t="s">
        <v>18</v>
      </c>
      <c r="K1272" s="4" t="s">
        <v>40</v>
      </c>
      <c r="L1272" s="3">
        <v>-875.95</v>
      </c>
      <c r="M1272" s="4" t="s">
        <v>1255</v>
      </c>
      <c r="N1272" s="3">
        <v>5505.5842000000002</v>
      </c>
    </row>
    <row r="1273" spans="1:14" x14ac:dyDescent="0.35">
      <c r="A1273">
        <v>2205</v>
      </c>
      <c r="B1273" s="4" t="s">
        <v>363</v>
      </c>
      <c r="C1273" s="4" t="s">
        <v>889</v>
      </c>
      <c r="D1273" s="4" t="s">
        <v>28</v>
      </c>
      <c r="E1273">
        <v>-2</v>
      </c>
      <c r="F1273" s="3">
        <v>2754.5167999999999</v>
      </c>
      <c r="G1273" s="2">
        <v>0.14000000000000001</v>
      </c>
      <c r="H1273" s="3">
        <v>0</v>
      </c>
      <c r="I1273" s="1">
        <v>45270</v>
      </c>
      <c r="J1273" s="4" t="s">
        <v>23</v>
      </c>
      <c r="K1273" s="4" t="s">
        <v>8</v>
      </c>
      <c r="L1273" s="3">
        <v>-512.13</v>
      </c>
      <c r="M1273" s="4" t="s">
        <v>1255</v>
      </c>
      <c r="N1273" s="3">
        <v>-5509.0335999999998</v>
      </c>
    </row>
    <row r="1274" spans="1:14" hidden="1" x14ac:dyDescent="0.35">
      <c r="A1274">
        <v>2206</v>
      </c>
      <c r="B1274" s="4" t="s">
        <v>494</v>
      </c>
      <c r="C1274" s="4" t="s">
        <v>293</v>
      </c>
      <c r="D1274" s="4" t="s">
        <v>33</v>
      </c>
      <c r="E1274">
        <v>0</v>
      </c>
      <c r="F1274" s="3">
        <v>2349.3000000000002</v>
      </c>
      <c r="G1274" s="2">
        <v>0.18</v>
      </c>
      <c r="H1274" s="3">
        <v>0</v>
      </c>
      <c r="I1274" s="1">
        <v>45705</v>
      </c>
      <c r="J1274" s="4" t="s">
        <v>7</v>
      </c>
      <c r="K1274" s="4" t="s">
        <v>40</v>
      </c>
      <c r="L1274" s="3">
        <v>2503.67</v>
      </c>
      <c r="M1274" s="4" t="s">
        <v>1255</v>
      </c>
      <c r="N1274" s="3">
        <v>0</v>
      </c>
    </row>
    <row r="1275" spans="1:14" x14ac:dyDescent="0.35">
      <c r="A1275">
        <v>2207</v>
      </c>
      <c r="B1275" s="4" t="s">
        <v>964</v>
      </c>
      <c r="C1275" s="4" t="s">
        <v>184</v>
      </c>
      <c r="D1275" s="4" t="s">
        <v>33</v>
      </c>
      <c r="E1275">
        <v>3</v>
      </c>
      <c r="F1275" s="3">
        <v>2146.0700000000002</v>
      </c>
      <c r="G1275" s="2">
        <v>0.65521327014218</v>
      </c>
      <c r="H1275" s="3">
        <v>0</v>
      </c>
      <c r="I1275" s="1">
        <v>45705</v>
      </c>
      <c r="J1275" s="4" t="s">
        <v>20</v>
      </c>
      <c r="K1275" s="4" t="s">
        <v>8</v>
      </c>
      <c r="L1275" s="3">
        <v>199.99</v>
      </c>
      <c r="M1275" s="4" t="s">
        <v>1255</v>
      </c>
      <c r="N1275" s="3">
        <v>6438.21</v>
      </c>
    </row>
    <row r="1276" spans="1:14" hidden="1" x14ac:dyDescent="0.35">
      <c r="A1276">
        <v>2208</v>
      </c>
      <c r="B1276" s="4" t="s">
        <v>951</v>
      </c>
      <c r="C1276" s="4" t="s">
        <v>965</v>
      </c>
      <c r="D1276" s="4" t="s">
        <v>19</v>
      </c>
      <c r="E1276">
        <v>0</v>
      </c>
      <c r="F1276" s="3">
        <v>2755.1298000000002</v>
      </c>
      <c r="G1276" s="2">
        <v>0.65521327014218</v>
      </c>
      <c r="H1276" s="3">
        <v>0</v>
      </c>
      <c r="I1276" s="1">
        <v>45703</v>
      </c>
      <c r="J1276" s="4" t="s">
        <v>20</v>
      </c>
      <c r="K1276" s="4" t="s">
        <v>40</v>
      </c>
      <c r="L1276" s="3">
        <v>2347.0500000000002</v>
      </c>
      <c r="M1276" s="4" t="s">
        <v>1255</v>
      </c>
      <c r="N1276" s="3">
        <v>0</v>
      </c>
    </row>
    <row r="1277" spans="1:14" x14ac:dyDescent="0.35">
      <c r="A1277">
        <v>2209</v>
      </c>
      <c r="B1277" s="4" t="s">
        <v>328</v>
      </c>
      <c r="C1277" s="4" t="s">
        <v>242</v>
      </c>
      <c r="D1277" s="4" t="s">
        <v>15</v>
      </c>
      <c r="E1277">
        <v>-2</v>
      </c>
      <c r="F1277" s="3">
        <v>2756.0527000000002</v>
      </c>
      <c r="G1277" s="2">
        <v>0.95</v>
      </c>
      <c r="H1277" s="3">
        <v>0</v>
      </c>
      <c r="I1277" s="1">
        <v>45703</v>
      </c>
      <c r="J1277" s="4" t="s">
        <v>20</v>
      </c>
      <c r="K1277" s="4" t="s">
        <v>12</v>
      </c>
      <c r="L1277" s="3">
        <v>2492.83</v>
      </c>
      <c r="M1277" s="4" t="s">
        <v>1255</v>
      </c>
      <c r="N1277" s="3">
        <v>-5512.1054000000004</v>
      </c>
    </row>
    <row r="1278" spans="1:14" x14ac:dyDescent="0.35">
      <c r="A1278">
        <v>2210</v>
      </c>
      <c r="B1278" s="4" t="s">
        <v>319</v>
      </c>
      <c r="C1278" s="4" t="s">
        <v>614</v>
      </c>
      <c r="D1278" s="4" t="s">
        <v>27</v>
      </c>
      <c r="E1278">
        <v>0</v>
      </c>
      <c r="F1278" s="3">
        <v>4368.12</v>
      </c>
      <c r="G1278" s="2">
        <v>0.65451306413301702</v>
      </c>
      <c r="H1278" s="3">
        <v>0</v>
      </c>
      <c r="I1278" s="1">
        <v>45779</v>
      </c>
      <c r="J1278" s="4" t="s">
        <v>7</v>
      </c>
      <c r="K1278" s="4" t="s">
        <v>8</v>
      </c>
      <c r="L1278" s="3">
        <v>2434.6</v>
      </c>
      <c r="M1278" s="4" t="s">
        <v>1255</v>
      </c>
      <c r="N1278" s="3">
        <v>0</v>
      </c>
    </row>
    <row r="1279" spans="1:14" x14ac:dyDescent="0.35">
      <c r="A1279">
        <v>2211</v>
      </c>
      <c r="B1279" s="4" t="s">
        <v>702</v>
      </c>
      <c r="C1279" s="4" t="s">
        <v>954</v>
      </c>
      <c r="D1279" s="4" t="s">
        <v>30</v>
      </c>
      <c r="E1279">
        <v>2</v>
      </c>
      <c r="F1279" s="3">
        <v>2756.0527000000002</v>
      </c>
      <c r="G1279" s="2">
        <v>1.08</v>
      </c>
      <c r="H1279" s="3">
        <v>0</v>
      </c>
      <c r="I1279" s="1">
        <v>45416</v>
      </c>
      <c r="J1279" s="4" t="s">
        <v>11</v>
      </c>
      <c r="K1279" s="4" t="s">
        <v>12</v>
      </c>
      <c r="L1279" s="3">
        <v>902.93</v>
      </c>
      <c r="M1279" s="4" t="s">
        <v>1255</v>
      </c>
      <c r="N1279" s="3">
        <v>5512.1054000000004</v>
      </c>
    </row>
    <row r="1280" spans="1:14" x14ac:dyDescent="0.35">
      <c r="A1280">
        <v>2213</v>
      </c>
      <c r="B1280" s="4" t="s">
        <v>284</v>
      </c>
      <c r="C1280" s="4" t="s">
        <v>966</v>
      </c>
      <c r="D1280" s="4" t="s">
        <v>16</v>
      </c>
      <c r="E1280">
        <v>0</v>
      </c>
      <c r="F1280" s="3">
        <v>2543.9299999999998</v>
      </c>
      <c r="G1280" s="2">
        <v>0.65367541766109805</v>
      </c>
      <c r="H1280" s="3">
        <v>0</v>
      </c>
      <c r="I1280" s="1">
        <v>45824</v>
      </c>
      <c r="J1280" s="4" t="s">
        <v>9</v>
      </c>
      <c r="K1280" s="4" t="s">
        <v>8</v>
      </c>
      <c r="L1280" s="3">
        <v>2177.8200000000002</v>
      </c>
      <c r="M1280" s="4" t="s">
        <v>1255</v>
      </c>
      <c r="N1280" s="3">
        <v>0</v>
      </c>
    </row>
    <row r="1281" spans="1:14" hidden="1" x14ac:dyDescent="0.35">
      <c r="A1281">
        <v>2214</v>
      </c>
      <c r="B1281" s="4" t="s">
        <v>870</v>
      </c>
      <c r="C1281" s="4" t="s">
        <v>88</v>
      </c>
      <c r="D1281" s="4" t="s">
        <v>17</v>
      </c>
      <c r="E1281">
        <v>-1</v>
      </c>
      <c r="F1281" s="3">
        <v>4854.03</v>
      </c>
      <c r="G1281" s="2">
        <v>0.65367541766109805</v>
      </c>
      <c r="H1281" s="3">
        <v>0</v>
      </c>
      <c r="I1281" s="1">
        <v>45577</v>
      </c>
      <c r="J1281" s="4" t="s">
        <v>9</v>
      </c>
      <c r="K1281" s="4" t="s">
        <v>40</v>
      </c>
      <c r="L1281" s="3">
        <v>864.66</v>
      </c>
      <c r="M1281" s="4" t="s">
        <v>1255</v>
      </c>
      <c r="N1281" s="3">
        <v>-4854.03</v>
      </c>
    </row>
    <row r="1282" spans="1:14" x14ac:dyDescent="0.35">
      <c r="A1282">
        <v>2215</v>
      </c>
      <c r="B1282" s="4" t="s">
        <v>226</v>
      </c>
      <c r="C1282" s="4" t="s">
        <v>967</v>
      </c>
      <c r="D1282" s="4" t="s">
        <v>34</v>
      </c>
      <c r="E1282">
        <v>-2</v>
      </c>
      <c r="F1282" s="3">
        <v>442.41</v>
      </c>
      <c r="G1282" s="2">
        <v>0.65367541766109805</v>
      </c>
      <c r="H1282" s="3">
        <v>0</v>
      </c>
      <c r="I1282" s="1">
        <v>45577</v>
      </c>
      <c r="J1282" s="4" t="s">
        <v>7</v>
      </c>
      <c r="K1282" s="4" t="s">
        <v>8</v>
      </c>
      <c r="L1282" s="3">
        <v>1628.57</v>
      </c>
      <c r="M1282" s="4" t="s">
        <v>1255</v>
      </c>
      <c r="N1282" s="3">
        <v>-884.82</v>
      </c>
    </row>
    <row r="1283" spans="1:14" hidden="1" x14ac:dyDescent="0.35">
      <c r="A1283">
        <v>2216</v>
      </c>
      <c r="B1283" s="4" t="s">
        <v>134</v>
      </c>
      <c r="C1283" s="4" t="s">
        <v>70</v>
      </c>
      <c r="D1283" s="4" t="s">
        <v>30</v>
      </c>
      <c r="E1283">
        <v>3</v>
      </c>
      <c r="F1283" s="3">
        <v>2750.7285999999999</v>
      </c>
      <c r="G1283" s="2">
        <v>0.05</v>
      </c>
      <c r="H1283" s="3">
        <v>0</v>
      </c>
      <c r="I1283" s="1">
        <v>45795</v>
      </c>
      <c r="J1283" s="4" t="s">
        <v>20</v>
      </c>
      <c r="K1283" s="4" t="s">
        <v>40</v>
      </c>
      <c r="L1283" s="3">
        <v>-823.2</v>
      </c>
      <c r="M1283" s="4" t="s">
        <v>1255</v>
      </c>
      <c r="N1283" s="3">
        <v>8252.1857999999993</v>
      </c>
    </row>
    <row r="1284" spans="1:14" x14ac:dyDescent="0.35">
      <c r="A1284">
        <v>2217</v>
      </c>
      <c r="B1284" s="4" t="s">
        <v>494</v>
      </c>
      <c r="C1284" s="4" t="s">
        <v>806</v>
      </c>
      <c r="D1284" s="4" t="s">
        <v>32</v>
      </c>
      <c r="E1284">
        <v>0</v>
      </c>
      <c r="F1284" s="3">
        <v>1540.5</v>
      </c>
      <c r="G1284" s="2">
        <v>0.65511961722487999</v>
      </c>
      <c r="H1284" s="3">
        <v>0</v>
      </c>
      <c r="I1284" s="1">
        <v>45639</v>
      </c>
      <c r="J1284" s="4" t="s">
        <v>11</v>
      </c>
      <c r="K1284" s="4" t="s">
        <v>12</v>
      </c>
      <c r="L1284" s="3">
        <v>1385.44</v>
      </c>
      <c r="M1284" s="4" t="s">
        <v>1255</v>
      </c>
      <c r="N1284" s="3">
        <v>0</v>
      </c>
    </row>
    <row r="1285" spans="1:14" x14ac:dyDescent="0.35">
      <c r="A1285">
        <v>2218</v>
      </c>
      <c r="B1285" s="4" t="s">
        <v>164</v>
      </c>
      <c r="C1285" s="4" t="s">
        <v>194</v>
      </c>
      <c r="D1285" s="4" t="s">
        <v>32</v>
      </c>
      <c r="E1285">
        <v>0</v>
      </c>
      <c r="F1285" s="3">
        <v>2754.2473</v>
      </c>
      <c r="G1285" s="2">
        <v>0.65511961722487999</v>
      </c>
      <c r="H1285" s="3">
        <v>0</v>
      </c>
      <c r="I1285" s="1">
        <v>45680</v>
      </c>
      <c r="J1285" s="4" t="s">
        <v>23</v>
      </c>
      <c r="K1285" s="4" t="s">
        <v>12</v>
      </c>
      <c r="L1285" s="3">
        <v>2077.4899999999998</v>
      </c>
      <c r="M1285" s="4" t="s">
        <v>1255</v>
      </c>
      <c r="N1285" s="3">
        <v>0</v>
      </c>
    </row>
    <row r="1286" spans="1:14" x14ac:dyDescent="0.35">
      <c r="A1286">
        <v>2219</v>
      </c>
      <c r="B1286" s="4" t="s">
        <v>85</v>
      </c>
      <c r="C1286" s="4" t="s">
        <v>968</v>
      </c>
      <c r="D1286" s="4" t="s">
        <v>28</v>
      </c>
      <c r="E1286">
        <v>4</v>
      </c>
      <c r="F1286" s="3">
        <v>2403.9499999999998</v>
      </c>
      <c r="G1286" s="2">
        <v>0.65511961722487999</v>
      </c>
      <c r="H1286" s="3">
        <v>0</v>
      </c>
      <c r="I1286" s="1">
        <v>45588</v>
      </c>
      <c r="J1286" s="4" t="s">
        <v>11</v>
      </c>
      <c r="K1286" s="4" t="s">
        <v>8</v>
      </c>
      <c r="L1286" s="3">
        <v>858.23</v>
      </c>
      <c r="M1286" s="4" t="s">
        <v>1255</v>
      </c>
      <c r="N1286" s="3">
        <v>9615.7999999999993</v>
      </c>
    </row>
    <row r="1287" spans="1:14" hidden="1" x14ac:dyDescent="0.35">
      <c r="A1287">
        <v>2220</v>
      </c>
      <c r="B1287" s="4" t="s">
        <v>224</v>
      </c>
      <c r="C1287" s="4" t="s">
        <v>233</v>
      </c>
      <c r="D1287" s="4" t="s">
        <v>14</v>
      </c>
      <c r="E1287">
        <v>-1</v>
      </c>
      <c r="F1287" s="3">
        <v>2170.71</v>
      </c>
      <c r="G1287" s="2">
        <v>0.57999999999999996</v>
      </c>
      <c r="H1287" s="3">
        <v>-911.7</v>
      </c>
      <c r="I1287" s="1">
        <v>45810</v>
      </c>
      <c r="J1287" s="4" t="s">
        <v>18</v>
      </c>
      <c r="K1287" s="4" t="s">
        <v>40</v>
      </c>
      <c r="L1287" s="3">
        <v>1689.68</v>
      </c>
      <c r="M1287" s="4" t="s">
        <v>1255</v>
      </c>
      <c r="N1287" s="3">
        <v>-2170.71</v>
      </c>
    </row>
    <row r="1288" spans="1:14" x14ac:dyDescent="0.35">
      <c r="A1288">
        <v>2221</v>
      </c>
      <c r="B1288" s="4" t="s">
        <v>134</v>
      </c>
      <c r="C1288" s="4" t="s">
        <v>149</v>
      </c>
      <c r="D1288" s="4" t="s">
        <v>15</v>
      </c>
      <c r="E1288">
        <v>0</v>
      </c>
      <c r="F1288" s="3">
        <v>1762.23</v>
      </c>
      <c r="G1288" s="2">
        <v>0.65529976019184599</v>
      </c>
      <c r="H1288" s="3">
        <v>0</v>
      </c>
      <c r="I1288" s="1">
        <v>45560</v>
      </c>
      <c r="J1288" s="4" t="s">
        <v>18</v>
      </c>
      <c r="K1288" s="4" t="s">
        <v>8</v>
      </c>
      <c r="L1288" s="3">
        <v>-736.69</v>
      </c>
      <c r="M1288" s="4" t="s">
        <v>1255</v>
      </c>
      <c r="N1288" s="3">
        <v>0</v>
      </c>
    </row>
    <row r="1289" spans="1:14" x14ac:dyDescent="0.35">
      <c r="A1289">
        <v>2222</v>
      </c>
      <c r="B1289" s="4" t="s">
        <v>709</v>
      </c>
      <c r="C1289" s="4" t="s">
        <v>969</v>
      </c>
      <c r="D1289" s="4" t="s">
        <v>25</v>
      </c>
      <c r="E1289">
        <v>0</v>
      </c>
      <c r="F1289" s="3">
        <v>2161.8000000000002</v>
      </c>
      <c r="G1289" s="2">
        <v>0.65529976019184599</v>
      </c>
      <c r="H1289" s="3">
        <v>0</v>
      </c>
      <c r="I1289" s="1">
        <v>45560</v>
      </c>
      <c r="J1289" s="4" t="s">
        <v>9</v>
      </c>
      <c r="K1289" s="4" t="s">
        <v>12</v>
      </c>
      <c r="L1289" s="3">
        <v>1722.2</v>
      </c>
      <c r="M1289" s="4" t="s">
        <v>1255</v>
      </c>
      <c r="N1289" s="3">
        <v>0</v>
      </c>
    </row>
    <row r="1290" spans="1:14" x14ac:dyDescent="0.35">
      <c r="A1290">
        <v>2223</v>
      </c>
      <c r="B1290" s="4" t="s">
        <v>477</v>
      </c>
      <c r="C1290" s="4" t="s">
        <v>440</v>
      </c>
      <c r="D1290" s="4" t="s">
        <v>21</v>
      </c>
      <c r="E1290">
        <v>-1</v>
      </c>
      <c r="F1290" s="3">
        <v>3445.9</v>
      </c>
      <c r="G1290" s="2">
        <v>0.81</v>
      </c>
      <c r="H1290" s="3">
        <v>-654.72</v>
      </c>
      <c r="I1290" s="1">
        <v>45654</v>
      </c>
      <c r="J1290" s="4" t="s">
        <v>11</v>
      </c>
      <c r="K1290" s="4" t="s">
        <v>12</v>
      </c>
      <c r="L1290" s="3">
        <v>2374.1799999999998</v>
      </c>
      <c r="M1290" s="4" t="s">
        <v>1255</v>
      </c>
      <c r="N1290" s="3">
        <v>-3445.9</v>
      </c>
    </row>
    <row r="1291" spans="1:14" x14ac:dyDescent="0.35">
      <c r="A1291">
        <v>2224</v>
      </c>
      <c r="B1291" s="4" t="s">
        <v>955</v>
      </c>
      <c r="C1291" s="4" t="s">
        <v>369</v>
      </c>
      <c r="D1291" s="4" t="s">
        <v>38</v>
      </c>
      <c r="E1291">
        <v>0</v>
      </c>
      <c r="F1291" s="3">
        <v>2759.9801000000002</v>
      </c>
      <c r="G1291" s="2">
        <v>0.65492788461538398</v>
      </c>
      <c r="H1291" s="3">
        <v>0</v>
      </c>
      <c r="I1291" s="1">
        <v>45621</v>
      </c>
      <c r="J1291" s="4" t="s">
        <v>9</v>
      </c>
      <c r="K1291" s="4" t="s">
        <v>12</v>
      </c>
      <c r="L1291" s="3">
        <v>691.31</v>
      </c>
      <c r="M1291" s="4" t="s">
        <v>1255</v>
      </c>
      <c r="N1291" s="3">
        <v>0</v>
      </c>
    </row>
    <row r="1292" spans="1:14" x14ac:dyDescent="0.35">
      <c r="A1292">
        <v>2225</v>
      </c>
      <c r="B1292" s="4" t="s">
        <v>296</v>
      </c>
      <c r="C1292" s="4" t="s">
        <v>118</v>
      </c>
      <c r="D1292" s="4" t="s">
        <v>35</v>
      </c>
      <c r="E1292">
        <v>0</v>
      </c>
      <c r="F1292" s="3">
        <v>2758.9249</v>
      </c>
      <c r="G1292" s="2">
        <v>0.65492788461538398</v>
      </c>
      <c r="H1292" s="3">
        <v>0</v>
      </c>
      <c r="I1292" s="1">
        <v>45621</v>
      </c>
      <c r="J1292" s="4" t="s">
        <v>23</v>
      </c>
      <c r="K1292" s="4" t="s">
        <v>12</v>
      </c>
      <c r="L1292" s="3">
        <v>2362.63</v>
      </c>
      <c r="M1292" s="4" t="s">
        <v>1255</v>
      </c>
      <c r="N1292" s="3">
        <v>0</v>
      </c>
    </row>
    <row r="1293" spans="1:14" x14ac:dyDescent="0.35">
      <c r="A1293">
        <v>2226</v>
      </c>
      <c r="B1293" s="4" t="s">
        <v>468</v>
      </c>
      <c r="C1293" s="4" t="s">
        <v>815</v>
      </c>
      <c r="D1293" s="4" t="s">
        <v>28</v>
      </c>
      <c r="E1293">
        <v>0</v>
      </c>
      <c r="F1293" s="3">
        <v>4484.13</v>
      </c>
      <c r="G1293" s="2">
        <v>0.79</v>
      </c>
      <c r="H1293" s="3">
        <v>0</v>
      </c>
      <c r="I1293" s="1">
        <v>45621</v>
      </c>
      <c r="J1293" s="4" t="s">
        <v>23</v>
      </c>
      <c r="K1293" s="4" t="s">
        <v>12</v>
      </c>
      <c r="L1293" s="3">
        <v>821.13</v>
      </c>
      <c r="M1293" s="4" t="s">
        <v>1255</v>
      </c>
      <c r="N1293" s="3">
        <v>0</v>
      </c>
    </row>
    <row r="1294" spans="1:14" x14ac:dyDescent="0.35">
      <c r="A1294">
        <v>2227</v>
      </c>
      <c r="B1294" s="4" t="s">
        <v>805</v>
      </c>
      <c r="C1294" s="4" t="s">
        <v>80</v>
      </c>
      <c r="D1294" s="4" t="s">
        <v>25</v>
      </c>
      <c r="E1294">
        <v>0</v>
      </c>
      <c r="F1294" s="3">
        <v>2758.9249</v>
      </c>
      <c r="G1294" s="2">
        <v>0.65460240963855398</v>
      </c>
      <c r="H1294" s="3">
        <v>0</v>
      </c>
      <c r="I1294" s="1">
        <v>45846</v>
      </c>
      <c r="J1294" s="4" t="s">
        <v>20</v>
      </c>
      <c r="K1294" s="4" t="s">
        <v>12</v>
      </c>
      <c r="L1294" s="3">
        <v>2766.36</v>
      </c>
      <c r="M1294" s="4" t="s">
        <v>1255</v>
      </c>
      <c r="N1294" s="3">
        <v>0</v>
      </c>
    </row>
    <row r="1295" spans="1:14" x14ac:dyDescent="0.35">
      <c r="A1295">
        <v>2228</v>
      </c>
      <c r="B1295" s="4" t="s">
        <v>805</v>
      </c>
      <c r="C1295" s="4" t="s">
        <v>205</v>
      </c>
      <c r="D1295" s="4" t="s">
        <v>19</v>
      </c>
      <c r="E1295">
        <v>0</v>
      </c>
      <c r="F1295" s="3">
        <v>2756.2665999999999</v>
      </c>
      <c r="G1295" s="2">
        <v>0.93</v>
      </c>
      <c r="H1295" s="3">
        <v>0</v>
      </c>
      <c r="I1295" s="1">
        <v>45675</v>
      </c>
      <c r="J1295" s="4" t="s">
        <v>23</v>
      </c>
      <c r="K1295" s="4" t="s">
        <v>8</v>
      </c>
      <c r="L1295" s="3">
        <v>-980.89</v>
      </c>
      <c r="M1295" s="4" t="s">
        <v>1255</v>
      </c>
      <c r="N1295" s="3">
        <v>0</v>
      </c>
    </row>
    <row r="1296" spans="1:14" hidden="1" x14ac:dyDescent="0.35">
      <c r="A1296">
        <v>2229</v>
      </c>
      <c r="B1296" s="4" t="s">
        <v>109</v>
      </c>
      <c r="C1296" s="4" t="s">
        <v>155</v>
      </c>
      <c r="D1296" s="4" t="s">
        <v>10</v>
      </c>
      <c r="E1296">
        <v>1</v>
      </c>
      <c r="F1296" s="3">
        <v>2756.2665999999999</v>
      </c>
      <c r="G1296" s="2">
        <v>0.65393719806763295</v>
      </c>
      <c r="H1296" s="3">
        <v>0</v>
      </c>
      <c r="I1296" s="1">
        <v>45495</v>
      </c>
      <c r="J1296" s="4" t="s">
        <v>11</v>
      </c>
      <c r="K1296" s="4" t="s">
        <v>40</v>
      </c>
      <c r="L1296" s="3">
        <v>623.39</v>
      </c>
      <c r="M1296" s="4" t="s">
        <v>1255</v>
      </c>
      <c r="N1296" s="3">
        <v>2756.2665999999999</v>
      </c>
    </row>
    <row r="1297" spans="1:14" x14ac:dyDescent="0.35">
      <c r="A1297">
        <v>2230</v>
      </c>
      <c r="B1297" s="4" t="s">
        <v>54</v>
      </c>
      <c r="C1297" s="4" t="s">
        <v>349</v>
      </c>
      <c r="D1297" s="4" t="s">
        <v>25</v>
      </c>
      <c r="E1297">
        <v>3</v>
      </c>
      <c r="F1297" s="3">
        <v>4524.6400000000003</v>
      </c>
      <c r="G1297" s="2">
        <v>1.0900000000000001</v>
      </c>
      <c r="H1297" s="3">
        <v>-1221.6500000000001</v>
      </c>
      <c r="I1297" s="1">
        <v>45806</v>
      </c>
      <c r="J1297" s="4" t="s">
        <v>20</v>
      </c>
      <c r="K1297" s="4" t="s">
        <v>8</v>
      </c>
      <c r="L1297" s="3">
        <v>1906</v>
      </c>
      <c r="M1297" s="4" t="s">
        <v>1255</v>
      </c>
      <c r="N1297" s="3">
        <v>13573.92</v>
      </c>
    </row>
    <row r="1298" spans="1:14" x14ac:dyDescent="0.35">
      <c r="A1298">
        <v>2231</v>
      </c>
      <c r="B1298" s="4" t="s">
        <v>47</v>
      </c>
      <c r="C1298" s="4" t="s">
        <v>78</v>
      </c>
      <c r="D1298" s="4" t="s">
        <v>13</v>
      </c>
      <c r="E1298">
        <v>0</v>
      </c>
      <c r="F1298" s="3">
        <v>2756.2665999999999</v>
      </c>
      <c r="G1298" s="2">
        <v>0.65288135593220298</v>
      </c>
      <c r="H1298" s="3">
        <v>0</v>
      </c>
      <c r="I1298" s="1">
        <v>45709</v>
      </c>
      <c r="J1298" s="4" t="s">
        <v>9</v>
      </c>
      <c r="K1298" s="4" t="s">
        <v>8</v>
      </c>
      <c r="L1298" s="3">
        <v>1342.52</v>
      </c>
      <c r="M1298" s="4" t="s">
        <v>1255</v>
      </c>
      <c r="N1298" s="3">
        <v>0</v>
      </c>
    </row>
    <row r="1299" spans="1:14" x14ac:dyDescent="0.35">
      <c r="A1299">
        <v>2232</v>
      </c>
      <c r="B1299" s="4" t="s">
        <v>359</v>
      </c>
      <c r="C1299" s="4" t="s">
        <v>88</v>
      </c>
      <c r="D1299" s="4" t="s">
        <v>17</v>
      </c>
      <c r="E1299">
        <v>0</v>
      </c>
      <c r="F1299" s="3">
        <v>2753.5376999999999</v>
      </c>
      <c r="G1299" s="2">
        <v>0.65288135593220298</v>
      </c>
      <c r="H1299" s="3">
        <v>0</v>
      </c>
      <c r="I1299" s="1">
        <v>45800</v>
      </c>
      <c r="J1299" s="4" t="s">
        <v>7</v>
      </c>
      <c r="K1299" s="4" t="s">
        <v>12</v>
      </c>
      <c r="L1299" s="3">
        <v>2915.25</v>
      </c>
      <c r="M1299" s="4" t="s">
        <v>1255</v>
      </c>
      <c r="N1299" s="3">
        <v>0</v>
      </c>
    </row>
    <row r="1300" spans="1:14" hidden="1" x14ac:dyDescent="0.35">
      <c r="A1300">
        <v>2233</v>
      </c>
      <c r="B1300" s="4" t="s">
        <v>286</v>
      </c>
      <c r="C1300" s="4" t="s">
        <v>970</v>
      </c>
      <c r="D1300" s="4" t="s">
        <v>17</v>
      </c>
      <c r="E1300">
        <v>1</v>
      </c>
      <c r="F1300" s="3">
        <v>4604.8500000000004</v>
      </c>
      <c r="G1300" s="2">
        <v>0.14000000000000001</v>
      </c>
      <c r="H1300" s="3">
        <v>3960.17</v>
      </c>
      <c r="I1300" s="1">
        <v>45854</v>
      </c>
      <c r="J1300" s="4" t="s">
        <v>23</v>
      </c>
      <c r="K1300" s="4" t="s">
        <v>40</v>
      </c>
      <c r="L1300" s="3">
        <v>-627.16999999999996</v>
      </c>
      <c r="M1300" s="4" t="s">
        <v>1256</v>
      </c>
      <c r="N1300" s="3">
        <v>4604.8500000000004</v>
      </c>
    </row>
    <row r="1301" spans="1:14" x14ac:dyDescent="0.35">
      <c r="A1301">
        <v>2234</v>
      </c>
      <c r="B1301" s="4" t="s">
        <v>317</v>
      </c>
      <c r="C1301" s="4" t="s">
        <v>241</v>
      </c>
      <c r="D1301" s="4" t="s">
        <v>35</v>
      </c>
      <c r="E1301">
        <v>-2</v>
      </c>
      <c r="F1301" s="3">
        <v>2753.5376999999999</v>
      </c>
      <c r="G1301" s="2">
        <v>0.654126213592233</v>
      </c>
      <c r="H1301" s="3">
        <v>0</v>
      </c>
      <c r="I1301" s="1">
        <v>45248</v>
      </c>
      <c r="J1301" s="4" t="s">
        <v>11</v>
      </c>
      <c r="K1301" s="4" t="s">
        <v>8</v>
      </c>
      <c r="L1301" s="3">
        <v>-345.61</v>
      </c>
      <c r="M1301" s="4" t="s">
        <v>1255</v>
      </c>
      <c r="N1301" s="3">
        <v>-5507.0753999999997</v>
      </c>
    </row>
    <row r="1302" spans="1:14" hidden="1" x14ac:dyDescent="0.35">
      <c r="A1302">
        <v>2235</v>
      </c>
      <c r="B1302" s="4" t="s">
        <v>317</v>
      </c>
      <c r="C1302" s="4" t="s">
        <v>909</v>
      </c>
      <c r="D1302" s="4" t="s">
        <v>21</v>
      </c>
      <c r="E1302">
        <v>0</v>
      </c>
      <c r="F1302" s="3">
        <v>2750.6763000000001</v>
      </c>
      <c r="G1302" s="2">
        <v>0.654126213592233</v>
      </c>
      <c r="H1302" s="3">
        <v>0</v>
      </c>
      <c r="I1302" s="1">
        <v>45696</v>
      </c>
      <c r="J1302" s="4" t="s">
        <v>11</v>
      </c>
      <c r="K1302" s="4" t="s">
        <v>40</v>
      </c>
      <c r="L1302" s="3">
        <v>-758.81</v>
      </c>
      <c r="M1302" s="4" t="s">
        <v>1255</v>
      </c>
      <c r="N1302" s="3">
        <v>0</v>
      </c>
    </row>
    <row r="1303" spans="1:14" x14ac:dyDescent="0.35">
      <c r="A1303">
        <v>2236</v>
      </c>
      <c r="B1303" s="4" t="s">
        <v>130</v>
      </c>
      <c r="C1303" s="4" t="s">
        <v>585</v>
      </c>
      <c r="D1303" s="4" t="s">
        <v>38</v>
      </c>
      <c r="E1303">
        <v>0</v>
      </c>
      <c r="F1303" s="3">
        <v>2420.16</v>
      </c>
      <c r="G1303" s="2">
        <v>0.654126213592233</v>
      </c>
      <c r="H1303" s="3">
        <v>0</v>
      </c>
      <c r="I1303" s="1">
        <v>45800</v>
      </c>
      <c r="J1303" s="4" t="s">
        <v>7</v>
      </c>
      <c r="K1303" s="4" t="s">
        <v>8</v>
      </c>
      <c r="L1303" s="3">
        <v>2707.96</v>
      </c>
      <c r="M1303" s="4" t="s">
        <v>1255</v>
      </c>
      <c r="N1303" s="3">
        <v>0</v>
      </c>
    </row>
    <row r="1304" spans="1:14" x14ac:dyDescent="0.35">
      <c r="A1304">
        <v>2237</v>
      </c>
      <c r="B1304" s="4" t="s">
        <v>228</v>
      </c>
      <c r="C1304" s="4" t="s">
        <v>149</v>
      </c>
      <c r="D1304" s="4" t="s">
        <v>17</v>
      </c>
      <c r="E1304">
        <v>1</v>
      </c>
      <c r="F1304" s="3">
        <v>2496.17</v>
      </c>
      <c r="G1304" s="2">
        <v>1.1100000000000001</v>
      </c>
      <c r="H1304" s="3">
        <v>-274.58</v>
      </c>
      <c r="I1304" s="1">
        <v>45669</v>
      </c>
      <c r="J1304" s="4" t="s">
        <v>20</v>
      </c>
      <c r="K1304" s="4" t="s">
        <v>8</v>
      </c>
      <c r="L1304" s="3">
        <v>810.82</v>
      </c>
      <c r="M1304" s="4" t="s">
        <v>1255</v>
      </c>
      <c r="N1304" s="3">
        <v>2496.17</v>
      </c>
    </row>
    <row r="1305" spans="1:14" hidden="1" x14ac:dyDescent="0.35">
      <c r="A1305">
        <v>2238</v>
      </c>
      <c r="B1305" s="4" t="s">
        <v>552</v>
      </c>
      <c r="C1305" s="4" t="s">
        <v>92</v>
      </c>
      <c r="D1305" s="4" t="s">
        <v>26</v>
      </c>
      <c r="E1305">
        <v>-1</v>
      </c>
      <c r="F1305" s="3">
        <v>4808.3500000000004</v>
      </c>
      <c r="G1305" s="2">
        <v>0.65301703163017</v>
      </c>
      <c r="H1305" s="3">
        <v>0</v>
      </c>
      <c r="I1305" s="1">
        <v>45744</v>
      </c>
      <c r="J1305" s="4" t="s">
        <v>9</v>
      </c>
      <c r="K1305" s="4" t="s">
        <v>40</v>
      </c>
      <c r="L1305" s="3">
        <v>-282.61</v>
      </c>
      <c r="M1305" s="4" t="s">
        <v>1255</v>
      </c>
      <c r="N1305" s="3">
        <v>-4808.3500000000004</v>
      </c>
    </row>
    <row r="1306" spans="1:14" x14ac:dyDescent="0.35">
      <c r="A1306">
        <v>2239</v>
      </c>
      <c r="B1306" s="4" t="s">
        <v>875</v>
      </c>
      <c r="C1306" s="4" t="s">
        <v>868</v>
      </c>
      <c r="D1306" s="4" t="s">
        <v>33</v>
      </c>
      <c r="E1306">
        <v>0</v>
      </c>
      <c r="F1306" s="3">
        <v>3427.66</v>
      </c>
      <c r="G1306" s="2">
        <v>0.65301703163017</v>
      </c>
      <c r="H1306" s="3">
        <v>0</v>
      </c>
      <c r="I1306" s="1">
        <v>45627</v>
      </c>
      <c r="J1306" s="4" t="s">
        <v>11</v>
      </c>
      <c r="K1306" s="4" t="s">
        <v>8</v>
      </c>
      <c r="L1306" s="3">
        <v>1441.3</v>
      </c>
      <c r="M1306" s="4" t="s">
        <v>1255</v>
      </c>
      <c r="N1306" s="3">
        <v>0</v>
      </c>
    </row>
    <row r="1307" spans="1:14" hidden="1" x14ac:dyDescent="0.35">
      <c r="A1307">
        <v>2240</v>
      </c>
      <c r="B1307" s="4" t="s">
        <v>327</v>
      </c>
      <c r="C1307" s="4" t="s">
        <v>163</v>
      </c>
      <c r="D1307" s="4" t="s">
        <v>37</v>
      </c>
      <c r="E1307">
        <v>0</v>
      </c>
      <c r="F1307" s="3">
        <v>4205.29</v>
      </c>
      <c r="G1307" s="2">
        <v>0.65301703163017</v>
      </c>
      <c r="H1307" s="3">
        <v>0</v>
      </c>
      <c r="I1307" s="1">
        <v>45562</v>
      </c>
      <c r="J1307" s="4" t="s">
        <v>23</v>
      </c>
      <c r="K1307" s="4" t="s">
        <v>40</v>
      </c>
      <c r="L1307" s="3">
        <v>2223.0300000000002</v>
      </c>
      <c r="M1307" s="4" t="s">
        <v>1255</v>
      </c>
      <c r="N1307" s="3">
        <v>0</v>
      </c>
    </row>
    <row r="1308" spans="1:14" hidden="1" x14ac:dyDescent="0.35">
      <c r="A1308">
        <v>2241</v>
      </c>
      <c r="B1308" s="4" t="s">
        <v>170</v>
      </c>
      <c r="C1308" s="4" t="s">
        <v>971</v>
      </c>
      <c r="D1308" s="4" t="s">
        <v>37</v>
      </c>
      <c r="E1308">
        <v>2</v>
      </c>
      <c r="F1308" s="3">
        <v>1600.21</v>
      </c>
      <c r="G1308" s="2">
        <v>0.65301703163017</v>
      </c>
      <c r="H1308" s="3">
        <v>0</v>
      </c>
      <c r="I1308" s="1">
        <v>45562</v>
      </c>
      <c r="J1308" s="4" t="s">
        <v>20</v>
      </c>
      <c r="K1308" s="4" t="s">
        <v>40</v>
      </c>
      <c r="L1308" s="3">
        <v>2933.71</v>
      </c>
      <c r="M1308" s="4" t="s">
        <v>1255</v>
      </c>
      <c r="N1308" s="3">
        <v>3200.42</v>
      </c>
    </row>
    <row r="1309" spans="1:14" hidden="1" x14ac:dyDescent="0.35">
      <c r="A1309">
        <v>2242</v>
      </c>
      <c r="B1309" s="4" t="s">
        <v>79</v>
      </c>
      <c r="C1309" s="4" t="s">
        <v>818</v>
      </c>
      <c r="D1309" s="4" t="s">
        <v>13</v>
      </c>
      <c r="E1309">
        <v>6</v>
      </c>
      <c r="F1309" s="3">
        <v>4450.17</v>
      </c>
      <c r="G1309" s="2">
        <v>0.65301703163017</v>
      </c>
      <c r="H1309" s="3">
        <v>0</v>
      </c>
      <c r="I1309" s="1">
        <v>45613</v>
      </c>
      <c r="J1309" s="4" t="s">
        <v>9</v>
      </c>
      <c r="K1309" s="4" t="s">
        <v>40</v>
      </c>
      <c r="L1309" s="3">
        <v>-96.55</v>
      </c>
      <c r="M1309" s="4" t="s">
        <v>1255</v>
      </c>
      <c r="N1309" s="3">
        <v>26701.02</v>
      </c>
    </row>
    <row r="1310" spans="1:14" x14ac:dyDescent="0.35">
      <c r="A1310">
        <v>2243</v>
      </c>
      <c r="B1310" s="4" t="s">
        <v>143</v>
      </c>
      <c r="C1310" s="4" t="s">
        <v>165</v>
      </c>
      <c r="D1310" s="4" t="s">
        <v>35</v>
      </c>
      <c r="E1310">
        <v>2</v>
      </c>
      <c r="F1310" s="3">
        <v>2746.8481999999999</v>
      </c>
      <c r="G1310" s="2">
        <v>0.65301703163017</v>
      </c>
      <c r="H1310" s="3">
        <v>0</v>
      </c>
      <c r="I1310" s="1">
        <v>45814</v>
      </c>
      <c r="J1310" s="4" t="s">
        <v>9</v>
      </c>
      <c r="K1310" s="4" t="s">
        <v>8</v>
      </c>
      <c r="L1310" s="3">
        <v>773.71</v>
      </c>
      <c r="M1310" s="4" t="s">
        <v>1255</v>
      </c>
      <c r="N1310" s="3">
        <v>5493.6963999999998</v>
      </c>
    </row>
    <row r="1311" spans="1:14" x14ac:dyDescent="0.35">
      <c r="A1311">
        <v>2244</v>
      </c>
      <c r="B1311" s="4" t="s">
        <v>197</v>
      </c>
      <c r="C1311" s="4" t="s">
        <v>972</v>
      </c>
      <c r="D1311" s="4" t="s">
        <v>24</v>
      </c>
      <c r="E1311">
        <v>3</v>
      </c>
      <c r="F1311" s="3">
        <v>2744.1867999999999</v>
      </c>
      <c r="G1311" s="2">
        <v>0.62</v>
      </c>
      <c r="H1311" s="3">
        <v>0</v>
      </c>
      <c r="I1311" s="1">
        <v>45568</v>
      </c>
      <c r="J1311" s="4" t="s">
        <v>18</v>
      </c>
      <c r="K1311" s="4" t="s">
        <v>8</v>
      </c>
      <c r="L1311" s="3">
        <v>-835.44</v>
      </c>
      <c r="M1311" s="4" t="s">
        <v>1255</v>
      </c>
      <c r="N1311" s="3">
        <v>8232.5604000000003</v>
      </c>
    </row>
    <row r="1312" spans="1:14" x14ac:dyDescent="0.35">
      <c r="A1312">
        <v>2245</v>
      </c>
      <c r="B1312" s="4" t="s">
        <v>202</v>
      </c>
      <c r="C1312" s="4" t="s">
        <v>674</v>
      </c>
      <c r="D1312" s="4" t="s">
        <v>28</v>
      </c>
      <c r="E1312">
        <v>0</v>
      </c>
      <c r="F1312" s="3">
        <v>2744.1867999999999</v>
      </c>
      <c r="G1312" s="2">
        <v>1.27</v>
      </c>
      <c r="H1312" s="3">
        <v>0</v>
      </c>
      <c r="I1312" s="1">
        <v>45568</v>
      </c>
      <c r="J1312" s="4" t="s">
        <v>18</v>
      </c>
      <c r="K1312" s="4" t="s">
        <v>12</v>
      </c>
      <c r="L1312" s="3">
        <v>1929.41</v>
      </c>
      <c r="M1312" s="4" t="s">
        <v>1255</v>
      </c>
      <c r="N1312" s="3">
        <v>0</v>
      </c>
    </row>
    <row r="1313" spans="1:14" hidden="1" x14ac:dyDescent="0.35">
      <c r="A1313">
        <v>2246</v>
      </c>
      <c r="B1313" s="4" t="s">
        <v>581</v>
      </c>
      <c r="C1313" s="4" t="s">
        <v>701</v>
      </c>
      <c r="D1313" s="4" t="s">
        <v>38</v>
      </c>
      <c r="E1313">
        <v>0</v>
      </c>
      <c r="F1313" s="3">
        <v>2744.1867999999999</v>
      </c>
      <c r="G1313" s="2">
        <v>1.25</v>
      </c>
      <c r="H1313" s="3">
        <v>0</v>
      </c>
      <c r="I1313" s="1">
        <v>45321</v>
      </c>
      <c r="J1313" s="4" t="s">
        <v>20</v>
      </c>
      <c r="K1313" s="4" t="s">
        <v>40</v>
      </c>
      <c r="L1313" s="3">
        <v>311.56</v>
      </c>
      <c r="M1313" s="4" t="s">
        <v>1255</v>
      </c>
      <c r="N1313" s="3">
        <v>0</v>
      </c>
    </row>
    <row r="1314" spans="1:14" x14ac:dyDescent="0.35">
      <c r="A1314">
        <v>2247</v>
      </c>
      <c r="B1314" s="4" t="s">
        <v>93</v>
      </c>
      <c r="C1314" s="4" t="s">
        <v>973</v>
      </c>
      <c r="D1314" s="4" t="s">
        <v>25</v>
      </c>
      <c r="E1314">
        <v>0</v>
      </c>
      <c r="F1314" s="3">
        <v>2209.4899999999998</v>
      </c>
      <c r="G1314" s="2">
        <v>0.65012254901960798</v>
      </c>
      <c r="H1314" s="3">
        <v>0</v>
      </c>
      <c r="I1314" s="1">
        <v>45769</v>
      </c>
      <c r="J1314" s="4" t="s">
        <v>23</v>
      </c>
      <c r="K1314" s="4" t="s">
        <v>8</v>
      </c>
      <c r="L1314" s="3">
        <v>1944.57</v>
      </c>
      <c r="M1314" s="4" t="s">
        <v>1255</v>
      </c>
      <c r="N1314" s="3">
        <v>0</v>
      </c>
    </row>
    <row r="1315" spans="1:14" x14ac:dyDescent="0.35">
      <c r="A1315">
        <v>2248</v>
      </c>
      <c r="B1315" s="4" t="s">
        <v>363</v>
      </c>
      <c r="C1315" s="4" t="s">
        <v>974</v>
      </c>
      <c r="D1315" s="4" t="s">
        <v>21</v>
      </c>
      <c r="E1315">
        <v>0</v>
      </c>
      <c r="F1315" s="3">
        <v>2744.1867999999999</v>
      </c>
      <c r="G1315" s="2">
        <v>0.65012254901960798</v>
      </c>
      <c r="H1315" s="3">
        <v>0</v>
      </c>
      <c r="I1315" s="1">
        <v>45849</v>
      </c>
      <c r="J1315" s="4" t="s">
        <v>23</v>
      </c>
      <c r="K1315" s="4" t="s">
        <v>8</v>
      </c>
      <c r="L1315" s="3">
        <v>-306.57</v>
      </c>
      <c r="M1315" s="4" t="s">
        <v>1255</v>
      </c>
      <c r="N1315" s="3">
        <v>0</v>
      </c>
    </row>
    <row r="1316" spans="1:14" hidden="1" x14ac:dyDescent="0.35">
      <c r="A1316">
        <v>2249</v>
      </c>
      <c r="B1316" s="4" t="s">
        <v>139</v>
      </c>
      <c r="C1316" s="4" t="s">
        <v>731</v>
      </c>
      <c r="D1316" s="4" t="s">
        <v>24</v>
      </c>
      <c r="E1316">
        <v>1</v>
      </c>
      <c r="F1316" s="3">
        <v>2745.0236</v>
      </c>
      <c r="G1316" s="2">
        <v>0.65012254901960798</v>
      </c>
      <c r="H1316" s="3">
        <v>0</v>
      </c>
      <c r="I1316" s="1">
        <v>45398</v>
      </c>
      <c r="J1316" s="4" t="s">
        <v>11</v>
      </c>
      <c r="K1316" s="4" t="s">
        <v>40</v>
      </c>
      <c r="L1316" s="3">
        <v>-132.08000000000001</v>
      </c>
      <c r="M1316" s="4" t="s">
        <v>1255</v>
      </c>
      <c r="N1316" s="3">
        <v>2745.0236</v>
      </c>
    </row>
    <row r="1317" spans="1:14" hidden="1" x14ac:dyDescent="0.35">
      <c r="A1317">
        <v>2250</v>
      </c>
      <c r="B1317" s="4" t="s">
        <v>975</v>
      </c>
      <c r="C1317" s="4" t="s">
        <v>377</v>
      </c>
      <c r="D1317" s="4" t="s">
        <v>10</v>
      </c>
      <c r="E1317">
        <v>0</v>
      </c>
      <c r="F1317" s="3">
        <v>2745.0236</v>
      </c>
      <c r="G1317" s="2">
        <v>1.17</v>
      </c>
      <c r="H1317" s="3">
        <v>0</v>
      </c>
      <c r="I1317" s="1">
        <v>45398</v>
      </c>
      <c r="J1317" s="4" t="s">
        <v>11</v>
      </c>
      <c r="K1317" s="4" t="s">
        <v>40</v>
      </c>
      <c r="L1317" s="3">
        <v>2594.9</v>
      </c>
      <c r="M1317" s="4" t="s">
        <v>1255</v>
      </c>
      <c r="N1317" s="3">
        <v>0</v>
      </c>
    </row>
    <row r="1318" spans="1:14" x14ac:dyDescent="0.35">
      <c r="A1318">
        <v>2251</v>
      </c>
      <c r="B1318" s="4" t="s">
        <v>93</v>
      </c>
      <c r="C1318" s="4" t="s">
        <v>976</v>
      </c>
      <c r="D1318" s="4" t="s">
        <v>17</v>
      </c>
      <c r="E1318">
        <v>0</v>
      </c>
      <c r="F1318" s="3">
        <v>1438.68</v>
      </c>
      <c r="G1318" s="2">
        <v>0.64884520884520902</v>
      </c>
      <c r="H1318" s="3">
        <v>0</v>
      </c>
      <c r="I1318" s="1">
        <v>45722</v>
      </c>
      <c r="J1318" s="4" t="s">
        <v>9</v>
      </c>
      <c r="K1318" s="4" t="s">
        <v>8</v>
      </c>
      <c r="L1318" s="3">
        <v>2726.72</v>
      </c>
      <c r="M1318" s="4" t="s">
        <v>1255</v>
      </c>
      <c r="N1318" s="3">
        <v>0</v>
      </c>
    </row>
    <row r="1319" spans="1:14" x14ac:dyDescent="0.35">
      <c r="A1319">
        <v>2252</v>
      </c>
      <c r="B1319" s="4" t="s">
        <v>210</v>
      </c>
      <c r="C1319" s="4" t="s">
        <v>268</v>
      </c>
      <c r="D1319" s="4" t="s">
        <v>22</v>
      </c>
      <c r="E1319">
        <v>6</v>
      </c>
      <c r="F1319" s="3">
        <v>2755.37</v>
      </c>
      <c r="G1319" s="2">
        <v>0.64884520884520902</v>
      </c>
      <c r="H1319" s="3">
        <v>0</v>
      </c>
      <c r="I1319" s="1">
        <v>45793</v>
      </c>
      <c r="J1319" s="4" t="s">
        <v>7</v>
      </c>
      <c r="K1319" s="4" t="s">
        <v>8</v>
      </c>
      <c r="L1319" s="3">
        <v>613.59</v>
      </c>
      <c r="M1319" s="4" t="s">
        <v>1255</v>
      </c>
      <c r="N1319" s="3">
        <v>16532.22</v>
      </c>
    </row>
    <row r="1320" spans="1:14" x14ac:dyDescent="0.35">
      <c r="A1320">
        <v>2253</v>
      </c>
      <c r="B1320" s="4" t="s">
        <v>246</v>
      </c>
      <c r="C1320" s="4" t="s">
        <v>820</v>
      </c>
      <c r="D1320" s="4" t="s">
        <v>34</v>
      </c>
      <c r="E1320">
        <v>0</v>
      </c>
      <c r="F1320" s="3">
        <v>2747.0711000000001</v>
      </c>
      <c r="G1320" s="2">
        <v>0.64884520884520902</v>
      </c>
      <c r="H1320" s="3">
        <v>0</v>
      </c>
      <c r="I1320" s="1">
        <v>45700</v>
      </c>
      <c r="J1320" s="4" t="s">
        <v>18</v>
      </c>
      <c r="K1320" s="4" t="s">
        <v>12</v>
      </c>
      <c r="L1320" s="3">
        <v>716.99</v>
      </c>
      <c r="M1320" s="4" t="s">
        <v>1255</v>
      </c>
      <c r="N1320" s="3">
        <v>0</v>
      </c>
    </row>
    <row r="1321" spans="1:14" x14ac:dyDescent="0.35">
      <c r="A1321">
        <v>2254</v>
      </c>
      <c r="B1321" s="4" t="s">
        <v>479</v>
      </c>
      <c r="C1321" s="4" t="s">
        <v>316</v>
      </c>
      <c r="D1321" s="4" t="s">
        <v>26</v>
      </c>
      <c r="E1321">
        <v>0</v>
      </c>
      <c r="F1321" s="3">
        <v>4998.91</v>
      </c>
      <c r="G1321" s="2">
        <v>0.64884520884520902</v>
      </c>
      <c r="H1321" s="3">
        <v>0</v>
      </c>
      <c r="I1321" s="1">
        <v>45700</v>
      </c>
      <c r="J1321" s="4" t="s">
        <v>11</v>
      </c>
      <c r="K1321" s="4" t="s">
        <v>12</v>
      </c>
      <c r="L1321" s="3">
        <v>-396.07</v>
      </c>
      <c r="M1321" s="4" t="s">
        <v>1255</v>
      </c>
      <c r="N1321" s="3">
        <v>0</v>
      </c>
    </row>
    <row r="1322" spans="1:14" hidden="1" x14ac:dyDescent="0.35">
      <c r="A1322">
        <v>2255</v>
      </c>
      <c r="B1322" s="4" t="s">
        <v>977</v>
      </c>
      <c r="C1322" s="4" t="s">
        <v>926</v>
      </c>
      <c r="D1322" s="4" t="s">
        <v>14</v>
      </c>
      <c r="E1322">
        <v>-2</v>
      </c>
      <c r="F1322" s="3">
        <v>4478.08</v>
      </c>
      <c r="G1322" s="2">
        <v>0.64884520884520902</v>
      </c>
      <c r="H1322" s="3">
        <v>0</v>
      </c>
      <c r="I1322" s="1">
        <v>45782</v>
      </c>
      <c r="J1322" s="4" t="s">
        <v>20</v>
      </c>
      <c r="K1322" s="4" t="s">
        <v>40</v>
      </c>
      <c r="L1322" s="3">
        <v>2090.38</v>
      </c>
      <c r="M1322" s="4" t="s">
        <v>1255</v>
      </c>
      <c r="N1322" s="3">
        <v>-8956.16</v>
      </c>
    </row>
    <row r="1323" spans="1:14" x14ac:dyDescent="0.35">
      <c r="A1323">
        <v>2256</v>
      </c>
      <c r="B1323" s="4" t="s">
        <v>262</v>
      </c>
      <c r="C1323" s="4" t="s">
        <v>757</v>
      </c>
      <c r="D1323" s="4" t="s">
        <v>17</v>
      </c>
      <c r="E1323">
        <v>0</v>
      </c>
      <c r="F1323" s="3">
        <v>535.27</v>
      </c>
      <c r="G1323" s="2">
        <v>0.64884520884520902</v>
      </c>
      <c r="H1323" s="3">
        <v>0</v>
      </c>
      <c r="I1323" s="1">
        <v>45740</v>
      </c>
      <c r="J1323" s="4" t="s">
        <v>9</v>
      </c>
      <c r="K1323" s="4" t="s">
        <v>12</v>
      </c>
      <c r="L1323" s="3">
        <v>1787.52</v>
      </c>
      <c r="M1323" s="4" t="s">
        <v>1255</v>
      </c>
      <c r="N1323" s="3">
        <v>0</v>
      </c>
    </row>
    <row r="1324" spans="1:14" x14ac:dyDescent="0.35">
      <c r="A1324">
        <v>2257</v>
      </c>
      <c r="B1324" s="4" t="s">
        <v>582</v>
      </c>
      <c r="C1324" s="4" t="s">
        <v>614</v>
      </c>
      <c r="D1324" s="4" t="s">
        <v>31</v>
      </c>
      <c r="E1324">
        <v>0</v>
      </c>
      <c r="F1324" s="3">
        <v>2740.7858000000001</v>
      </c>
      <c r="G1324" s="2">
        <v>0.64884520884520902</v>
      </c>
      <c r="H1324" s="3">
        <v>0</v>
      </c>
      <c r="I1324" s="1">
        <v>45678</v>
      </c>
      <c r="J1324" s="4" t="s">
        <v>11</v>
      </c>
      <c r="K1324" s="4" t="s">
        <v>8</v>
      </c>
      <c r="L1324" s="3">
        <v>980.52</v>
      </c>
      <c r="M1324" s="4" t="s">
        <v>1255</v>
      </c>
      <c r="N1324" s="3">
        <v>0</v>
      </c>
    </row>
    <row r="1325" spans="1:14" hidden="1" x14ac:dyDescent="0.35">
      <c r="A1325">
        <v>2258</v>
      </c>
      <c r="B1325" s="4" t="s">
        <v>978</v>
      </c>
      <c r="C1325" s="4" t="s">
        <v>979</v>
      </c>
      <c r="D1325" s="4" t="s">
        <v>29</v>
      </c>
      <c r="E1325">
        <v>0</v>
      </c>
      <c r="F1325" s="3">
        <v>2744.2646</v>
      </c>
      <c r="G1325" s="2">
        <v>0.64884520884520902</v>
      </c>
      <c r="H1325" s="3">
        <v>0</v>
      </c>
      <c r="I1325" s="1">
        <v>45810</v>
      </c>
      <c r="J1325" s="4" t="s">
        <v>18</v>
      </c>
      <c r="K1325" s="4" t="s">
        <v>40</v>
      </c>
      <c r="L1325" s="3">
        <v>1444.24</v>
      </c>
      <c r="M1325" s="4" t="s">
        <v>1255</v>
      </c>
      <c r="N1325" s="3">
        <v>0</v>
      </c>
    </row>
    <row r="1326" spans="1:14" x14ac:dyDescent="0.35">
      <c r="A1326">
        <v>2259</v>
      </c>
      <c r="B1326" s="4" t="s">
        <v>743</v>
      </c>
      <c r="C1326" s="4" t="s">
        <v>980</v>
      </c>
      <c r="D1326" s="4" t="s">
        <v>22</v>
      </c>
      <c r="E1326">
        <v>1</v>
      </c>
      <c r="F1326" s="3">
        <v>2854.4</v>
      </c>
      <c r="G1326" s="2">
        <v>0.64884520884520902</v>
      </c>
      <c r="H1326" s="3">
        <v>0</v>
      </c>
      <c r="I1326" s="1">
        <v>45508</v>
      </c>
      <c r="J1326" s="4" t="s">
        <v>18</v>
      </c>
      <c r="K1326" s="4" t="s">
        <v>8</v>
      </c>
      <c r="L1326" s="3">
        <v>542.9</v>
      </c>
      <c r="M1326" s="4" t="s">
        <v>1255</v>
      </c>
      <c r="N1326" s="3">
        <v>2854.4</v>
      </c>
    </row>
    <row r="1327" spans="1:14" x14ac:dyDescent="0.35">
      <c r="A1327">
        <v>2260</v>
      </c>
      <c r="B1327" s="4" t="s">
        <v>262</v>
      </c>
      <c r="C1327" s="4" t="s">
        <v>981</v>
      </c>
      <c r="D1327" s="4" t="s">
        <v>32</v>
      </c>
      <c r="E1327">
        <v>-1</v>
      </c>
      <c r="F1327" s="3">
        <v>2744.2646</v>
      </c>
      <c r="G1327" s="2">
        <v>0.64884520884520902</v>
      </c>
      <c r="H1327" s="3">
        <v>0</v>
      </c>
      <c r="I1327" s="1">
        <v>45508</v>
      </c>
      <c r="J1327" s="4" t="s">
        <v>23</v>
      </c>
      <c r="K1327" s="4" t="s">
        <v>12</v>
      </c>
      <c r="L1327" s="3">
        <v>2697.38</v>
      </c>
      <c r="M1327" s="4" t="s">
        <v>1255</v>
      </c>
      <c r="N1327" s="3">
        <v>-2744.2646</v>
      </c>
    </row>
    <row r="1328" spans="1:14" x14ac:dyDescent="0.35">
      <c r="A1328">
        <v>2262</v>
      </c>
      <c r="B1328" s="4" t="s">
        <v>111</v>
      </c>
      <c r="C1328" s="4" t="s">
        <v>316</v>
      </c>
      <c r="D1328" s="4" t="s">
        <v>24</v>
      </c>
      <c r="E1328">
        <v>0</v>
      </c>
      <c r="F1328" s="3">
        <v>2957.48</v>
      </c>
      <c r="G1328" s="2">
        <v>0.64884520884520902</v>
      </c>
      <c r="H1328" s="3">
        <v>0</v>
      </c>
      <c r="I1328" s="1">
        <v>45544</v>
      </c>
      <c r="J1328" s="4" t="s">
        <v>23</v>
      </c>
      <c r="K1328" s="4" t="s">
        <v>12</v>
      </c>
      <c r="L1328" s="3">
        <v>2744.25</v>
      </c>
      <c r="M1328" s="4" t="s">
        <v>1255</v>
      </c>
      <c r="N1328" s="3">
        <v>0</v>
      </c>
    </row>
    <row r="1329" spans="1:14" x14ac:dyDescent="0.35">
      <c r="A1329">
        <v>2263</v>
      </c>
      <c r="B1329" s="4" t="s">
        <v>673</v>
      </c>
      <c r="C1329" s="4" t="s">
        <v>418</v>
      </c>
      <c r="D1329" s="4" t="s">
        <v>29</v>
      </c>
      <c r="E1329">
        <v>0</v>
      </c>
      <c r="F1329" s="3">
        <v>4252.05</v>
      </c>
      <c r="G1329" s="2">
        <v>0.64884520884520902</v>
      </c>
      <c r="H1329" s="3">
        <v>0</v>
      </c>
      <c r="I1329" s="1">
        <v>45544</v>
      </c>
      <c r="J1329" s="4" t="s">
        <v>11</v>
      </c>
      <c r="K1329" s="4" t="s">
        <v>8</v>
      </c>
      <c r="L1329" s="3">
        <v>-396.3</v>
      </c>
      <c r="M1329" s="4" t="s">
        <v>1255</v>
      </c>
      <c r="N1329" s="3">
        <v>0</v>
      </c>
    </row>
    <row r="1330" spans="1:14" x14ac:dyDescent="0.35">
      <c r="A1330">
        <v>2264</v>
      </c>
      <c r="B1330" s="4" t="s">
        <v>559</v>
      </c>
      <c r="C1330" s="4" t="s">
        <v>982</v>
      </c>
      <c r="D1330" s="4" t="s">
        <v>21</v>
      </c>
      <c r="E1330">
        <v>0</v>
      </c>
      <c r="F1330" s="3">
        <v>3541.13</v>
      </c>
      <c r="G1330" s="2">
        <v>1.3</v>
      </c>
      <c r="H1330" s="3">
        <v>0</v>
      </c>
      <c r="I1330" s="1">
        <v>45544</v>
      </c>
      <c r="J1330" s="4" t="s">
        <v>23</v>
      </c>
      <c r="K1330" s="4" t="s">
        <v>12</v>
      </c>
      <c r="L1330" s="3">
        <v>1711.99</v>
      </c>
      <c r="M1330" s="4" t="s">
        <v>1255</v>
      </c>
      <c r="N1330" s="3">
        <v>0</v>
      </c>
    </row>
    <row r="1331" spans="1:14" x14ac:dyDescent="0.35">
      <c r="A1331">
        <v>2265</v>
      </c>
      <c r="B1331" s="4" t="s">
        <v>388</v>
      </c>
      <c r="C1331" s="4" t="s">
        <v>983</v>
      </c>
      <c r="D1331" s="4" t="s">
        <v>28</v>
      </c>
      <c r="E1331">
        <v>0</v>
      </c>
      <c r="F1331" s="3">
        <v>2744.7089000000001</v>
      </c>
      <c r="G1331" s="2">
        <v>0.5</v>
      </c>
      <c r="H1331" s="3">
        <v>0</v>
      </c>
      <c r="I1331" s="1">
        <v>45736</v>
      </c>
      <c r="J1331" s="4" t="s">
        <v>18</v>
      </c>
      <c r="K1331" s="4" t="s">
        <v>8</v>
      </c>
      <c r="L1331" s="3">
        <v>399.62</v>
      </c>
      <c r="M1331" s="4" t="s">
        <v>1255</v>
      </c>
      <c r="N1331" s="3">
        <v>0</v>
      </c>
    </row>
    <row r="1332" spans="1:14" hidden="1" x14ac:dyDescent="0.35">
      <c r="A1332">
        <v>2267</v>
      </c>
      <c r="B1332" s="4" t="s">
        <v>276</v>
      </c>
      <c r="C1332" s="4" t="s">
        <v>124</v>
      </c>
      <c r="D1332" s="4" t="s">
        <v>17</v>
      </c>
      <c r="E1332">
        <v>0</v>
      </c>
      <c r="F1332" s="3">
        <v>2743.4427000000001</v>
      </c>
      <c r="G1332" s="2">
        <v>0.64760493827160504</v>
      </c>
      <c r="H1332" s="3">
        <v>0</v>
      </c>
      <c r="I1332" s="1">
        <v>45539</v>
      </c>
      <c r="J1332" s="4" t="s">
        <v>18</v>
      </c>
      <c r="K1332" s="4" t="s">
        <v>40</v>
      </c>
      <c r="L1332" s="3">
        <v>1989.07</v>
      </c>
      <c r="M1332" s="4" t="s">
        <v>1255</v>
      </c>
      <c r="N1332" s="3">
        <v>0</v>
      </c>
    </row>
    <row r="1333" spans="1:14" x14ac:dyDescent="0.35">
      <c r="A1333">
        <v>2268</v>
      </c>
      <c r="B1333" s="4" t="s">
        <v>117</v>
      </c>
      <c r="C1333" s="4" t="s">
        <v>438</v>
      </c>
      <c r="D1333" s="4" t="s">
        <v>13</v>
      </c>
      <c r="E1333">
        <v>0</v>
      </c>
      <c r="F1333" s="3">
        <v>4300.05</v>
      </c>
      <c r="G1333" s="2">
        <v>0.64760493827160504</v>
      </c>
      <c r="H1333" s="3">
        <v>0</v>
      </c>
      <c r="I1333" s="1">
        <v>45618</v>
      </c>
      <c r="J1333" s="4" t="s">
        <v>18</v>
      </c>
      <c r="K1333" s="4" t="s">
        <v>12</v>
      </c>
      <c r="L1333" s="3">
        <v>-589.26</v>
      </c>
      <c r="M1333" s="4" t="s">
        <v>1255</v>
      </c>
      <c r="N1333" s="3">
        <v>0</v>
      </c>
    </row>
    <row r="1334" spans="1:14" hidden="1" x14ac:dyDescent="0.35">
      <c r="A1334">
        <v>2269</v>
      </c>
      <c r="B1334" s="4" t="s">
        <v>93</v>
      </c>
      <c r="C1334" s="4" t="s">
        <v>499</v>
      </c>
      <c r="D1334" s="4" t="s">
        <v>29</v>
      </c>
      <c r="E1334">
        <v>0</v>
      </c>
      <c r="F1334" s="3">
        <v>2740.7451999999998</v>
      </c>
      <c r="G1334" s="2">
        <v>0.64760493827160504</v>
      </c>
      <c r="H1334" s="3">
        <v>0</v>
      </c>
      <c r="I1334" s="1">
        <v>45834</v>
      </c>
      <c r="J1334" s="4" t="s">
        <v>23</v>
      </c>
      <c r="K1334" s="4" t="s">
        <v>40</v>
      </c>
      <c r="L1334" s="3">
        <v>742.42</v>
      </c>
      <c r="M1334" s="4" t="s">
        <v>1255</v>
      </c>
      <c r="N1334" s="3">
        <v>0</v>
      </c>
    </row>
    <row r="1335" spans="1:14" hidden="1" x14ac:dyDescent="0.35">
      <c r="A1335">
        <v>2270</v>
      </c>
      <c r="B1335" s="4" t="s">
        <v>50</v>
      </c>
      <c r="C1335" s="4" t="s">
        <v>662</v>
      </c>
      <c r="D1335" s="4" t="s">
        <v>24</v>
      </c>
      <c r="E1335">
        <v>1</v>
      </c>
      <c r="F1335" s="3">
        <v>2710.56</v>
      </c>
      <c r="G1335" s="2">
        <v>0.64760493827160504</v>
      </c>
      <c r="H1335" s="3">
        <v>0</v>
      </c>
      <c r="I1335" s="1">
        <v>45783</v>
      </c>
      <c r="J1335" s="4" t="s">
        <v>7</v>
      </c>
      <c r="K1335" s="4" t="s">
        <v>40</v>
      </c>
      <c r="L1335" s="3">
        <v>2414.4699999999998</v>
      </c>
      <c r="M1335" s="4" t="s">
        <v>1255</v>
      </c>
      <c r="N1335" s="3">
        <v>2710.56</v>
      </c>
    </row>
    <row r="1336" spans="1:14" x14ac:dyDescent="0.35">
      <c r="A1336">
        <v>2271</v>
      </c>
      <c r="B1336" s="4" t="s">
        <v>246</v>
      </c>
      <c r="C1336" s="4" t="s">
        <v>984</v>
      </c>
      <c r="D1336" s="4" t="s">
        <v>19</v>
      </c>
      <c r="E1336">
        <v>0</v>
      </c>
      <c r="F1336" s="3">
        <v>2738.2583</v>
      </c>
      <c r="G1336" s="2">
        <v>0.36</v>
      </c>
      <c r="H1336" s="3">
        <v>0</v>
      </c>
      <c r="I1336" s="1">
        <v>45783</v>
      </c>
      <c r="J1336" s="4" t="s">
        <v>18</v>
      </c>
      <c r="K1336" s="4" t="s">
        <v>8</v>
      </c>
      <c r="L1336" s="3">
        <v>999.24</v>
      </c>
      <c r="M1336" s="4" t="s">
        <v>1255</v>
      </c>
      <c r="N1336" s="3">
        <v>0</v>
      </c>
    </row>
    <row r="1337" spans="1:14" x14ac:dyDescent="0.35">
      <c r="A1337">
        <v>2272</v>
      </c>
      <c r="B1337" s="4" t="s">
        <v>242</v>
      </c>
      <c r="C1337" s="4" t="s">
        <v>632</v>
      </c>
      <c r="D1337" s="4" t="s">
        <v>34</v>
      </c>
      <c r="E1337">
        <v>4</v>
      </c>
      <c r="F1337" s="3">
        <v>2540.1</v>
      </c>
      <c r="G1337" s="2">
        <v>0.69</v>
      </c>
      <c r="H1337" s="3">
        <v>3149.72</v>
      </c>
      <c r="I1337" s="1">
        <v>45803</v>
      </c>
      <c r="J1337" s="4" t="s">
        <v>11</v>
      </c>
      <c r="K1337" s="4" t="s">
        <v>8</v>
      </c>
      <c r="L1337" s="3">
        <v>733.06</v>
      </c>
      <c r="M1337" s="4" t="s">
        <v>1256</v>
      </c>
      <c r="N1337" s="3">
        <v>10160.4</v>
      </c>
    </row>
    <row r="1338" spans="1:14" x14ac:dyDescent="0.35">
      <c r="A1338">
        <v>2273</v>
      </c>
      <c r="B1338" s="4" t="s">
        <v>81</v>
      </c>
      <c r="C1338" s="4" t="s">
        <v>871</v>
      </c>
      <c r="D1338" s="4" t="s">
        <v>32</v>
      </c>
      <c r="E1338">
        <v>6</v>
      </c>
      <c r="F1338" s="3">
        <v>3064.21</v>
      </c>
      <c r="G1338" s="2">
        <v>0.64821339950372203</v>
      </c>
      <c r="H1338" s="3">
        <v>0</v>
      </c>
      <c r="I1338" s="1">
        <v>45571</v>
      </c>
      <c r="J1338" s="4" t="s">
        <v>7</v>
      </c>
      <c r="K1338" s="4" t="s">
        <v>8</v>
      </c>
      <c r="L1338" s="3">
        <v>1569.81</v>
      </c>
      <c r="M1338" s="4" t="s">
        <v>1255</v>
      </c>
      <c r="N1338" s="3">
        <v>18385.259999999998</v>
      </c>
    </row>
    <row r="1339" spans="1:14" x14ac:dyDescent="0.35">
      <c r="A1339">
        <v>2274</v>
      </c>
      <c r="B1339" s="4" t="s">
        <v>298</v>
      </c>
      <c r="C1339" s="4" t="s">
        <v>266</v>
      </c>
      <c r="D1339" s="4" t="s">
        <v>25</v>
      </c>
      <c r="E1339">
        <v>0</v>
      </c>
      <c r="F1339" s="3">
        <v>4456.6499999999996</v>
      </c>
      <c r="G1339" s="2">
        <v>0.64821339950372203</v>
      </c>
      <c r="H1339" s="3">
        <v>0</v>
      </c>
      <c r="I1339" s="1">
        <v>45572</v>
      </c>
      <c r="J1339" s="4" t="s">
        <v>7</v>
      </c>
      <c r="K1339" s="4" t="s">
        <v>8</v>
      </c>
      <c r="L1339" s="3">
        <v>9.1</v>
      </c>
      <c r="M1339" s="4" t="s">
        <v>1255</v>
      </c>
      <c r="N1339" s="3">
        <v>0</v>
      </c>
    </row>
    <row r="1340" spans="1:14" hidden="1" x14ac:dyDescent="0.35">
      <c r="A1340">
        <v>2275</v>
      </c>
      <c r="B1340" s="4" t="s">
        <v>811</v>
      </c>
      <c r="C1340" s="4" t="s">
        <v>985</v>
      </c>
      <c r="D1340" s="4" t="s">
        <v>19</v>
      </c>
      <c r="E1340">
        <v>0</v>
      </c>
      <c r="F1340" s="3">
        <v>3899.04</v>
      </c>
      <c r="G1340" s="2">
        <v>0.64821339950372203</v>
      </c>
      <c r="H1340" s="3">
        <v>0</v>
      </c>
      <c r="I1340" s="1">
        <v>45497</v>
      </c>
      <c r="J1340" s="4" t="s">
        <v>9</v>
      </c>
      <c r="K1340" s="4" t="s">
        <v>40</v>
      </c>
      <c r="L1340" s="3">
        <v>2522.67</v>
      </c>
      <c r="M1340" s="4" t="s">
        <v>1255</v>
      </c>
      <c r="N1340" s="3">
        <v>0</v>
      </c>
    </row>
    <row r="1341" spans="1:14" x14ac:dyDescent="0.35">
      <c r="A1341">
        <v>2276</v>
      </c>
      <c r="B1341" s="4" t="s">
        <v>575</v>
      </c>
      <c r="C1341" s="4" t="s">
        <v>102</v>
      </c>
      <c r="D1341" s="4" t="s">
        <v>34</v>
      </c>
      <c r="E1341">
        <v>3</v>
      </c>
      <c r="F1341" s="3">
        <v>2735.3393999999998</v>
      </c>
      <c r="G1341" s="2">
        <v>0.64821339950372203</v>
      </c>
      <c r="H1341" s="3">
        <v>0</v>
      </c>
      <c r="I1341" s="1">
        <v>45216</v>
      </c>
      <c r="J1341" s="4" t="s">
        <v>18</v>
      </c>
      <c r="K1341" s="4" t="s">
        <v>8</v>
      </c>
      <c r="L1341" s="3">
        <v>2089.34</v>
      </c>
      <c r="M1341" s="4" t="s">
        <v>1255</v>
      </c>
      <c r="N1341" s="3">
        <v>8206.0182000000004</v>
      </c>
    </row>
    <row r="1342" spans="1:14" hidden="1" x14ac:dyDescent="0.35">
      <c r="A1342">
        <v>2277</v>
      </c>
      <c r="B1342" s="4" t="s">
        <v>608</v>
      </c>
      <c r="C1342" s="4" t="s">
        <v>114</v>
      </c>
      <c r="D1342" s="4" t="s">
        <v>16</v>
      </c>
      <c r="E1342">
        <v>3</v>
      </c>
      <c r="F1342" s="3">
        <v>2733.4684999999999</v>
      </c>
      <c r="G1342" s="2">
        <v>0.64821339950372203</v>
      </c>
      <c r="H1342" s="3">
        <v>0</v>
      </c>
      <c r="I1342" s="1">
        <v>45597</v>
      </c>
      <c r="J1342" s="4" t="s">
        <v>11</v>
      </c>
      <c r="K1342" s="4" t="s">
        <v>40</v>
      </c>
      <c r="L1342" s="3">
        <v>2814.36</v>
      </c>
      <c r="M1342" s="4" t="s">
        <v>1255</v>
      </c>
      <c r="N1342" s="3">
        <v>8200.4055000000008</v>
      </c>
    </row>
    <row r="1343" spans="1:14" x14ac:dyDescent="0.35">
      <c r="A1343">
        <v>2278</v>
      </c>
      <c r="B1343" s="4" t="s">
        <v>246</v>
      </c>
      <c r="C1343" s="4" t="s">
        <v>429</v>
      </c>
      <c r="D1343" s="4" t="s">
        <v>17</v>
      </c>
      <c r="E1343">
        <v>0</v>
      </c>
      <c r="F1343" s="3">
        <v>2733.4684999999999</v>
      </c>
      <c r="G1343" s="2">
        <v>0.95</v>
      </c>
      <c r="H1343" s="3">
        <v>0</v>
      </c>
      <c r="I1343" s="1">
        <v>45816</v>
      </c>
      <c r="J1343" s="4" t="s">
        <v>11</v>
      </c>
      <c r="K1343" s="4" t="s">
        <v>12</v>
      </c>
      <c r="L1343" s="3">
        <v>787.23</v>
      </c>
      <c r="M1343" s="4" t="s">
        <v>1255</v>
      </c>
      <c r="N1343" s="3">
        <v>0</v>
      </c>
    </row>
    <row r="1344" spans="1:14" x14ac:dyDescent="0.35">
      <c r="A1344">
        <v>2279</v>
      </c>
      <c r="B1344" s="4" t="s">
        <v>60</v>
      </c>
      <c r="C1344" s="4" t="s">
        <v>982</v>
      </c>
      <c r="D1344" s="4" t="s">
        <v>14</v>
      </c>
      <c r="E1344">
        <v>6</v>
      </c>
      <c r="F1344" s="3">
        <v>3294.21</v>
      </c>
      <c r="G1344" s="2">
        <v>0.89</v>
      </c>
      <c r="H1344" s="3">
        <v>2174.1799999999998</v>
      </c>
      <c r="I1344" s="1">
        <v>45572</v>
      </c>
      <c r="J1344" s="4" t="s">
        <v>20</v>
      </c>
      <c r="K1344" s="4" t="s">
        <v>8</v>
      </c>
      <c r="L1344" s="3">
        <v>1874.46</v>
      </c>
      <c r="M1344" s="4" t="s">
        <v>1256</v>
      </c>
      <c r="N1344" s="3">
        <v>19765.259999999998</v>
      </c>
    </row>
    <row r="1345" spans="1:14" hidden="1" x14ac:dyDescent="0.35">
      <c r="A1345">
        <v>2280</v>
      </c>
      <c r="B1345" s="4" t="s">
        <v>164</v>
      </c>
      <c r="C1345" s="4" t="s">
        <v>924</v>
      </c>
      <c r="D1345" s="4" t="s">
        <v>15</v>
      </c>
      <c r="E1345">
        <v>0</v>
      </c>
      <c r="F1345" s="3">
        <v>2733.4684999999999</v>
      </c>
      <c r="G1345" s="2">
        <v>1.1499999999999999</v>
      </c>
      <c r="H1345" s="3">
        <v>0</v>
      </c>
      <c r="I1345" s="1">
        <v>45860</v>
      </c>
      <c r="J1345" s="4" t="s">
        <v>9</v>
      </c>
      <c r="K1345" s="4" t="s">
        <v>40</v>
      </c>
      <c r="L1345" s="3">
        <v>-230.98</v>
      </c>
      <c r="M1345" s="4" t="s">
        <v>1255</v>
      </c>
      <c r="N1345" s="3">
        <v>0</v>
      </c>
    </row>
    <row r="1346" spans="1:14" x14ac:dyDescent="0.35">
      <c r="A1346">
        <v>2281</v>
      </c>
      <c r="B1346" s="4" t="s">
        <v>986</v>
      </c>
      <c r="C1346" s="4" t="s">
        <v>180</v>
      </c>
      <c r="D1346" s="4" t="s">
        <v>17</v>
      </c>
      <c r="E1346">
        <v>-1</v>
      </c>
      <c r="F1346" s="3">
        <v>2732.5655000000002</v>
      </c>
      <c r="G1346" s="2">
        <v>0.64559999999999995</v>
      </c>
      <c r="H1346" s="3">
        <v>0</v>
      </c>
      <c r="I1346" s="1">
        <v>45860</v>
      </c>
      <c r="J1346" s="4" t="s">
        <v>20</v>
      </c>
      <c r="K1346" s="4" t="s">
        <v>8</v>
      </c>
      <c r="L1346" s="3">
        <v>-308.93</v>
      </c>
      <c r="M1346" s="4" t="s">
        <v>1255</v>
      </c>
      <c r="N1346" s="3">
        <v>-2732.5655000000002</v>
      </c>
    </row>
    <row r="1347" spans="1:14" hidden="1" x14ac:dyDescent="0.35">
      <c r="A1347">
        <v>2282</v>
      </c>
      <c r="B1347" s="4" t="s">
        <v>987</v>
      </c>
      <c r="C1347" s="4" t="s">
        <v>988</v>
      </c>
      <c r="D1347" s="4" t="s">
        <v>10</v>
      </c>
      <c r="E1347">
        <v>0</v>
      </c>
      <c r="F1347" s="3">
        <v>491.36</v>
      </c>
      <c r="G1347" s="2">
        <v>0.42</v>
      </c>
      <c r="H1347" s="3">
        <v>0</v>
      </c>
      <c r="I1347" s="1">
        <v>45276</v>
      </c>
      <c r="J1347" s="4" t="s">
        <v>7</v>
      </c>
      <c r="K1347" s="4" t="s">
        <v>40</v>
      </c>
      <c r="L1347" s="3">
        <v>1231.3699999999999</v>
      </c>
      <c r="M1347" s="4" t="s">
        <v>1255</v>
      </c>
      <c r="N1347" s="3">
        <v>0</v>
      </c>
    </row>
    <row r="1348" spans="1:14" hidden="1" x14ac:dyDescent="0.35">
      <c r="A1348">
        <v>2283</v>
      </c>
      <c r="B1348" s="4" t="s">
        <v>797</v>
      </c>
      <c r="C1348" s="4" t="s">
        <v>816</v>
      </c>
      <c r="D1348" s="4" t="s">
        <v>30</v>
      </c>
      <c r="E1348">
        <v>6</v>
      </c>
      <c r="F1348" s="3">
        <v>2732.5655000000002</v>
      </c>
      <c r="G1348" s="2">
        <v>0.94</v>
      </c>
      <c r="H1348" s="3">
        <v>0</v>
      </c>
      <c r="I1348" s="1">
        <v>45762</v>
      </c>
      <c r="J1348" s="4" t="s">
        <v>18</v>
      </c>
      <c r="K1348" s="4" t="s">
        <v>40</v>
      </c>
      <c r="L1348" s="3">
        <v>2079.0100000000002</v>
      </c>
      <c r="M1348" s="4" t="s">
        <v>1255</v>
      </c>
      <c r="N1348" s="3">
        <v>16395.393</v>
      </c>
    </row>
    <row r="1349" spans="1:14" x14ac:dyDescent="0.35">
      <c r="A1349">
        <v>2284</v>
      </c>
      <c r="B1349" s="4" t="s">
        <v>641</v>
      </c>
      <c r="C1349" s="4" t="s">
        <v>989</v>
      </c>
      <c r="D1349" s="4" t="s">
        <v>35</v>
      </c>
      <c r="E1349">
        <v>0</v>
      </c>
      <c r="F1349" s="3">
        <v>3736.2</v>
      </c>
      <c r="G1349" s="2">
        <v>0.64542713567839205</v>
      </c>
      <c r="H1349" s="3">
        <v>0</v>
      </c>
      <c r="I1349" s="1">
        <v>45743</v>
      </c>
      <c r="J1349" s="4" t="s">
        <v>7</v>
      </c>
      <c r="K1349" s="4" t="s">
        <v>8</v>
      </c>
      <c r="L1349" s="3">
        <v>-440.98</v>
      </c>
      <c r="M1349" s="4" t="s">
        <v>1255</v>
      </c>
      <c r="N1349" s="3">
        <v>0</v>
      </c>
    </row>
    <row r="1350" spans="1:14" x14ac:dyDescent="0.35">
      <c r="A1350">
        <v>2285</v>
      </c>
      <c r="B1350" s="4" t="s">
        <v>723</v>
      </c>
      <c r="C1350" s="4" t="s">
        <v>82</v>
      </c>
      <c r="D1350" s="4" t="s">
        <v>13</v>
      </c>
      <c r="E1350">
        <v>0</v>
      </c>
      <c r="F1350" s="3">
        <v>2287.67</v>
      </c>
      <c r="G1350" s="2">
        <v>0.56000000000000005</v>
      </c>
      <c r="H1350" s="3">
        <v>0</v>
      </c>
      <c r="I1350" s="1">
        <v>45391</v>
      </c>
      <c r="J1350" s="4" t="s">
        <v>23</v>
      </c>
      <c r="K1350" s="4" t="s">
        <v>12</v>
      </c>
      <c r="L1350" s="3">
        <v>-827.66</v>
      </c>
      <c r="M1350" s="4" t="s">
        <v>1255</v>
      </c>
      <c r="N1350" s="3">
        <v>0</v>
      </c>
    </row>
    <row r="1351" spans="1:14" x14ac:dyDescent="0.35">
      <c r="A1351">
        <v>2286</v>
      </c>
      <c r="B1351" s="4" t="s">
        <v>544</v>
      </c>
      <c r="C1351" s="4" t="s">
        <v>537</v>
      </c>
      <c r="D1351" s="4" t="s">
        <v>30</v>
      </c>
      <c r="E1351">
        <v>1</v>
      </c>
      <c r="F1351" s="3">
        <v>2734.5648000000001</v>
      </c>
      <c r="G1351" s="2">
        <v>0.64564231738035305</v>
      </c>
      <c r="H1351" s="3">
        <v>0</v>
      </c>
      <c r="I1351" s="1">
        <v>45770</v>
      </c>
      <c r="J1351" s="4" t="s">
        <v>20</v>
      </c>
      <c r="K1351" s="4" t="s">
        <v>8</v>
      </c>
      <c r="L1351" s="3">
        <v>-810.33</v>
      </c>
      <c r="M1351" s="4" t="s">
        <v>1255</v>
      </c>
      <c r="N1351" s="3">
        <v>2734.5648000000001</v>
      </c>
    </row>
    <row r="1352" spans="1:14" x14ac:dyDescent="0.35">
      <c r="A1352">
        <v>2287</v>
      </c>
      <c r="B1352" s="4" t="s">
        <v>122</v>
      </c>
      <c r="C1352" s="4" t="s">
        <v>990</v>
      </c>
      <c r="D1352" s="4" t="s">
        <v>13</v>
      </c>
      <c r="E1352">
        <v>4</v>
      </c>
      <c r="F1352" s="3">
        <v>2735.288</v>
      </c>
      <c r="G1352" s="2">
        <v>0.64564231738035305</v>
      </c>
      <c r="H1352" s="3">
        <v>0</v>
      </c>
      <c r="I1352" s="1">
        <v>45770</v>
      </c>
      <c r="J1352" s="4" t="s">
        <v>18</v>
      </c>
      <c r="K1352" s="4" t="s">
        <v>12</v>
      </c>
      <c r="L1352" s="3">
        <v>715.96</v>
      </c>
      <c r="M1352" s="4" t="s">
        <v>1255</v>
      </c>
      <c r="N1352" s="3">
        <v>10941.152</v>
      </c>
    </row>
    <row r="1353" spans="1:14" hidden="1" x14ac:dyDescent="0.35">
      <c r="A1353">
        <v>2288</v>
      </c>
      <c r="B1353" s="4" t="s">
        <v>991</v>
      </c>
      <c r="C1353" s="4" t="s">
        <v>992</v>
      </c>
      <c r="D1353" s="4" t="s">
        <v>25</v>
      </c>
      <c r="E1353">
        <v>4</v>
      </c>
      <c r="F1353" s="3">
        <v>2735.288</v>
      </c>
      <c r="G1353" s="2">
        <v>0.64564231738035305</v>
      </c>
      <c r="H1353" s="3">
        <v>0</v>
      </c>
      <c r="I1353" s="1">
        <v>45770</v>
      </c>
      <c r="J1353" s="4" t="s">
        <v>18</v>
      </c>
      <c r="K1353" s="4" t="s">
        <v>40</v>
      </c>
      <c r="L1353" s="3">
        <v>1167.1600000000001</v>
      </c>
      <c r="M1353" s="4" t="s">
        <v>1255</v>
      </c>
      <c r="N1353" s="3">
        <v>10941.152</v>
      </c>
    </row>
    <row r="1354" spans="1:14" x14ac:dyDescent="0.35">
      <c r="A1354">
        <v>2289</v>
      </c>
      <c r="B1354" s="4" t="s">
        <v>646</v>
      </c>
      <c r="C1354" s="4" t="s">
        <v>993</v>
      </c>
      <c r="D1354" s="4" t="s">
        <v>17</v>
      </c>
      <c r="E1354">
        <v>0</v>
      </c>
      <c r="F1354" s="3">
        <v>3407.2</v>
      </c>
      <c r="G1354" s="2">
        <v>0.64564231738035305</v>
      </c>
      <c r="H1354" s="3">
        <v>0</v>
      </c>
      <c r="I1354" s="1">
        <v>45770</v>
      </c>
      <c r="J1354" s="4" t="s">
        <v>9</v>
      </c>
      <c r="K1354" s="4" t="s">
        <v>8</v>
      </c>
      <c r="L1354" s="3">
        <v>2344.16</v>
      </c>
      <c r="M1354" s="4" t="s">
        <v>1255</v>
      </c>
      <c r="N1354" s="3">
        <v>0</v>
      </c>
    </row>
    <row r="1355" spans="1:14" x14ac:dyDescent="0.35">
      <c r="A1355">
        <v>2290</v>
      </c>
      <c r="B1355" s="4" t="s">
        <v>522</v>
      </c>
      <c r="C1355" s="4" t="s">
        <v>680</v>
      </c>
      <c r="D1355" s="4" t="s">
        <v>17</v>
      </c>
      <c r="E1355">
        <v>4</v>
      </c>
      <c r="F1355" s="3">
        <v>1405.39</v>
      </c>
      <c r="G1355" s="2">
        <v>0.64564231738035305</v>
      </c>
      <c r="H1355" s="3">
        <v>0</v>
      </c>
      <c r="I1355" s="1">
        <v>45527</v>
      </c>
      <c r="J1355" s="4" t="s">
        <v>18</v>
      </c>
      <c r="K1355" s="4" t="s">
        <v>8</v>
      </c>
      <c r="L1355" s="3">
        <v>712.37</v>
      </c>
      <c r="M1355" s="4" t="s">
        <v>1255</v>
      </c>
      <c r="N1355" s="3">
        <v>5621.56</v>
      </c>
    </row>
    <row r="1356" spans="1:14" x14ac:dyDescent="0.35">
      <c r="A1356">
        <v>2291</v>
      </c>
      <c r="B1356" s="4" t="s">
        <v>65</v>
      </c>
      <c r="C1356" s="4" t="s">
        <v>329</v>
      </c>
      <c r="D1356" s="4" t="s">
        <v>31</v>
      </c>
      <c r="E1356">
        <v>4</v>
      </c>
      <c r="F1356" s="3">
        <v>3217.82</v>
      </c>
      <c r="G1356" s="2">
        <v>0.64564231738035305</v>
      </c>
      <c r="H1356" s="3">
        <v>0</v>
      </c>
      <c r="I1356" s="1">
        <v>45527</v>
      </c>
      <c r="J1356" s="4" t="s">
        <v>18</v>
      </c>
      <c r="K1356" s="4" t="s">
        <v>12</v>
      </c>
      <c r="L1356" s="3">
        <v>2909.8</v>
      </c>
      <c r="M1356" s="4" t="s">
        <v>1255</v>
      </c>
      <c r="N1356" s="3">
        <v>12871.28</v>
      </c>
    </row>
    <row r="1357" spans="1:14" hidden="1" x14ac:dyDescent="0.35">
      <c r="A1357">
        <v>2292</v>
      </c>
      <c r="B1357" s="4" t="s">
        <v>317</v>
      </c>
      <c r="C1357" s="4" t="s">
        <v>78</v>
      </c>
      <c r="D1357" s="4" t="s">
        <v>31</v>
      </c>
      <c r="E1357">
        <v>0</v>
      </c>
      <c r="F1357" s="3">
        <v>3974.58</v>
      </c>
      <c r="G1357" s="2">
        <v>0.64564231738035305</v>
      </c>
      <c r="H1357" s="3">
        <v>0</v>
      </c>
      <c r="I1357" s="1">
        <v>45726</v>
      </c>
      <c r="J1357" s="4" t="s">
        <v>23</v>
      </c>
      <c r="K1357" s="4" t="s">
        <v>40</v>
      </c>
      <c r="L1357" s="3">
        <v>-0.12</v>
      </c>
      <c r="M1357" s="4" t="s">
        <v>1255</v>
      </c>
      <c r="N1357" s="3">
        <v>0</v>
      </c>
    </row>
    <row r="1358" spans="1:14" x14ac:dyDescent="0.35">
      <c r="A1358">
        <v>2293</v>
      </c>
      <c r="B1358" s="4" t="s">
        <v>193</v>
      </c>
      <c r="C1358" s="4" t="s">
        <v>112</v>
      </c>
      <c r="D1358" s="4" t="s">
        <v>13</v>
      </c>
      <c r="E1358">
        <v>0</v>
      </c>
      <c r="F1358" s="3">
        <v>3241.57</v>
      </c>
      <c r="G1358" s="2">
        <v>0.64564231738035305</v>
      </c>
      <c r="H1358" s="3">
        <v>0</v>
      </c>
      <c r="I1358" s="1">
        <v>45500</v>
      </c>
      <c r="J1358" s="4" t="s">
        <v>9</v>
      </c>
      <c r="K1358" s="4" t="s">
        <v>8</v>
      </c>
      <c r="L1358" s="3">
        <v>2518.36</v>
      </c>
      <c r="M1358" s="4" t="s">
        <v>1255</v>
      </c>
      <c r="N1358" s="3">
        <v>0</v>
      </c>
    </row>
    <row r="1359" spans="1:14" hidden="1" x14ac:dyDescent="0.35">
      <c r="A1359">
        <v>2294</v>
      </c>
      <c r="B1359" s="4" t="s">
        <v>660</v>
      </c>
      <c r="C1359" s="4" t="s">
        <v>329</v>
      </c>
      <c r="D1359" s="4" t="s">
        <v>24</v>
      </c>
      <c r="E1359">
        <v>-1</v>
      </c>
      <c r="F1359" s="3">
        <v>2733.5553</v>
      </c>
      <c r="G1359" s="2">
        <v>0.16</v>
      </c>
      <c r="H1359" s="3">
        <v>0</v>
      </c>
      <c r="I1359" s="1">
        <v>45147</v>
      </c>
      <c r="J1359" s="4" t="s">
        <v>7</v>
      </c>
      <c r="K1359" s="4" t="s">
        <v>40</v>
      </c>
      <c r="L1359" s="3">
        <v>1019.45</v>
      </c>
      <c r="M1359" s="4" t="s">
        <v>1255</v>
      </c>
      <c r="N1359" s="3">
        <v>-2733.5553</v>
      </c>
    </row>
    <row r="1360" spans="1:14" hidden="1" x14ac:dyDescent="0.35">
      <c r="A1360">
        <v>2295</v>
      </c>
      <c r="B1360" s="4" t="s">
        <v>145</v>
      </c>
      <c r="C1360" s="4" t="s">
        <v>994</v>
      </c>
      <c r="D1360" s="4" t="s">
        <v>22</v>
      </c>
      <c r="E1360">
        <v>0</v>
      </c>
      <c r="F1360" s="3">
        <v>3189.35</v>
      </c>
      <c r="G1360" s="2">
        <v>0.64686868686868704</v>
      </c>
      <c r="H1360" s="3">
        <v>0</v>
      </c>
      <c r="I1360" s="1">
        <v>45569</v>
      </c>
      <c r="J1360" s="4" t="s">
        <v>18</v>
      </c>
      <c r="K1360" s="4" t="s">
        <v>40</v>
      </c>
      <c r="L1360" s="3">
        <v>-683.11</v>
      </c>
      <c r="M1360" s="4" t="s">
        <v>1255</v>
      </c>
      <c r="N1360" s="3">
        <v>0</v>
      </c>
    </row>
    <row r="1361" spans="1:14" hidden="1" x14ac:dyDescent="0.35">
      <c r="A1361">
        <v>2297</v>
      </c>
      <c r="B1361" s="4" t="s">
        <v>762</v>
      </c>
      <c r="C1361" s="4" t="s">
        <v>924</v>
      </c>
      <c r="D1361" s="4" t="s">
        <v>31</v>
      </c>
      <c r="E1361">
        <v>0</v>
      </c>
      <c r="F1361" s="3">
        <v>2731.9805000000001</v>
      </c>
      <c r="G1361" s="2">
        <v>0.28999999999999998</v>
      </c>
      <c r="H1361" s="3">
        <v>0</v>
      </c>
      <c r="I1361" s="1">
        <v>45666</v>
      </c>
      <c r="J1361" s="4" t="s">
        <v>7</v>
      </c>
      <c r="K1361" s="4" t="s">
        <v>40</v>
      </c>
      <c r="L1361" s="3">
        <v>2879.59</v>
      </c>
      <c r="M1361" s="4" t="s">
        <v>1255</v>
      </c>
      <c r="N1361" s="3">
        <v>0</v>
      </c>
    </row>
    <row r="1362" spans="1:14" hidden="1" x14ac:dyDescent="0.35">
      <c r="A1362">
        <v>2298</v>
      </c>
      <c r="B1362" s="4" t="s">
        <v>262</v>
      </c>
      <c r="C1362" s="4" t="s">
        <v>127</v>
      </c>
      <c r="D1362" s="4" t="s">
        <v>28</v>
      </c>
      <c r="E1362">
        <v>0</v>
      </c>
      <c r="F1362" s="3">
        <v>2731.9805000000001</v>
      </c>
      <c r="G1362" s="2">
        <v>0.64868020304568597</v>
      </c>
      <c r="H1362" s="3">
        <v>0</v>
      </c>
      <c r="I1362" s="1">
        <v>45812</v>
      </c>
      <c r="J1362" s="4" t="s">
        <v>9</v>
      </c>
      <c r="K1362" s="4" t="s">
        <v>40</v>
      </c>
      <c r="L1362" s="3">
        <v>-778.84</v>
      </c>
      <c r="M1362" s="4" t="s">
        <v>1255</v>
      </c>
      <c r="N1362" s="3">
        <v>0</v>
      </c>
    </row>
    <row r="1363" spans="1:14" x14ac:dyDescent="0.35">
      <c r="A1363">
        <v>2299</v>
      </c>
      <c r="B1363" s="4" t="s">
        <v>494</v>
      </c>
      <c r="C1363" s="4" t="s">
        <v>50</v>
      </c>
      <c r="D1363" s="4" t="s">
        <v>28</v>
      </c>
      <c r="E1363">
        <v>-2</v>
      </c>
      <c r="F1363" s="3">
        <v>2731.9805000000001</v>
      </c>
      <c r="G1363" s="2">
        <v>1.27</v>
      </c>
      <c r="H1363" s="3">
        <v>0</v>
      </c>
      <c r="I1363" s="1">
        <v>45770</v>
      </c>
      <c r="J1363" s="4" t="s">
        <v>11</v>
      </c>
      <c r="K1363" s="4" t="s">
        <v>8</v>
      </c>
      <c r="L1363" s="3">
        <v>2892.16</v>
      </c>
      <c r="M1363" s="4" t="s">
        <v>1255</v>
      </c>
      <c r="N1363" s="3">
        <v>-5463.9610000000002</v>
      </c>
    </row>
    <row r="1364" spans="1:14" hidden="1" x14ac:dyDescent="0.35">
      <c r="A1364">
        <v>2300</v>
      </c>
      <c r="B1364" s="4" t="s">
        <v>313</v>
      </c>
      <c r="C1364" s="4" t="s">
        <v>995</v>
      </c>
      <c r="D1364" s="4" t="s">
        <v>19</v>
      </c>
      <c r="E1364">
        <v>0</v>
      </c>
      <c r="F1364" s="3">
        <v>2731.9805000000001</v>
      </c>
      <c r="G1364" s="2">
        <v>0.64709923664122204</v>
      </c>
      <c r="H1364" s="3">
        <v>0</v>
      </c>
      <c r="I1364" s="1">
        <v>45770</v>
      </c>
      <c r="J1364" s="4" t="s">
        <v>23</v>
      </c>
      <c r="K1364" s="4" t="s">
        <v>40</v>
      </c>
      <c r="L1364" s="3">
        <v>-59.16</v>
      </c>
      <c r="M1364" s="4" t="s">
        <v>1255</v>
      </c>
      <c r="N1364" s="3">
        <v>0</v>
      </c>
    </row>
    <row r="1365" spans="1:14" hidden="1" x14ac:dyDescent="0.35">
      <c r="A1365">
        <v>2301</v>
      </c>
      <c r="B1365" s="4" t="s">
        <v>296</v>
      </c>
      <c r="C1365" s="4" t="s">
        <v>996</v>
      </c>
      <c r="D1365" s="4" t="s">
        <v>24</v>
      </c>
      <c r="E1365">
        <v>0</v>
      </c>
      <c r="F1365" s="3">
        <v>3335.27</v>
      </c>
      <c r="G1365" s="2">
        <v>1.1299999999999999</v>
      </c>
      <c r="H1365" s="3">
        <v>0</v>
      </c>
      <c r="I1365" s="1">
        <v>45626</v>
      </c>
      <c r="J1365" s="4" t="s">
        <v>11</v>
      </c>
      <c r="K1365" s="4" t="s">
        <v>40</v>
      </c>
      <c r="L1365" s="3">
        <v>1415.8</v>
      </c>
      <c r="M1365" s="4" t="s">
        <v>1255</v>
      </c>
      <c r="N1365" s="3">
        <v>0</v>
      </c>
    </row>
    <row r="1366" spans="1:14" x14ac:dyDescent="0.35">
      <c r="A1366">
        <v>2302</v>
      </c>
      <c r="B1366" s="4" t="s">
        <v>317</v>
      </c>
      <c r="C1366" s="4" t="s">
        <v>507</v>
      </c>
      <c r="D1366" s="4" t="s">
        <v>31</v>
      </c>
      <c r="E1366">
        <v>1</v>
      </c>
      <c r="F1366" s="3">
        <v>2731.9805000000001</v>
      </c>
      <c r="G1366" s="2">
        <v>0.64586734693877601</v>
      </c>
      <c r="H1366" s="3">
        <v>0</v>
      </c>
      <c r="I1366" s="1">
        <v>45626</v>
      </c>
      <c r="J1366" s="4" t="s">
        <v>9</v>
      </c>
      <c r="K1366" s="4" t="s">
        <v>8</v>
      </c>
      <c r="L1366" s="3">
        <v>1520.6</v>
      </c>
      <c r="M1366" s="4" t="s">
        <v>1255</v>
      </c>
      <c r="N1366" s="3">
        <v>2731.9805000000001</v>
      </c>
    </row>
    <row r="1367" spans="1:14" hidden="1" x14ac:dyDescent="0.35">
      <c r="A1367">
        <v>2303</v>
      </c>
      <c r="B1367" s="4" t="s">
        <v>373</v>
      </c>
      <c r="C1367" s="4" t="s">
        <v>997</v>
      </c>
      <c r="D1367" s="4" t="s">
        <v>22</v>
      </c>
      <c r="E1367">
        <v>6</v>
      </c>
      <c r="F1367" s="3">
        <v>2201.87</v>
      </c>
      <c r="G1367" s="2">
        <v>0.64586734693877601</v>
      </c>
      <c r="H1367" s="3">
        <v>0</v>
      </c>
      <c r="I1367" s="1">
        <v>45626</v>
      </c>
      <c r="J1367" s="4" t="s">
        <v>23</v>
      </c>
      <c r="K1367" s="4" t="s">
        <v>40</v>
      </c>
      <c r="L1367" s="3">
        <v>1919.35</v>
      </c>
      <c r="M1367" s="4" t="s">
        <v>1255</v>
      </c>
      <c r="N1367" s="3">
        <v>13211.22</v>
      </c>
    </row>
    <row r="1368" spans="1:14" x14ac:dyDescent="0.35">
      <c r="A1368">
        <v>2304</v>
      </c>
      <c r="B1368" s="4" t="s">
        <v>141</v>
      </c>
      <c r="C1368" s="4" t="s">
        <v>205</v>
      </c>
      <c r="D1368" s="4" t="s">
        <v>35</v>
      </c>
      <c r="E1368">
        <v>0</v>
      </c>
      <c r="F1368" s="3">
        <v>2730.9931000000001</v>
      </c>
      <c r="G1368" s="2">
        <v>0.3</v>
      </c>
      <c r="H1368" s="3">
        <v>0</v>
      </c>
      <c r="I1368" s="1">
        <v>45811</v>
      </c>
      <c r="J1368" s="4" t="s">
        <v>20</v>
      </c>
      <c r="K1368" s="4" t="s">
        <v>8</v>
      </c>
      <c r="L1368" s="3">
        <v>2013.34</v>
      </c>
      <c r="M1368" s="4" t="s">
        <v>1255</v>
      </c>
      <c r="N1368" s="3">
        <v>0</v>
      </c>
    </row>
    <row r="1369" spans="1:14" x14ac:dyDescent="0.35">
      <c r="A1369">
        <v>2305</v>
      </c>
      <c r="B1369" s="4" t="s">
        <v>164</v>
      </c>
      <c r="C1369" s="4" t="s">
        <v>88</v>
      </c>
      <c r="D1369" s="4" t="s">
        <v>27</v>
      </c>
      <c r="E1369">
        <v>0</v>
      </c>
      <c r="F1369" s="3">
        <v>3476.06</v>
      </c>
      <c r="G1369" s="2">
        <v>0.64675191815856803</v>
      </c>
      <c r="H1369" s="3">
        <v>0</v>
      </c>
      <c r="I1369" s="1">
        <v>45811</v>
      </c>
      <c r="J1369" s="4" t="s">
        <v>18</v>
      </c>
      <c r="K1369" s="4" t="s">
        <v>8</v>
      </c>
      <c r="L1369" s="3">
        <v>1379.32</v>
      </c>
      <c r="M1369" s="4" t="s">
        <v>1255</v>
      </c>
      <c r="N1369" s="3">
        <v>0</v>
      </c>
    </row>
    <row r="1370" spans="1:14" x14ac:dyDescent="0.35">
      <c r="A1370">
        <v>2306</v>
      </c>
      <c r="B1370" s="4" t="s">
        <v>172</v>
      </c>
      <c r="C1370" s="4" t="s">
        <v>993</v>
      </c>
      <c r="D1370" s="4" t="s">
        <v>29</v>
      </c>
      <c r="E1370">
        <v>-2</v>
      </c>
      <c r="F1370" s="3">
        <v>2731.8604999999998</v>
      </c>
      <c r="G1370" s="2">
        <v>1.1499999999999999</v>
      </c>
      <c r="H1370" s="3">
        <v>0</v>
      </c>
      <c r="I1370" s="1">
        <v>45260</v>
      </c>
      <c r="J1370" s="4" t="s">
        <v>9</v>
      </c>
      <c r="K1370" s="4" t="s">
        <v>8</v>
      </c>
      <c r="L1370" s="3">
        <v>2166.71</v>
      </c>
      <c r="M1370" s="4" t="s">
        <v>1255</v>
      </c>
      <c r="N1370" s="3">
        <v>-5463.7209999999995</v>
      </c>
    </row>
    <row r="1371" spans="1:14" hidden="1" x14ac:dyDescent="0.35">
      <c r="A1371">
        <v>2307</v>
      </c>
      <c r="B1371" s="4" t="s">
        <v>544</v>
      </c>
      <c r="C1371" s="4" t="s">
        <v>698</v>
      </c>
      <c r="D1371" s="4" t="s">
        <v>29</v>
      </c>
      <c r="E1371">
        <v>0</v>
      </c>
      <c r="F1371" s="3">
        <v>2730.6385</v>
      </c>
      <c r="G1371" s="2">
        <v>0.64546153846153898</v>
      </c>
      <c r="H1371" s="3">
        <v>0</v>
      </c>
      <c r="I1371" s="1">
        <v>45283</v>
      </c>
      <c r="J1371" s="4" t="s">
        <v>20</v>
      </c>
      <c r="K1371" s="4" t="s">
        <v>40</v>
      </c>
      <c r="L1371" s="3">
        <v>1998.57</v>
      </c>
      <c r="M1371" s="4" t="s">
        <v>1255</v>
      </c>
      <c r="N1371" s="3">
        <v>0</v>
      </c>
    </row>
    <row r="1372" spans="1:14" hidden="1" x14ac:dyDescent="0.35">
      <c r="A1372">
        <v>2308</v>
      </c>
      <c r="B1372" s="4" t="s">
        <v>141</v>
      </c>
      <c r="C1372" s="4" t="s">
        <v>268</v>
      </c>
      <c r="D1372" s="4" t="s">
        <v>24</v>
      </c>
      <c r="E1372">
        <v>0</v>
      </c>
      <c r="F1372" s="3">
        <v>3978.48</v>
      </c>
      <c r="G1372" s="2">
        <v>0.64546153846153898</v>
      </c>
      <c r="H1372" s="3">
        <v>0</v>
      </c>
      <c r="I1372" s="1">
        <v>45632</v>
      </c>
      <c r="J1372" s="4" t="s">
        <v>7</v>
      </c>
      <c r="K1372" s="4" t="s">
        <v>40</v>
      </c>
      <c r="L1372" s="3">
        <v>929.92</v>
      </c>
      <c r="M1372" s="4" t="s">
        <v>1255</v>
      </c>
      <c r="N1372" s="3">
        <v>0</v>
      </c>
    </row>
    <row r="1373" spans="1:14" x14ac:dyDescent="0.35">
      <c r="A1373">
        <v>2309</v>
      </c>
      <c r="B1373" s="4" t="s">
        <v>998</v>
      </c>
      <c r="C1373" s="4" t="s">
        <v>82</v>
      </c>
      <c r="D1373" s="4" t="s">
        <v>16</v>
      </c>
      <c r="E1373">
        <v>1</v>
      </c>
      <c r="F1373" s="3">
        <v>2730.6385</v>
      </c>
      <c r="G1373" s="2">
        <v>0.64546153846153898</v>
      </c>
      <c r="H1373" s="3">
        <v>0</v>
      </c>
      <c r="I1373" s="1">
        <v>45632</v>
      </c>
      <c r="J1373" s="4" t="s">
        <v>7</v>
      </c>
      <c r="K1373" s="4" t="s">
        <v>12</v>
      </c>
      <c r="L1373" s="3">
        <v>-464.01</v>
      </c>
      <c r="M1373" s="4" t="s">
        <v>1255</v>
      </c>
      <c r="N1373" s="3">
        <v>2730.6385</v>
      </c>
    </row>
    <row r="1374" spans="1:14" x14ac:dyDescent="0.35">
      <c r="A1374">
        <v>2312</v>
      </c>
      <c r="B1374" s="4" t="s">
        <v>141</v>
      </c>
      <c r="C1374" s="4" t="s">
        <v>968</v>
      </c>
      <c r="D1374" s="4" t="s">
        <v>21</v>
      </c>
      <c r="E1374">
        <v>0</v>
      </c>
      <c r="F1374" s="3">
        <v>2688.08</v>
      </c>
      <c r="G1374" s="2">
        <v>0.64546153846153898</v>
      </c>
      <c r="H1374" s="3">
        <v>0</v>
      </c>
      <c r="I1374" s="1">
        <v>45521</v>
      </c>
      <c r="J1374" s="4" t="s">
        <v>20</v>
      </c>
      <c r="K1374" s="4" t="s">
        <v>12</v>
      </c>
      <c r="L1374" s="3">
        <v>1913.21</v>
      </c>
      <c r="M1374" s="4" t="s">
        <v>1255</v>
      </c>
      <c r="N1374" s="3">
        <v>0</v>
      </c>
    </row>
    <row r="1375" spans="1:14" x14ac:dyDescent="0.35">
      <c r="A1375">
        <v>2313</v>
      </c>
      <c r="B1375" s="4" t="s">
        <v>555</v>
      </c>
      <c r="C1375" s="4" t="s">
        <v>102</v>
      </c>
      <c r="D1375" s="4" t="s">
        <v>17</v>
      </c>
      <c r="E1375">
        <v>2</v>
      </c>
      <c r="F1375" s="3">
        <v>2440.38</v>
      </c>
      <c r="G1375" s="2">
        <v>0.64546153846153898</v>
      </c>
      <c r="H1375" s="3">
        <v>0</v>
      </c>
      <c r="I1375" s="1">
        <v>45724</v>
      </c>
      <c r="J1375" s="4" t="s">
        <v>18</v>
      </c>
      <c r="K1375" s="4" t="s">
        <v>12</v>
      </c>
      <c r="L1375" s="3">
        <v>-899.53</v>
      </c>
      <c r="M1375" s="4" t="s">
        <v>1255</v>
      </c>
      <c r="N1375" s="3">
        <v>4880.76</v>
      </c>
    </row>
    <row r="1376" spans="1:14" x14ac:dyDescent="0.35">
      <c r="A1376">
        <v>2314</v>
      </c>
      <c r="B1376" s="4" t="s">
        <v>999</v>
      </c>
      <c r="C1376" s="4" t="s">
        <v>80</v>
      </c>
      <c r="D1376" s="4" t="s">
        <v>33</v>
      </c>
      <c r="E1376">
        <v>0</v>
      </c>
      <c r="F1376" s="3">
        <v>2725.2937000000002</v>
      </c>
      <c r="G1376" s="2">
        <v>0.64546153846153898</v>
      </c>
      <c r="H1376" s="3">
        <v>0</v>
      </c>
      <c r="I1376" s="1">
        <v>45642</v>
      </c>
      <c r="J1376" s="4" t="s">
        <v>20</v>
      </c>
      <c r="K1376" s="4" t="s">
        <v>12</v>
      </c>
      <c r="L1376" s="3">
        <v>949.17</v>
      </c>
      <c r="M1376" s="4" t="s">
        <v>1255</v>
      </c>
      <c r="N1376" s="3">
        <v>0</v>
      </c>
    </row>
    <row r="1377" spans="1:14" x14ac:dyDescent="0.35">
      <c r="A1377">
        <v>2315</v>
      </c>
      <c r="B1377" s="4" t="s">
        <v>805</v>
      </c>
      <c r="C1377" s="4" t="s">
        <v>1000</v>
      </c>
      <c r="D1377" s="4" t="s">
        <v>17</v>
      </c>
      <c r="E1377">
        <v>1</v>
      </c>
      <c r="F1377" s="3">
        <v>2725.7654000000002</v>
      </c>
      <c r="G1377" s="2">
        <v>0.64546153846153898</v>
      </c>
      <c r="H1377" s="3">
        <v>0</v>
      </c>
      <c r="I1377" s="1">
        <v>45710</v>
      </c>
      <c r="J1377" s="4" t="s">
        <v>20</v>
      </c>
      <c r="K1377" s="4" t="s">
        <v>12</v>
      </c>
      <c r="L1377" s="3">
        <v>261.63</v>
      </c>
      <c r="M1377" s="4" t="s">
        <v>1255</v>
      </c>
      <c r="N1377" s="3">
        <v>2725.7654000000002</v>
      </c>
    </row>
    <row r="1378" spans="1:14" x14ac:dyDescent="0.35">
      <c r="A1378">
        <v>2316</v>
      </c>
      <c r="B1378" s="4" t="s">
        <v>805</v>
      </c>
      <c r="C1378" s="4" t="s">
        <v>404</v>
      </c>
      <c r="D1378" s="4" t="s">
        <v>32</v>
      </c>
      <c r="E1378">
        <v>4</v>
      </c>
      <c r="F1378" s="3">
        <v>1529.48</v>
      </c>
      <c r="G1378" s="2">
        <v>0.64546153846153898</v>
      </c>
      <c r="H1378" s="3">
        <v>0</v>
      </c>
      <c r="I1378" s="1">
        <v>45410</v>
      </c>
      <c r="J1378" s="4" t="s">
        <v>11</v>
      </c>
      <c r="K1378" s="4" t="s">
        <v>8</v>
      </c>
      <c r="L1378" s="3">
        <v>1325.56</v>
      </c>
      <c r="M1378" s="4" t="s">
        <v>1255</v>
      </c>
      <c r="N1378" s="3">
        <v>6117.92</v>
      </c>
    </row>
    <row r="1379" spans="1:14" x14ac:dyDescent="0.35">
      <c r="A1379">
        <v>2317</v>
      </c>
      <c r="B1379" s="4" t="s">
        <v>1001</v>
      </c>
      <c r="C1379" s="4" t="s">
        <v>329</v>
      </c>
      <c r="D1379" s="4" t="s">
        <v>29</v>
      </c>
      <c r="E1379">
        <v>0</v>
      </c>
      <c r="F1379" s="3">
        <v>1005.41</v>
      </c>
      <c r="G1379" s="2">
        <v>0.64546153846153898</v>
      </c>
      <c r="H1379" s="3">
        <v>0</v>
      </c>
      <c r="I1379" s="1">
        <v>45814</v>
      </c>
      <c r="J1379" s="4" t="s">
        <v>7</v>
      </c>
      <c r="K1379" s="4" t="s">
        <v>8</v>
      </c>
      <c r="L1379" s="3">
        <v>566.17999999999995</v>
      </c>
      <c r="M1379" s="4" t="s">
        <v>1255</v>
      </c>
      <c r="N1379" s="3">
        <v>0</v>
      </c>
    </row>
    <row r="1380" spans="1:14" x14ac:dyDescent="0.35">
      <c r="A1380">
        <v>2318</v>
      </c>
      <c r="B1380" s="4" t="s">
        <v>54</v>
      </c>
      <c r="C1380" s="4" t="s">
        <v>163</v>
      </c>
      <c r="D1380" s="4" t="s">
        <v>15</v>
      </c>
      <c r="E1380">
        <v>0</v>
      </c>
      <c r="F1380" s="3">
        <v>2727.7492999999999</v>
      </c>
      <c r="G1380" s="2">
        <v>0.64546153846153898</v>
      </c>
      <c r="H1380" s="3">
        <v>0</v>
      </c>
      <c r="I1380" s="1">
        <v>45760</v>
      </c>
      <c r="J1380" s="4" t="s">
        <v>23</v>
      </c>
      <c r="K1380" s="4" t="s">
        <v>8</v>
      </c>
      <c r="L1380" s="3">
        <v>1145.48</v>
      </c>
      <c r="M1380" s="4" t="s">
        <v>1255</v>
      </c>
      <c r="N1380" s="3">
        <v>0</v>
      </c>
    </row>
    <row r="1381" spans="1:14" hidden="1" x14ac:dyDescent="0.35">
      <c r="A1381">
        <v>2319</v>
      </c>
      <c r="B1381" s="4" t="s">
        <v>705</v>
      </c>
      <c r="C1381" s="4" t="s">
        <v>633</v>
      </c>
      <c r="D1381" s="4" t="s">
        <v>25</v>
      </c>
      <c r="E1381">
        <v>0</v>
      </c>
      <c r="F1381" s="3">
        <v>881.41</v>
      </c>
      <c r="G1381" s="2">
        <v>1.22</v>
      </c>
      <c r="H1381" s="3">
        <v>0</v>
      </c>
      <c r="I1381" s="1">
        <v>45760</v>
      </c>
      <c r="J1381" s="4" t="s">
        <v>20</v>
      </c>
      <c r="K1381" s="4" t="s">
        <v>40</v>
      </c>
      <c r="L1381" s="3">
        <v>1541.77</v>
      </c>
      <c r="M1381" s="4" t="s">
        <v>1255</v>
      </c>
      <c r="N1381" s="3">
        <v>0</v>
      </c>
    </row>
    <row r="1382" spans="1:14" x14ac:dyDescent="0.35">
      <c r="A1382">
        <v>2320</v>
      </c>
      <c r="B1382" s="4" t="s">
        <v>164</v>
      </c>
      <c r="C1382" s="4" t="s">
        <v>293</v>
      </c>
      <c r="D1382" s="4" t="s">
        <v>21</v>
      </c>
      <c r="E1382">
        <v>0</v>
      </c>
      <c r="F1382" s="3">
        <v>2730.6102999999998</v>
      </c>
      <c r="G1382" s="2">
        <v>1.27</v>
      </c>
      <c r="H1382" s="3">
        <v>0</v>
      </c>
      <c r="I1382" s="1">
        <v>45505</v>
      </c>
      <c r="J1382" s="4" t="s">
        <v>23</v>
      </c>
      <c r="K1382" s="4" t="s">
        <v>8</v>
      </c>
      <c r="L1382" s="3">
        <v>1960.76</v>
      </c>
      <c r="M1382" s="4" t="s">
        <v>1255</v>
      </c>
      <c r="N1382" s="3">
        <v>0</v>
      </c>
    </row>
    <row r="1383" spans="1:14" x14ac:dyDescent="0.35">
      <c r="A1383">
        <v>2321</v>
      </c>
      <c r="B1383" s="4" t="s">
        <v>282</v>
      </c>
      <c r="C1383" s="4" t="s">
        <v>429</v>
      </c>
      <c r="D1383" s="4" t="s">
        <v>22</v>
      </c>
      <c r="E1383">
        <v>0</v>
      </c>
      <c r="F1383" s="3">
        <v>2733.6871999999998</v>
      </c>
      <c r="G1383" s="2">
        <v>0.64237113402061896</v>
      </c>
      <c r="H1383" s="3">
        <v>0</v>
      </c>
      <c r="I1383" s="1">
        <v>45742</v>
      </c>
      <c r="J1383" s="4" t="s">
        <v>20</v>
      </c>
      <c r="K1383" s="4" t="s">
        <v>12</v>
      </c>
      <c r="L1383" s="3">
        <v>1864.22</v>
      </c>
      <c r="M1383" s="4" t="s">
        <v>1255</v>
      </c>
      <c r="N1383" s="3">
        <v>0</v>
      </c>
    </row>
    <row r="1384" spans="1:14" hidden="1" x14ac:dyDescent="0.35">
      <c r="A1384">
        <v>2322</v>
      </c>
      <c r="B1384" s="4" t="s">
        <v>43</v>
      </c>
      <c r="C1384" s="4" t="s">
        <v>293</v>
      </c>
      <c r="D1384" s="4" t="s">
        <v>15</v>
      </c>
      <c r="E1384">
        <v>0</v>
      </c>
      <c r="F1384" s="3">
        <v>2733.6871999999998</v>
      </c>
      <c r="G1384" s="2">
        <v>0.98</v>
      </c>
      <c r="H1384" s="3">
        <v>0</v>
      </c>
      <c r="I1384" s="1">
        <v>45742</v>
      </c>
      <c r="J1384" s="4" t="s">
        <v>20</v>
      </c>
      <c r="K1384" s="4" t="s">
        <v>40</v>
      </c>
      <c r="L1384" s="3">
        <v>195.27</v>
      </c>
      <c r="M1384" s="4" t="s">
        <v>1255</v>
      </c>
      <c r="N1384" s="3">
        <v>0</v>
      </c>
    </row>
    <row r="1385" spans="1:14" hidden="1" x14ac:dyDescent="0.35">
      <c r="A1385">
        <v>2323</v>
      </c>
      <c r="B1385" s="4" t="s">
        <v>125</v>
      </c>
      <c r="C1385" s="4" t="s">
        <v>82</v>
      </c>
      <c r="D1385" s="4" t="s">
        <v>21</v>
      </c>
      <c r="E1385">
        <v>0</v>
      </c>
      <c r="F1385" s="3">
        <v>2733.6871999999998</v>
      </c>
      <c r="G1385" s="2">
        <v>0.64149870801033604</v>
      </c>
      <c r="H1385" s="3">
        <v>0</v>
      </c>
      <c r="I1385" s="1">
        <v>45694</v>
      </c>
      <c r="J1385" s="4" t="s">
        <v>20</v>
      </c>
      <c r="K1385" s="4" t="s">
        <v>40</v>
      </c>
      <c r="L1385" s="3">
        <v>2903.66</v>
      </c>
      <c r="M1385" s="4" t="s">
        <v>1255</v>
      </c>
      <c r="N1385" s="3">
        <v>0</v>
      </c>
    </row>
    <row r="1386" spans="1:14" x14ac:dyDescent="0.35">
      <c r="A1386">
        <v>2325</v>
      </c>
      <c r="B1386" s="4" t="s">
        <v>791</v>
      </c>
      <c r="C1386" s="4" t="s">
        <v>1002</v>
      </c>
      <c r="D1386" s="4" t="s">
        <v>31</v>
      </c>
      <c r="E1386">
        <v>1</v>
      </c>
      <c r="F1386" s="3">
        <v>2733.6871999999998</v>
      </c>
      <c r="G1386" s="2">
        <v>1.19</v>
      </c>
      <c r="H1386" s="3">
        <v>0</v>
      </c>
      <c r="I1386" s="1">
        <v>45694</v>
      </c>
      <c r="J1386" s="4" t="s">
        <v>18</v>
      </c>
      <c r="K1386" s="4" t="s">
        <v>12</v>
      </c>
      <c r="L1386" s="3">
        <v>1634.79</v>
      </c>
      <c r="M1386" s="4" t="s">
        <v>1255</v>
      </c>
      <c r="N1386" s="3">
        <v>2733.6871999999998</v>
      </c>
    </row>
    <row r="1387" spans="1:14" x14ac:dyDescent="0.35">
      <c r="A1387">
        <v>2326</v>
      </c>
      <c r="B1387" s="4" t="s">
        <v>183</v>
      </c>
      <c r="C1387" s="4" t="s">
        <v>44</v>
      </c>
      <c r="D1387" s="4" t="s">
        <v>22</v>
      </c>
      <c r="E1387">
        <v>0</v>
      </c>
      <c r="F1387" s="3">
        <v>1718.14</v>
      </c>
      <c r="G1387" s="2">
        <v>0.64007772020725395</v>
      </c>
      <c r="H1387" s="3">
        <v>0</v>
      </c>
      <c r="I1387" s="1">
        <v>45736</v>
      </c>
      <c r="J1387" s="4" t="s">
        <v>9</v>
      </c>
      <c r="K1387" s="4" t="s">
        <v>12</v>
      </c>
      <c r="L1387" s="3">
        <v>1309.05</v>
      </c>
      <c r="M1387" s="4" t="s">
        <v>1255</v>
      </c>
      <c r="N1387" s="3">
        <v>0</v>
      </c>
    </row>
    <row r="1388" spans="1:14" x14ac:dyDescent="0.35">
      <c r="A1388">
        <v>2327</v>
      </c>
      <c r="B1388" s="4" t="s">
        <v>575</v>
      </c>
      <c r="C1388" s="4" t="s">
        <v>701</v>
      </c>
      <c r="D1388" s="4" t="s">
        <v>38</v>
      </c>
      <c r="E1388">
        <v>-2</v>
      </c>
      <c r="F1388" s="3">
        <v>2733.6871999999998</v>
      </c>
      <c r="G1388" s="2">
        <v>0.76</v>
      </c>
      <c r="H1388" s="3">
        <v>0</v>
      </c>
      <c r="I1388" s="1">
        <v>45714</v>
      </c>
      <c r="J1388" s="4" t="s">
        <v>20</v>
      </c>
      <c r="K1388" s="4" t="s">
        <v>8</v>
      </c>
      <c r="L1388" s="3">
        <v>-357.33</v>
      </c>
      <c r="M1388" s="4" t="s">
        <v>1255</v>
      </c>
      <c r="N1388" s="3">
        <v>-5467.3743999999997</v>
      </c>
    </row>
    <row r="1389" spans="1:14" x14ac:dyDescent="0.35">
      <c r="A1389">
        <v>2328</v>
      </c>
      <c r="B1389" s="4" t="s">
        <v>370</v>
      </c>
      <c r="C1389" s="4" t="s">
        <v>419</v>
      </c>
      <c r="D1389" s="4" t="s">
        <v>16</v>
      </c>
      <c r="E1389">
        <v>0</v>
      </c>
      <c r="F1389" s="3">
        <v>2735.3798000000002</v>
      </c>
      <c r="G1389" s="2">
        <v>0.63976623376623398</v>
      </c>
      <c r="H1389" s="3">
        <v>0</v>
      </c>
      <c r="I1389" s="1">
        <v>45714</v>
      </c>
      <c r="J1389" s="4" t="s">
        <v>11</v>
      </c>
      <c r="K1389" s="4" t="s">
        <v>8</v>
      </c>
      <c r="L1389" s="3">
        <v>1385.5</v>
      </c>
      <c r="M1389" s="4" t="s">
        <v>1255</v>
      </c>
      <c r="N1389" s="3">
        <v>0</v>
      </c>
    </row>
    <row r="1390" spans="1:14" x14ac:dyDescent="0.35">
      <c r="A1390">
        <v>2330</v>
      </c>
      <c r="B1390" s="4" t="s">
        <v>213</v>
      </c>
      <c r="C1390" s="4" t="s">
        <v>954</v>
      </c>
      <c r="D1390" s="4" t="s">
        <v>29</v>
      </c>
      <c r="E1390">
        <v>6</v>
      </c>
      <c r="F1390" s="3">
        <v>2735.3798000000002</v>
      </c>
      <c r="G1390" s="2">
        <v>0.53</v>
      </c>
      <c r="H1390" s="3">
        <v>0</v>
      </c>
      <c r="I1390" s="1">
        <v>45782</v>
      </c>
      <c r="J1390" s="4" t="s">
        <v>20</v>
      </c>
      <c r="K1390" s="4" t="s">
        <v>8</v>
      </c>
      <c r="L1390" s="3">
        <v>-44.8</v>
      </c>
      <c r="M1390" s="4" t="s">
        <v>1255</v>
      </c>
      <c r="N1390" s="3">
        <v>16412.2788</v>
      </c>
    </row>
    <row r="1391" spans="1:14" hidden="1" x14ac:dyDescent="0.35">
      <c r="A1391">
        <v>2331</v>
      </c>
      <c r="B1391" s="4" t="s">
        <v>73</v>
      </c>
      <c r="C1391" s="4" t="s">
        <v>726</v>
      </c>
      <c r="D1391" s="4" t="s">
        <v>17</v>
      </c>
      <c r="E1391">
        <v>-2</v>
      </c>
      <c r="F1391" s="3">
        <v>2967.49</v>
      </c>
      <c r="G1391" s="2">
        <v>0.64151436031331599</v>
      </c>
      <c r="H1391" s="3">
        <v>0</v>
      </c>
      <c r="I1391" s="1">
        <v>45781</v>
      </c>
      <c r="J1391" s="4" t="s">
        <v>20</v>
      </c>
      <c r="K1391" s="4" t="s">
        <v>40</v>
      </c>
      <c r="L1391" s="3">
        <v>1890.42</v>
      </c>
      <c r="M1391" s="4" t="s">
        <v>1255</v>
      </c>
      <c r="N1391" s="3">
        <v>-5934.98</v>
      </c>
    </row>
    <row r="1392" spans="1:14" hidden="1" x14ac:dyDescent="0.35">
      <c r="A1392">
        <v>2332</v>
      </c>
      <c r="B1392" s="4" t="s">
        <v>328</v>
      </c>
      <c r="C1392" s="4" t="s">
        <v>82</v>
      </c>
      <c r="D1392" s="4" t="s">
        <v>34</v>
      </c>
      <c r="E1392">
        <v>0</v>
      </c>
      <c r="F1392" s="3">
        <v>4066.97</v>
      </c>
      <c r="G1392" s="2">
        <v>0.59</v>
      </c>
      <c r="H1392" s="3">
        <v>0</v>
      </c>
      <c r="I1392" s="1">
        <v>45806</v>
      </c>
      <c r="J1392" s="4" t="s">
        <v>11</v>
      </c>
      <c r="K1392" s="4" t="s">
        <v>40</v>
      </c>
      <c r="L1392" s="3">
        <v>977.09</v>
      </c>
      <c r="M1392" s="4" t="s">
        <v>1255</v>
      </c>
      <c r="N1392" s="3">
        <v>0</v>
      </c>
    </row>
    <row r="1393" spans="1:14" x14ac:dyDescent="0.35">
      <c r="A1393">
        <v>2333</v>
      </c>
      <c r="B1393" s="4" t="s">
        <v>590</v>
      </c>
      <c r="C1393" s="4" t="s">
        <v>872</v>
      </c>
      <c r="D1393" s="4" t="s">
        <v>17</v>
      </c>
      <c r="E1393">
        <v>0</v>
      </c>
      <c r="F1393" s="3">
        <v>2736.9227000000001</v>
      </c>
      <c r="G1393" s="2">
        <v>0.64164921465968605</v>
      </c>
      <c r="H1393" s="3">
        <v>0</v>
      </c>
      <c r="I1393" s="1">
        <v>45313</v>
      </c>
      <c r="J1393" s="4" t="s">
        <v>9</v>
      </c>
      <c r="K1393" s="4" t="s">
        <v>8</v>
      </c>
      <c r="L1393" s="3">
        <v>761.35</v>
      </c>
      <c r="M1393" s="4" t="s">
        <v>1255</v>
      </c>
      <c r="N1393" s="3">
        <v>0</v>
      </c>
    </row>
    <row r="1394" spans="1:14" x14ac:dyDescent="0.35">
      <c r="A1394">
        <v>2334</v>
      </c>
      <c r="B1394" s="4" t="s">
        <v>187</v>
      </c>
      <c r="C1394" s="4" t="s">
        <v>1003</v>
      </c>
      <c r="D1394" s="4" t="s">
        <v>32</v>
      </c>
      <c r="E1394">
        <v>0</v>
      </c>
      <c r="F1394" s="3">
        <v>2295.4899999999998</v>
      </c>
      <c r="G1394" s="2">
        <v>0.64164921465968605</v>
      </c>
      <c r="H1394" s="3">
        <v>0</v>
      </c>
      <c r="I1394" s="1">
        <v>45313</v>
      </c>
      <c r="J1394" s="4" t="s">
        <v>20</v>
      </c>
      <c r="K1394" s="4" t="s">
        <v>8</v>
      </c>
      <c r="L1394" s="3">
        <v>2846.96</v>
      </c>
      <c r="M1394" s="4" t="s">
        <v>1255</v>
      </c>
      <c r="N1394" s="3">
        <v>0</v>
      </c>
    </row>
    <row r="1395" spans="1:14" x14ac:dyDescent="0.35">
      <c r="A1395">
        <v>2335</v>
      </c>
      <c r="B1395" s="4" t="s">
        <v>71</v>
      </c>
      <c r="C1395" s="4" t="s">
        <v>501</v>
      </c>
      <c r="D1395" s="4" t="s">
        <v>35</v>
      </c>
      <c r="E1395">
        <v>1</v>
      </c>
      <c r="F1395" s="3">
        <v>3508.21</v>
      </c>
      <c r="G1395" s="2">
        <v>0.62</v>
      </c>
      <c r="H1395" s="3">
        <v>1333.12</v>
      </c>
      <c r="I1395" s="1">
        <v>45586</v>
      </c>
      <c r="J1395" s="4" t="s">
        <v>18</v>
      </c>
      <c r="K1395" s="4" t="s">
        <v>12</v>
      </c>
      <c r="L1395" s="3">
        <v>-309.14999999999998</v>
      </c>
      <c r="M1395" s="4" t="s">
        <v>1256</v>
      </c>
      <c r="N1395" s="3">
        <v>3508.21</v>
      </c>
    </row>
    <row r="1396" spans="1:14" x14ac:dyDescent="0.35">
      <c r="A1396">
        <v>2336</v>
      </c>
      <c r="B1396" s="4" t="s">
        <v>136</v>
      </c>
      <c r="C1396" s="4" t="s">
        <v>63</v>
      </c>
      <c r="D1396" s="4" t="s">
        <v>34</v>
      </c>
      <c r="E1396">
        <v>4</v>
      </c>
      <c r="F1396" s="3">
        <v>2735.4317000000001</v>
      </c>
      <c r="G1396" s="2">
        <v>0.64170603674540705</v>
      </c>
      <c r="H1396" s="3">
        <v>0</v>
      </c>
      <c r="I1396" s="1">
        <v>45587</v>
      </c>
      <c r="J1396" s="4" t="s">
        <v>9</v>
      </c>
      <c r="K1396" s="4" t="s">
        <v>8</v>
      </c>
      <c r="L1396" s="3">
        <v>1339.62</v>
      </c>
      <c r="M1396" s="4" t="s">
        <v>1255</v>
      </c>
      <c r="N1396" s="3">
        <v>10941.7268</v>
      </c>
    </row>
    <row r="1397" spans="1:14" x14ac:dyDescent="0.35">
      <c r="A1397">
        <v>2337</v>
      </c>
      <c r="B1397" s="4" t="s">
        <v>1004</v>
      </c>
      <c r="C1397" s="4" t="s">
        <v>598</v>
      </c>
      <c r="D1397" s="4" t="s">
        <v>16</v>
      </c>
      <c r="E1397">
        <v>0</v>
      </c>
      <c r="F1397" s="3">
        <v>1295.44</v>
      </c>
      <c r="G1397" s="2">
        <v>0.64170603674540705</v>
      </c>
      <c r="H1397" s="3">
        <v>0</v>
      </c>
      <c r="I1397" s="1">
        <v>45704</v>
      </c>
      <c r="J1397" s="4" t="s">
        <v>9</v>
      </c>
      <c r="K1397" s="4" t="s">
        <v>8</v>
      </c>
      <c r="L1397" s="3">
        <v>1552.41</v>
      </c>
      <c r="M1397" s="4" t="s">
        <v>1255</v>
      </c>
      <c r="N1397" s="3">
        <v>0</v>
      </c>
    </row>
    <row r="1398" spans="1:14" x14ac:dyDescent="0.35">
      <c r="A1398">
        <v>2338</v>
      </c>
      <c r="B1398" s="4" t="s">
        <v>132</v>
      </c>
      <c r="C1398" s="4" t="s">
        <v>694</v>
      </c>
      <c r="D1398" s="4" t="s">
        <v>25</v>
      </c>
      <c r="E1398">
        <v>5</v>
      </c>
      <c r="F1398" s="3">
        <v>1378.76</v>
      </c>
      <c r="G1398" s="2">
        <v>0.19</v>
      </c>
      <c r="H1398" s="3">
        <v>5583.98</v>
      </c>
      <c r="I1398" s="1">
        <v>45699</v>
      </c>
      <c r="J1398" s="4" t="s">
        <v>11</v>
      </c>
      <c r="K1398" s="4" t="s">
        <v>12</v>
      </c>
      <c r="L1398" s="3">
        <v>2284.9699999999998</v>
      </c>
      <c r="M1398" s="4" t="s">
        <v>1256</v>
      </c>
      <c r="N1398" s="3">
        <v>6893.8</v>
      </c>
    </row>
    <row r="1399" spans="1:14" x14ac:dyDescent="0.35">
      <c r="A1399">
        <v>2339</v>
      </c>
      <c r="B1399" s="4" t="s">
        <v>224</v>
      </c>
      <c r="C1399" s="4" t="s">
        <v>253</v>
      </c>
      <c r="D1399" s="4" t="s">
        <v>32</v>
      </c>
      <c r="E1399">
        <v>1</v>
      </c>
      <c r="F1399" s="3">
        <v>1289.24</v>
      </c>
      <c r="G1399" s="2">
        <v>0.64289473684210596</v>
      </c>
      <c r="H1399" s="3">
        <v>0</v>
      </c>
      <c r="I1399" s="1">
        <v>45595</v>
      </c>
      <c r="J1399" s="4" t="s">
        <v>11</v>
      </c>
      <c r="K1399" s="4" t="s">
        <v>12</v>
      </c>
      <c r="L1399" s="3">
        <v>555.48</v>
      </c>
      <c r="M1399" s="4" t="s">
        <v>1255</v>
      </c>
      <c r="N1399" s="3">
        <v>1289.24</v>
      </c>
    </row>
    <row r="1400" spans="1:14" x14ac:dyDescent="0.35">
      <c r="A1400">
        <v>2340</v>
      </c>
      <c r="B1400" s="4" t="s">
        <v>330</v>
      </c>
      <c r="C1400" s="4" t="s">
        <v>402</v>
      </c>
      <c r="D1400" s="4" t="s">
        <v>38</v>
      </c>
      <c r="E1400">
        <v>-2</v>
      </c>
      <c r="F1400" s="3">
        <v>2738.8447000000001</v>
      </c>
      <c r="G1400" s="2">
        <v>0.64289473684210596</v>
      </c>
      <c r="H1400" s="3">
        <v>0</v>
      </c>
      <c r="I1400" s="1">
        <v>45595</v>
      </c>
      <c r="J1400" s="4" t="s">
        <v>23</v>
      </c>
      <c r="K1400" s="4" t="s">
        <v>12</v>
      </c>
      <c r="L1400" s="3">
        <v>345.45</v>
      </c>
      <c r="M1400" s="4" t="s">
        <v>1255</v>
      </c>
      <c r="N1400" s="3">
        <v>-5477.6894000000002</v>
      </c>
    </row>
    <row r="1401" spans="1:14" x14ac:dyDescent="0.35">
      <c r="A1401">
        <v>2341</v>
      </c>
      <c r="B1401" s="4" t="s">
        <v>58</v>
      </c>
      <c r="C1401" s="4" t="s">
        <v>1005</v>
      </c>
      <c r="D1401" s="4" t="s">
        <v>26</v>
      </c>
      <c r="E1401">
        <v>0</v>
      </c>
      <c r="F1401" s="3">
        <v>2741.2934</v>
      </c>
      <c r="G1401" s="2">
        <v>0.59</v>
      </c>
      <c r="H1401" s="3">
        <v>0</v>
      </c>
      <c r="I1401" s="1">
        <v>45609</v>
      </c>
      <c r="J1401" s="4" t="s">
        <v>9</v>
      </c>
      <c r="K1401" s="4" t="s">
        <v>8</v>
      </c>
      <c r="L1401" s="3">
        <v>259.57</v>
      </c>
      <c r="M1401" s="4" t="s">
        <v>1255</v>
      </c>
      <c r="N1401" s="3">
        <v>0</v>
      </c>
    </row>
    <row r="1402" spans="1:14" x14ac:dyDescent="0.35">
      <c r="A1402">
        <v>2342</v>
      </c>
      <c r="B1402" s="4" t="s">
        <v>77</v>
      </c>
      <c r="C1402" s="4" t="s">
        <v>95</v>
      </c>
      <c r="D1402" s="4" t="s">
        <v>37</v>
      </c>
      <c r="E1402">
        <v>0</v>
      </c>
      <c r="F1402" s="3">
        <v>1042.4100000000001</v>
      </c>
      <c r="G1402" s="2">
        <v>0.64303430079155699</v>
      </c>
      <c r="H1402" s="3">
        <v>0</v>
      </c>
      <c r="I1402" s="1">
        <v>45322</v>
      </c>
      <c r="J1402" s="4" t="s">
        <v>9</v>
      </c>
      <c r="K1402" s="4" t="s">
        <v>8</v>
      </c>
      <c r="L1402" s="3">
        <v>2778.49</v>
      </c>
      <c r="M1402" s="4" t="s">
        <v>1255</v>
      </c>
      <c r="N1402" s="3">
        <v>0</v>
      </c>
    </row>
    <row r="1403" spans="1:14" hidden="1" x14ac:dyDescent="0.35">
      <c r="A1403">
        <v>2343</v>
      </c>
      <c r="B1403" s="4" t="s">
        <v>672</v>
      </c>
      <c r="C1403" s="4" t="s">
        <v>881</v>
      </c>
      <c r="D1403" s="4" t="s">
        <v>6</v>
      </c>
      <c r="E1403">
        <v>0</v>
      </c>
      <c r="F1403" s="3">
        <v>2741.2934</v>
      </c>
      <c r="G1403" s="2">
        <v>0.64303430079155699</v>
      </c>
      <c r="H1403" s="3">
        <v>0</v>
      </c>
      <c r="I1403" s="1">
        <v>45795</v>
      </c>
      <c r="J1403" s="4" t="s">
        <v>9</v>
      </c>
      <c r="K1403" s="4" t="s">
        <v>40</v>
      </c>
      <c r="L1403" s="3">
        <v>2829.76</v>
      </c>
      <c r="M1403" s="4" t="s">
        <v>1255</v>
      </c>
      <c r="N1403" s="3">
        <v>0</v>
      </c>
    </row>
    <row r="1404" spans="1:14" hidden="1" x14ac:dyDescent="0.35">
      <c r="A1404">
        <v>2344</v>
      </c>
      <c r="B1404" s="4" t="s">
        <v>214</v>
      </c>
      <c r="C1404" s="4" t="s">
        <v>139</v>
      </c>
      <c r="D1404" s="4" t="s">
        <v>6</v>
      </c>
      <c r="E1404">
        <v>0</v>
      </c>
      <c r="F1404" s="3">
        <v>2744.1680000000001</v>
      </c>
      <c r="G1404" s="2">
        <v>1.0900000000000001</v>
      </c>
      <c r="H1404" s="3">
        <v>0</v>
      </c>
      <c r="I1404" s="1">
        <v>45833</v>
      </c>
      <c r="J1404" s="4" t="s">
        <v>23</v>
      </c>
      <c r="K1404" s="4" t="s">
        <v>40</v>
      </c>
      <c r="L1404" s="3">
        <v>1854.64</v>
      </c>
      <c r="M1404" s="4" t="s">
        <v>1255</v>
      </c>
      <c r="N1404" s="3">
        <v>0</v>
      </c>
    </row>
    <row r="1405" spans="1:14" x14ac:dyDescent="0.35">
      <c r="A1405">
        <v>2345</v>
      </c>
      <c r="B1405" s="4" t="s">
        <v>246</v>
      </c>
      <c r="C1405" s="4" t="s">
        <v>142</v>
      </c>
      <c r="D1405" s="4" t="s">
        <v>6</v>
      </c>
      <c r="E1405">
        <v>1</v>
      </c>
      <c r="F1405" s="3">
        <v>1095.03</v>
      </c>
      <c r="G1405" s="2">
        <v>0.64185185185185201</v>
      </c>
      <c r="H1405" s="3">
        <v>0</v>
      </c>
      <c r="I1405" s="1">
        <v>45645</v>
      </c>
      <c r="J1405" s="4" t="s">
        <v>9</v>
      </c>
      <c r="K1405" s="4" t="s">
        <v>8</v>
      </c>
      <c r="L1405" s="3">
        <v>1317.75</v>
      </c>
      <c r="M1405" s="4" t="s">
        <v>1255</v>
      </c>
      <c r="N1405" s="3">
        <v>1095.03</v>
      </c>
    </row>
    <row r="1406" spans="1:14" x14ac:dyDescent="0.35">
      <c r="A1406">
        <v>2346</v>
      </c>
      <c r="B1406" s="4" t="s">
        <v>65</v>
      </c>
      <c r="C1406" s="4" t="s">
        <v>414</v>
      </c>
      <c r="D1406" s="4" t="s">
        <v>16</v>
      </c>
      <c r="E1406">
        <v>-2</v>
      </c>
      <c r="F1406" s="3">
        <v>4922.99</v>
      </c>
      <c r="G1406" s="2">
        <v>0.64185185185185201</v>
      </c>
      <c r="H1406" s="3">
        <v>0</v>
      </c>
      <c r="I1406" s="1">
        <v>45612</v>
      </c>
      <c r="J1406" s="4" t="s">
        <v>18</v>
      </c>
      <c r="K1406" s="4" t="s">
        <v>12</v>
      </c>
      <c r="L1406" s="3">
        <v>-712.37</v>
      </c>
      <c r="M1406" s="4" t="s">
        <v>1255</v>
      </c>
      <c r="N1406" s="3">
        <v>-9845.98</v>
      </c>
    </row>
    <row r="1407" spans="1:14" x14ac:dyDescent="0.35">
      <c r="A1407">
        <v>2347</v>
      </c>
      <c r="B1407" s="4" t="s">
        <v>164</v>
      </c>
      <c r="C1407" s="4" t="s">
        <v>332</v>
      </c>
      <c r="D1407" s="4" t="s">
        <v>17</v>
      </c>
      <c r="E1407">
        <v>0</v>
      </c>
      <c r="F1407" s="3">
        <v>1207.99</v>
      </c>
      <c r="G1407" s="2">
        <v>0.64185185185185201</v>
      </c>
      <c r="H1407" s="3">
        <v>0</v>
      </c>
      <c r="I1407" s="1">
        <v>45723</v>
      </c>
      <c r="J1407" s="4" t="s">
        <v>18</v>
      </c>
      <c r="K1407" s="4" t="s">
        <v>8</v>
      </c>
      <c r="L1407" s="3">
        <v>2195.11</v>
      </c>
      <c r="M1407" s="4" t="s">
        <v>1255</v>
      </c>
      <c r="N1407" s="3">
        <v>0</v>
      </c>
    </row>
    <row r="1408" spans="1:14" hidden="1" x14ac:dyDescent="0.35">
      <c r="A1408">
        <v>2348</v>
      </c>
      <c r="B1408" s="4" t="s">
        <v>93</v>
      </c>
      <c r="C1408" s="4" t="s">
        <v>411</v>
      </c>
      <c r="D1408" s="4" t="s">
        <v>29</v>
      </c>
      <c r="E1408">
        <v>0</v>
      </c>
      <c r="F1408" s="3">
        <v>2743.2687000000001</v>
      </c>
      <c r="G1408" s="2">
        <v>0.64185185185185201</v>
      </c>
      <c r="H1408" s="3">
        <v>0</v>
      </c>
      <c r="I1408" s="1">
        <v>45574</v>
      </c>
      <c r="J1408" s="4" t="s">
        <v>20</v>
      </c>
      <c r="K1408" s="4" t="s">
        <v>40</v>
      </c>
      <c r="L1408" s="3">
        <v>371.77</v>
      </c>
      <c r="M1408" s="4" t="s">
        <v>1255</v>
      </c>
      <c r="N1408" s="3">
        <v>0</v>
      </c>
    </row>
    <row r="1409" spans="1:14" x14ac:dyDescent="0.35">
      <c r="A1409">
        <v>2349</v>
      </c>
      <c r="B1409" s="4" t="s">
        <v>93</v>
      </c>
      <c r="C1409" s="4" t="s">
        <v>1006</v>
      </c>
      <c r="D1409" s="4" t="s">
        <v>10</v>
      </c>
      <c r="E1409">
        <v>0</v>
      </c>
      <c r="F1409" s="3">
        <v>2745.8797</v>
      </c>
      <c r="G1409" s="2">
        <v>0.34</v>
      </c>
      <c r="H1409" s="3">
        <v>0</v>
      </c>
      <c r="I1409" s="1">
        <v>45505</v>
      </c>
      <c r="J1409" s="4" t="s">
        <v>7</v>
      </c>
      <c r="K1409" s="4" t="s">
        <v>12</v>
      </c>
      <c r="L1409" s="3">
        <v>-496.94</v>
      </c>
      <c r="M1409" s="4" t="s">
        <v>1255</v>
      </c>
      <c r="N1409" s="3">
        <v>0</v>
      </c>
    </row>
    <row r="1410" spans="1:14" x14ac:dyDescent="0.35">
      <c r="A1410">
        <v>2350</v>
      </c>
      <c r="B1410" s="4" t="s">
        <v>627</v>
      </c>
      <c r="C1410" s="4" t="s">
        <v>1007</v>
      </c>
      <c r="D1410" s="4" t="s">
        <v>38</v>
      </c>
      <c r="E1410">
        <v>-1</v>
      </c>
      <c r="F1410" s="3">
        <v>3148.46</v>
      </c>
      <c r="G1410" s="2">
        <v>0.64265251989390004</v>
      </c>
      <c r="H1410" s="3">
        <v>0</v>
      </c>
      <c r="I1410" s="1">
        <v>45192</v>
      </c>
      <c r="J1410" s="4" t="s">
        <v>18</v>
      </c>
      <c r="K1410" s="4" t="s">
        <v>12</v>
      </c>
      <c r="L1410" s="3">
        <v>-165.49</v>
      </c>
      <c r="M1410" s="4" t="s">
        <v>1255</v>
      </c>
      <c r="N1410" s="3">
        <v>-3148.46</v>
      </c>
    </row>
    <row r="1411" spans="1:14" hidden="1" x14ac:dyDescent="0.35">
      <c r="A1411">
        <v>2351</v>
      </c>
      <c r="B1411" s="4" t="s">
        <v>1008</v>
      </c>
      <c r="C1411" s="4" t="s">
        <v>173</v>
      </c>
      <c r="D1411" s="4" t="s">
        <v>17</v>
      </c>
      <c r="E1411">
        <v>-1</v>
      </c>
      <c r="F1411" s="3">
        <v>1875.17</v>
      </c>
      <c r="G1411" s="2">
        <v>0.64265251989390004</v>
      </c>
      <c r="H1411" s="3">
        <v>0</v>
      </c>
      <c r="I1411" s="1">
        <v>45192</v>
      </c>
      <c r="J1411" s="4" t="s">
        <v>9</v>
      </c>
      <c r="K1411" s="4" t="s">
        <v>40</v>
      </c>
      <c r="L1411" s="3">
        <v>1406.99</v>
      </c>
      <c r="M1411" s="4" t="s">
        <v>1255</v>
      </c>
      <c r="N1411" s="3">
        <v>-1875.17</v>
      </c>
    </row>
    <row r="1412" spans="1:14" hidden="1" x14ac:dyDescent="0.35">
      <c r="A1412">
        <v>2352</v>
      </c>
      <c r="B1412" s="4" t="s">
        <v>661</v>
      </c>
      <c r="C1412" s="4" t="s">
        <v>1009</v>
      </c>
      <c r="D1412" s="4" t="s">
        <v>24</v>
      </c>
      <c r="E1412">
        <v>0</v>
      </c>
      <c r="F1412" s="3">
        <v>2745.1939000000002</v>
      </c>
      <c r="G1412" s="2">
        <v>1.18</v>
      </c>
      <c r="H1412" s="3">
        <v>0</v>
      </c>
      <c r="I1412" s="1">
        <v>45192</v>
      </c>
      <c r="J1412" s="4" t="s">
        <v>20</v>
      </c>
      <c r="K1412" s="4" t="s">
        <v>40</v>
      </c>
      <c r="L1412" s="3">
        <v>590.80999999999995</v>
      </c>
      <c r="M1412" s="4" t="s">
        <v>1255</v>
      </c>
      <c r="N1412" s="3">
        <v>0</v>
      </c>
    </row>
    <row r="1413" spans="1:14" hidden="1" x14ac:dyDescent="0.35">
      <c r="A1413">
        <v>2353</v>
      </c>
      <c r="B1413" s="4" t="s">
        <v>62</v>
      </c>
      <c r="C1413" s="4" t="s">
        <v>345</v>
      </c>
      <c r="D1413" s="4" t="s">
        <v>29</v>
      </c>
      <c r="E1413">
        <v>-1</v>
      </c>
      <c r="F1413" s="3">
        <v>2746.6785</v>
      </c>
      <c r="G1413" s="2">
        <v>0.64122340425531998</v>
      </c>
      <c r="H1413" s="3">
        <v>0</v>
      </c>
      <c r="I1413" s="1">
        <v>45533</v>
      </c>
      <c r="J1413" s="4" t="s">
        <v>23</v>
      </c>
      <c r="K1413" s="4" t="s">
        <v>40</v>
      </c>
      <c r="L1413" s="3">
        <v>-397.76</v>
      </c>
      <c r="M1413" s="4" t="s">
        <v>1255</v>
      </c>
      <c r="N1413" s="3">
        <v>-2746.6785</v>
      </c>
    </row>
    <row r="1414" spans="1:14" x14ac:dyDescent="0.35">
      <c r="A1414">
        <v>2354</v>
      </c>
      <c r="B1414" s="4" t="s">
        <v>758</v>
      </c>
      <c r="C1414" s="4" t="s">
        <v>496</v>
      </c>
      <c r="D1414" s="4" t="s">
        <v>29</v>
      </c>
      <c r="E1414">
        <v>0</v>
      </c>
      <c r="F1414" s="3">
        <v>2746.6785</v>
      </c>
      <c r="G1414" s="2">
        <v>0.64122340425531998</v>
      </c>
      <c r="H1414" s="3">
        <v>0</v>
      </c>
      <c r="I1414" s="1">
        <v>45699</v>
      </c>
      <c r="J1414" s="4" t="s">
        <v>23</v>
      </c>
      <c r="K1414" s="4" t="s">
        <v>12</v>
      </c>
      <c r="L1414" s="3">
        <v>2233.2800000000002</v>
      </c>
      <c r="M1414" s="4" t="s">
        <v>1255</v>
      </c>
      <c r="N1414" s="3">
        <v>0</v>
      </c>
    </row>
    <row r="1415" spans="1:14" x14ac:dyDescent="0.35">
      <c r="A1415">
        <v>2355</v>
      </c>
      <c r="B1415" s="4" t="s">
        <v>224</v>
      </c>
      <c r="C1415" s="4" t="s">
        <v>675</v>
      </c>
      <c r="D1415" s="4" t="s">
        <v>32</v>
      </c>
      <c r="E1415">
        <v>0</v>
      </c>
      <c r="F1415" s="3">
        <v>2746.6785</v>
      </c>
      <c r="G1415" s="2">
        <v>0.14000000000000001</v>
      </c>
      <c r="H1415" s="3">
        <v>0</v>
      </c>
      <c r="I1415" s="1">
        <v>45699</v>
      </c>
      <c r="J1415" s="4" t="s">
        <v>23</v>
      </c>
      <c r="K1415" s="4" t="s">
        <v>12</v>
      </c>
      <c r="L1415" s="3">
        <v>1303.8900000000001</v>
      </c>
      <c r="M1415" s="4" t="s">
        <v>1255</v>
      </c>
      <c r="N1415" s="3">
        <v>0</v>
      </c>
    </row>
    <row r="1416" spans="1:14" x14ac:dyDescent="0.35">
      <c r="A1416">
        <v>2356</v>
      </c>
      <c r="B1416" s="4" t="s">
        <v>569</v>
      </c>
      <c r="C1416" s="4" t="s">
        <v>368</v>
      </c>
      <c r="D1416" s="4" t="s">
        <v>35</v>
      </c>
      <c r="E1416">
        <v>0</v>
      </c>
      <c r="F1416" s="3">
        <v>3412.15</v>
      </c>
      <c r="G1416" s="2">
        <v>0.01</v>
      </c>
      <c r="H1416" s="3">
        <v>0</v>
      </c>
      <c r="I1416" s="1">
        <v>45763</v>
      </c>
      <c r="J1416" s="4" t="s">
        <v>23</v>
      </c>
      <c r="K1416" s="4" t="s">
        <v>12</v>
      </c>
      <c r="L1416" s="3">
        <v>1862.5</v>
      </c>
      <c r="M1416" s="4" t="s">
        <v>1255</v>
      </c>
      <c r="N1416" s="3">
        <v>0</v>
      </c>
    </row>
    <row r="1417" spans="1:14" x14ac:dyDescent="0.35">
      <c r="A1417">
        <v>2357</v>
      </c>
      <c r="B1417" s="4" t="s">
        <v>153</v>
      </c>
      <c r="C1417" s="4" t="s">
        <v>429</v>
      </c>
      <c r="D1417" s="4" t="s">
        <v>32</v>
      </c>
      <c r="E1417">
        <v>5</v>
      </c>
      <c r="F1417" s="3">
        <v>509.54</v>
      </c>
      <c r="G1417" s="2">
        <v>0.64425133689839598</v>
      </c>
      <c r="H1417" s="3">
        <v>0</v>
      </c>
      <c r="I1417" s="1">
        <v>45649</v>
      </c>
      <c r="J1417" s="4" t="s">
        <v>7</v>
      </c>
      <c r="K1417" s="4" t="s">
        <v>8</v>
      </c>
      <c r="L1417" s="3">
        <v>2233.39</v>
      </c>
      <c r="M1417" s="4" t="s">
        <v>1255</v>
      </c>
      <c r="N1417" s="3">
        <v>2547.6999999999998</v>
      </c>
    </row>
    <row r="1418" spans="1:14" x14ac:dyDescent="0.35">
      <c r="A1418">
        <v>2358</v>
      </c>
      <c r="B1418" s="4" t="s">
        <v>219</v>
      </c>
      <c r="C1418" s="4" t="s">
        <v>1010</v>
      </c>
      <c r="D1418" s="4" t="s">
        <v>21</v>
      </c>
      <c r="E1418">
        <v>-1</v>
      </c>
      <c r="F1418" s="3">
        <v>3099.15</v>
      </c>
      <c r="G1418" s="2">
        <v>0.64425133689839598</v>
      </c>
      <c r="H1418" s="3">
        <v>0</v>
      </c>
      <c r="I1418" s="1">
        <v>45649</v>
      </c>
      <c r="J1418" s="4" t="s">
        <v>11</v>
      </c>
      <c r="K1418" s="4" t="s">
        <v>12</v>
      </c>
      <c r="L1418" s="3">
        <v>-860.89</v>
      </c>
      <c r="M1418" s="4" t="s">
        <v>1255</v>
      </c>
      <c r="N1418" s="3">
        <v>-3099.15</v>
      </c>
    </row>
    <row r="1419" spans="1:14" x14ac:dyDescent="0.35">
      <c r="A1419">
        <v>2359</v>
      </c>
      <c r="B1419" s="4" t="s">
        <v>1011</v>
      </c>
      <c r="C1419" s="4" t="s">
        <v>645</v>
      </c>
      <c r="D1419" s="4" t="s">
        <v>13</v>
      </c>
      <c r="E1419">
        <v>-1</v>
      </c>
      <c r="F1419" s="3">
        <v>2749.3697000000002</v>
      </c>
      <c r="G1419" s="2">
        <v>0.64425133689839598</v>
      </c>
      <c r="H1419" s="3">
        <v>0</v>
      </c>
      <c r="I1419" s="1">
        <v>45502</v>
      </c>
      <c r="J1419" s="4" t="s">
        <v>20</v>
      </c>
      <c r="K1419" s="4" t="s">
        <v>8</v>
      </c>
      <c r="L1419" s="3">
        <v>2256.67</v>
      </c>
      <c r="M1419" s="4" t="s">
        <v>1255</v>
      </c>
      <c r="N1419" s="3">
        <v>-2749.3697000000002</v>
      </c>
    </row>
    <row r="1420" spans="1:14" x14ac:dyDescent="0.35">
      <c r="A1420">
        <v>2360</v>
      </c>
      <c r="B1420" s="4" t="s">
        <v>93</v>
      </c>
      <c r="C1420" s="4" t="s">
        <v>388</v>
      </c>
      <c r="D1420" s="4" t="s">
        <v>33</v>
      </c>
      <c r="E1420">
        <v>5</v>
      </c>
      <c r="F1420" s="3">
        <v>2748.7698</v>
      </c>
      <c r="G1420" s="2">
        <v>0.64425133689839598</v>
      </c>
      <c r="H1420" s="3">
        <v>0</v>
      </c>
      <c r="I1420" s="1">
        <v>45842</v>
      </c>
      <c r="J1420" s="4" t="s">
        <v>20</v>
      </c>
      <c r="K1420" s="4" t="s">
        <v>8</v>
      </c>
      <c r="L1420" s="3">
        <v>829.94</v>
      </c>
      <c r="M1420" s="4" t="s">
        <v>1255</v>
      </c>
      <c r="N1420" s="3">
        <v>13743.849</v>
      </c>
    </row>
    <row r="1421" spans="1:14" hidden="1" x14ac:dyDescent="0.35">
      <c r="A1421">
        <v>2361</v>
      </c>
      <c r="B1421" s="4" t="s">
        <v>167</v>
      </c>
      <c r="C1421" s="4" t="s">
        <v>329</v>
      </c>
      <c r="D1421" s="4" t="s">
        <v>15</v>
      </c>
      <c r="E1421">
        <v>0</v>
      </c>
      <c r="F1421" s="3">
        <v>899.41</v>
      </c>
      <c r="G1421" s="2">
        <v>0.64425133689839598</v>
      </c>
      <c r="H1421" s="3">
        <v>0</v>
      </c>
      <c r="I1421" s="1">
        <v>45622</v>
      </c>
      <c r="J1421" s="4" t="s">
        <v>7</v>
      </c>
      <c r="K1421" s="4" t="s">
        <v>40</v>
      </c>
      <c r="L1421" s="3">
        <v>477.1</v>
      </c>
      <c r="M1421" s="4" t="s">
        <v>1255</v>
      </c>
      <c r="N1421" s="3">
        <v>0</v>
      </c>
    </row>
    <row r="1422" spans="1:14" x14ac:dyDescent="0.35">
      <c r="A1422">
        <v>2362</v>
      </c>
      <c r="B1422" s="4" t="s">
        <v>260</v>
      </c>
      <c r="C1422" s="4" t="s">
        <v>528</v>
      </c>
      <c r="D1422" s="4" t="s">
        <v>17</v>
      </c>
      <c r="E1422">
        <v>0</v>
      </c>
      <c r="F1422" s="3">
        <v>2550.98</v>
      </c>
      <c r="G1422" s="2">
        <v>0.64425133689839598</v>
      </c>
      <c r="H1422" s="3">
        <v>0</v>
      </c>
      <c r="I1422" s="1">
        <v>45664</v>
      </c>
      <c r="J1422" s="4" t="s">
        <v>7</v>
      </c>
      <c r="K1422" s="4" t="s">
        <v>12</v>
      </c>
      <c r="L1422" s="3">
        <v>2161.7800000000002</v>
      </c>
      <c r="M1422" s="4" t="s">
        <v>1255</v>
      </c>
      <c r="N1422" s="3">
        <v>0</v>
      </c>
    </row>
    <row r="1423" spans="1:14" x14ac:dyDescent="0.35">
      <c r="A1423">
        <v>2363</v>
      </c>
      <c r="B1423" s="4" t="s">
        <v>1012</v>
      </c>
      <c r="C1423" s="4" t="s">
        <v>1013</v>
      </c>
      <c r="D1423" s="4" t="s">
        <v>16</v>
      </c>
      <c r="E1423">
        <v>-1</v>
      </c>
      <c r="F1423" s="3">
        <v>3640.29</v>
      </c>
      <c r="G1423" s="2">
        <v>0.86</v>
      </c>
      <c r="H1423" s="3">
        <v>-509.64</v>
      </c>
      <c r="I1423" s="1">
        <v>45628</v>
      </c>
      <c r="J1423" s="4" t="s">
        <v>23</v>
      </c>
      <c r="K1423" s="4" t="s">
        <v>8</v>
      </c>
      <c r="L1423" s="3">
        <v>879.32</v>
      </c>
      <c r="M1423" s="4" t="s">
        <v>1255</v>
      </c>
      <c r="N1423" s="3">
        <v>-3640.29</v>
      </c>
    </row>
    <row r="1424" spans="1:14" x14ac:dyDescent="0.35">
      <c r="A1424">
        <v>2364</v>
      </c>
      <c r="B1424" s="4" t="s">
        <v>546</v>
      </c>
      <c r="C1424" s="4" t="s">
        <v>205</v>
      </c>
      <c r="D1424" s="4" t="s">
        <v>35</v>
      </c>
      <c r="E1424">
        <v>0</v>
      </c>
      <c r="F1424" s="3">
        <v>857.68</v>
      </c>
      <c r="G1424" s="2">
        <v>0.643672922252011</v>
      </c>
      <c r="H1424" s="3">
        <v>0</v>
      </c>
      <c r="I1424" s="1">
        <v>45817</v>
      </c>
      <c r="J1424" s="4" t="s">
        <v>11</v>
      </c>
      <c r="K1424" s="4" t="s">
        <v>12</v>
      </c>
      <c r="L1424" s="3">
        <v>1462.91</v>
      </c>
      <c r="M1424" s="4" t="s">
        <v>1255</v>
      </c>
      <c r="N1424" s="3">
        <v>0</v>
      </c>
    </row>
    <row r="1425" spans="1:14" hidden="1" x14ac:dyDescent="0.35">
      <c r="A1425">
        <v>2365</v>
      </c>
      <c r="B1425" s="4" t="s">
        <v>264</v>
      </c>
      <c r="C1425" s="4" t="s">
        <v>234</v>
      </c>
      <c r="D1425" s="4" t="s">
        <v>31</v>
      </c>
      <c r="E1425">
        <v>3</v>
      </c>
      <c r="F1425" s="3">
        <v>2750.7622000000001</v>
      </c>
      <c r="G1425" s="2">
        <v>0.49</v>
      </c>
      <c r="H1425" s="3">
        <v>0</v>
      </c>
      <c r="I1425" s="1">
        <v>45757</v>
      </c>
      <c r="J1425" s="4" t="s">
        <v>23</v>
      </c>
      <c r="K1425" s="4" t="s">
        <v>40</v>
      </c>
      <c r="L1425" s="3">
        <v>1765.39</v>
      </c>
      <c r="M1425" s="4" t="s">
        <v>1255</v>
      </c>
      <c r="N1425" s="3">
        <v>8252.2865999999995</v>
      </c>
    </row>
    <row r="1426" spans="1:14" x14ac:dyDescent="0.35">
      <c r="A1426">
        <v>2366</v>
      </c>
      <c r="B1426" s="4" t="s">
        <v>47</v>
      </c>
      <c r="C1426" s="4" t="s">
        <v>161</v>
      </c>
      <c r="D1426" s="4" t="s">
        <v>22</v>
      </c>
      <c r="E1426">
        <v>6</v>
      </c>
      <c r="F1426" s="3">
        <v>429.37</v>
      </c>
      <c r="G1426" s="2">
        <v>0.64408602150537697</v>
      </c>
      <c r="H1426" s="3">
        <v>0</v>
      </c>
      <c r="I1426" s="1">
        <v>45472</v>
      </c>
      <c r="J1426" s="4" t="s">
        <v>11</v>
      </c>
      <c r="K1426" s="4" t="s">
        <v>12</v>
      </c>
      <c r="L1426" s="3">
        <v>-21.4</v>
      </c>
      <c r="M1426" s="4" t="s">
        <v>1255</v>
      </c>
      <c r="N1426" s="3">
        <v>2576.2199999999998</v>
      </c>
    </row>
    <row r="1427" spans="1:14" hidden="1" x14ac:dyDescent="0.35">
      <c r="A1427">
        <v>2367</v>
      </c>
      <c r="B1427" s="4" t="s">
        <v>1014</v>
      </c>
      <c r="C1427" s="4" t="s">
        <v>1015</v>
      </c>
      <c r="D1427" s="4" t="s">
        <v>22</v>
      </c>
      <c r="E1427">
        <v>3</v>
      </c>
      <c r="F1427" s="3">
        <v>500.41</v>
      </c>
      <c r="G1427" s="2">
        <v>0.64408602150537697</v>
      </c>
      <c r="H1427" s="3">
        <v>0</v>
      </c>
      <c r="I1427" s="1">
        <v>45648</v>
      </c>
      <c r="J1427" s="4" t="s">
        <v>11</v>
      </c>
      <c r="K1427" s="4" t="s">
        <v>40</v>
      </c>
      <c r="L1427" s="3">
        <v>1732.45</v>
      </c>
      <c r="M1427" s="4" t="s">
        <v>1255</v>
      </c>
      <c r="N1427" s="3">
        <v>1501.23</v>
      </c>
    </row>
    <row r="1428" spans="1:14" hidden="1" x14ac:dyDescent="0.35">
      <c r="A1428">
        <v>2368</v>
      </c>
      <c r="B1428" s="4" t="s">
        <v>121</v>
      </c>
      <c r="C1428" s="4" t="s">
        <v>834</v>
      </c>
      <c r="D1428" s="4" t="s">
        <v>14</v>
      </c>
      <c r="E1428">
        <v>0</v>
      </c>
      <c r="F1428" s="3">
        <v>2971.36</v>
      </c>
      <c r="G1428" s="2">
        <v>0.49</v>
      </c>
      <c r="H1428" s="3">
        <v>0</v>
      </c>
      <c r="I1428" s="1">
        <v>45532</v>
      </c>
      <c r="J1428" s="4" t="s">
        <v>9</v>
      </c>
      <c r="K1428" s="4" t="s">
        <v>40</v>
      </c>
      <c r="L1428" s="3">
        <v>153.4</v>
      </c>
      <c r="M1428" s="4" t="s">
        <v>1255</v>
      </c>
      <c r="N1428" s="3">
        <v>0</v>
      </c>
    </row>
    <row r="1429" spans="1:14" x14ac:dyDescent="0.35">
      <c r="A1429">
        <v>2369</v>
      </c>
      <c r="B1429" s="4" t="s">
        <v>566</v>
      </c>
      <c r="C1429" s="4" t="s">
        <v>388</v>
      </c>
      <c r="D1429" s="4" t="s">
        <v>15</v>
      </c>
      <c r="E1429">
        <v>0</v>
      </c>
      <c r="F1429" s="3">
        <v>935.57</v>
      </c>
      <c r="G1429" s="2">
        <v>0.644501347708895</v>
      </c>
      <c r="H1429" s="3">
        <v>0</v>
      </c>
      <c r="I1429" s="1">
        <v>45320</v>
      </c>
      <c r="J1429" s="4" t="s">
        <v>9</v>
      </c>
      <c r="K1429" s="4" t="s">
        <v>12</v>
      </c>
      <c r="L1429" s="3">
        <v>-111.36</v>
      </c>
      <c r="M1429" s="4" t="s">
        <v>1255</v>
      </c>
      <c r="N1429" s="3">
        <v>0</v>
      </c>
    </row>
    <row r="1430" spans="1:14" hidden="1" x14ac:dyDescent="0.35">
      <c r="A1430">
        <v>2370</v>
      </c>
      <c r="B1430" s="4" t="s">
        <v>81</v>
      </c>
      <c r="C1430" s="4" t="s">
        <v>1016</v>
      </c>
      <c r="D1430" s="4" t="s">
        <v>24</v>
      </c>
      <c r="E1430">
        <v>0</v>
      </c>
      <c r="F1430" s="3">
        <v>2761.6028999999999</v>
      </c>
      <c r="G1430" s="2">
        <v>0.644501347708895</v>
      </c>
      <c r="H1430" s="3">
        <v>0</v>
      </c>
      <c r="I1430" s="1">
        <v>45306</v>
      </c>
      <c r="J1430" s="4" t="s">
        <v>11</v>
      </c>
      <c r="K1430" s="4" t="s">
        <v>40</v>
      </c>
      <c r="L1430" s="3">
        <v>2031.95</v>
      </c>
      <c r="M1430" s="4" t="s">
        <v>1255</v>
      </c>
      <c r="N1430" s="3">
        <v>0</v>
      </c>
    </row>
    <row r="1431" spans="1:14" hidden="1" x14ac:dyDescent="0.35">
      <c r="A1431">
        <v>2371</v>
      </c>
      <c r="B1431" s="4" t="s">
        <v>421</v>
      </c>
      <c r="C1431" s="4" t="s">
        <v>354</v>
      </c>
      <c r="D1431" s="4" t="s">
        <v>13</v>
      </c>
      <c r="E1431">
        <v>3</v>
      </c>
      <c r="F1431" s="3">
        <v>4467.25</v>
      </c>
      <c r="G1431" s="2">
        <v>0.644501347708895</v>
      </c>
      <c r="H1431" s="3">
        <v>0</v>
      </c>
      <c r="I1431" s="1">
        <v>45814</v>
      </c>
      <c r="J1431" s="4" t="s">
        <v>23</v>
      </c>
      <c r="K1431" s="4" t="s">
        <v>40</v>
      </c>
      <c r="L1431" s="3">
        <v>2388.5500000000002</v>
      </c>
      <c r="M1431" s="4" t="s">
        <v>1255</v>
      </c>
      <c r="N1431" s="3">
        <v>13401.75</v>
      </c>
    </row>
    <row r="1432" spans="1:14" x14ac:dyDescent="0.35">
      <c r="A1432">
        <v>2372</v>
      </c>
      <c r="B1432" s="4" t="s">
        <v>1017</v>
      </c>
      <c r="C1432" s="4" t="s">
        <v>76</v>
      </c>
      <c r="D1432" s="4" t="s">
        <v>25</v>
      </c>
      <c r="E1432">
        <v>0</v>
      </c>
      <c r="F1432" s="3">
        <v>2764.7786000000001</v>
      </c>
      <c r="G1432" s="2">
        <v>0.644501347708895</v>
      </c>
      <c r="H1432" s="3">
        <v>0</v>
      </c>
      <c r="I1432" s="1">
        <v>45782</v>
      </c>
      <c r="J1432" s="4" t="s">
        <v>7</v>
      </c>
      <c r="K1432" s="4" t="s">
        <v>12</v>
      </c>
      <c r="L1432" s="3">
        <v>-452.24</v>
      </c>
      <c r="M1432" s="4" t="s">
        <v>1255</v>
      </c>
      <c r="N1432" s="3">
        <v>0</v>
      </c>
    </row>
    <row r="1433" spans="1:14" hidden="1" x14ac:dyDescent="0.35">
      <c r="A1433">
        <v>2373</v>
      </c>
      <c r="B1433" s="4" t="s">
        <v>50</v>
      </c>
      <c r="C1433" s="4" t="s">
        <v>580</v>
      </c>
      <c r="D1433" s="4" t="s">
        <v>35</v>
      </c>
      <c r="E1433">
        <v>-2</v>
      </c>
      <c r="F1433" s="3">
        <v>2490.44</v>
      </c>
      <c r="G1433" s="2">
        <v>0.644501347708895</v>
      </c>
      <c r="H1433" s="3">
        <v>0</v>
      </c>
      <c r="I1433" s="1">
        <v>45782</v>
      </c>
      <c r="J1433" s="4" t="s">
        <v>11</v>
      </c>
      <c r="K1433" s="4" t="s">
        <v>40</v>
      </c>
      <c r="L1433" s="3">
        <v>11.27</v>
      </c>
      <c r="M1433" s="4" t="s">
        <v>1255</v>
      </c>
      <c r="N1433" s="3">
        <v>-4980.88</v>
      </c>
    </row>
    <row r="1434" spans="1:14" x14ac:dyDescent="0.35">
      <c r="A1434">
        <v>2374</v>
      </c>
      <c r="B1434" s="4" t="s">
        <v>121</v>
      </c>
      <c r="C1434" s="4" t="s">
        <v>1018</v>
      </c>
      <c r="D1434" s="4" t="s">
        <v>13</v>
      </c>
      <c r="E1434">
        <v>0</v>
      </c>
      <c r="F1434" s="3">
        <v>4867.51</v>
      </c>
      <c r="G1434" s="2">
        <v>1.0900000000000001</v>
      </c>
      <c r="H1434" s="3">
        <v>0</v>
      </c>
      <c r="I1434" s="1">
        <v>45563</v>
      </c>
      <c r="J1434" s="4" t="s">
        <v>11</v>
      </c>
      <c r="K1434" s="4" t="s">
        <v>12</v>
      </c>
      <c r="L1434" s="3">
        <v>1184.6500000000001</v>
      </c>
      <c r="M1434" s="4" t="s">
        <v>1255</v>
      </c>
      <c r="N1434" s="3">
        <v>0</v>
      </c>
    </row>
    <row r="1435" spans="1:14" x14ac:dyDescent="0.35">
      <c r="A1435">
        <v>2375</v>
      </c>
      <c r="B1435" s="4" t="s">
        <v>1019</v>
      </c>
      <c r="C1435" s="4" t="s">
        <v>710</v>
      </c>
      <c r="D1435" s="4" t="s">
        <v>26</v>
      </c>
      <c r="E1435">
        <v>0</v>
      </c>
      <c r="F1435" s="3">
        <v>2765.79</v>
      </c>
      <c r="G1435" s="2">
        <v>0.64329729729729801</v>
      </c>
      <c r="H1435" s="3">
        <v>0</v>
      </c>
      <c r="I1435" s="1">
        <v>45563</v>
      </c>
      <c r="J1435" s="4" t="s">
        <v>18</v>
      </c>
      <c r="K1435" s="4" t="s">
        <v>8</v>
      </c>
      <c r="L1435" s="3">
        <v>-31.82</v>
      </c>
      <c r="M1435" s="4" t="s">
        <v>1255</v>
      </c>
      <c r="N1435" s="3">
        <v>0</v>
      </c>
    </row>
    <row r="1436" spans="1:14" x14ac:dyDescent="0.35">
      <c r="A1436">
        <v>2376</v>
      </c>
      <c r="B1436" s="4" t="s">
        <v>988</v>
      </c>
      <c r="C1436" s="4" t="s">
        <v>710</v>
      </c>
      <c r="D1436" s="4" t="s">
        <v>27</v>
      </c>
      <c r="E1436">
        <v>0</v>
      </c>
      <c r="F1436" s="3">
        <v>2758.6057999999998</v>
      </c>
      <c r="G1436" s="2">
        <v>0.64329729729729801</v>
      </c>
      <c r="H1436" s="3">
        <v>0</v>
      </c>
      <c r="I1436" s="1">
        <v>45249</v>
      </c>
      <c r="J1436" s="4" t="s">
        <v>20</v>
      </c>
      <c r="K1436" s="4" t="s">
        <v>8</v>
      </c>
      <c r="L1436" s="3">
        <v>1900.77</v>
      </c>
      <c r="M1436" s="4" t="s">
        <v>1255</v>
      </c>
      <c r="N1436" s="3">
        <v>0</v>
      </c>
    </row>
    <row r="1437" spans="1:14" x14ac:dyDescent="0.35">
      <c r="A1437">
        <v>2377</v>
      </c>
      <c r="B1437" s="4" t="s">
        <v>164</v>
      </c>
      <c r="C1437" s="4" t="s">
        <v>444</v>
      </c>
      <c r="D1437" s="4" t="s">
        <v>26</v>
      </c>
      <c r="E1437">
        <v>4</v>
      </c>
      <c r="F1437" s="3">
        <v>4458.4799999999996</v>
      </c>
      <c r="G1437" s="2">
        <v>0.64329729729729801</v>
      </c>
      <c r="H1437" s="3">
        <v>0</v>
      </c>
      <c r="I1437" s="1">
        <v>45574</v>
      </c>
      <c r="J1437" s="4" t="s">
        <v>18</v>
      </c>
      <c r="K1437" s="4" t="s">
        <v>12</v>
      </c>
      <c r="L1437" s="3">
        <v>631</v>
      </c>
      <c r="M1437" s="4" t="s">
        <v>1255</v>
      </c>
      <c r="N1437" s="3">
        <v>17833.919999999998</v>
      </c>
    </row>
    <row r="1438" spans="1:14" x14ac:dyDescent="0.35">
      <c r="A1438">
        <v>2378</v>
      </c>
      <c r="B1438" s="4" t="s">
        <v>115</v>
      </c>
      <c r="C1438" s="4" t="s">
        <v>768</v>
      </c>
      <c r="D1438" s="4" t="s">
        <v>21</v>
      </c>
      <c r="E1438">
        <v>0</v>
      </c>
      <c r="F1438" s="3">
        <v>1985.49</v>
      </c>
      <c r="G1438" s="2">
        <v>0.64329729729729801</v>
      </c>
      <c r="H1438" s="3">
        <v>0</v>
      </c>
      <c r="I1438" s="1">
        <v>45574</v>
      </c>
      <c r="J1438" s="4" t="s">
        <v>9</v>
      </c>
      <c r="K1438" s="4" t="s">
        <v>8</v>
      </c>
      <c r="L1438" s="3">
        <v>-198.55</v>
      </c>
      <c r="M1438" s="4" t="s">
        <v>1255</v>
      </c>
      <c r="N1438" s="3">
        <v>0</v>
      </c>
    </row>
    <row r="1439" spans="1:14" x14ac:dyDescent="0.35">
      <c r="A1439">
        <v>2379</v>
      </c>
      <c r="B1439" s="4" t="s">
        <v>328</v>
      </c>
      <c r="C1439" s="4" t="s">
        <v>1020</v>
      </c>
      <c r="D1439" s="4" t="s">
        <v>30</v>
      </c>
      <c r="E1439">
        <v>6</v>
      </c>
      <c r="F1439" s="3">
        <v>2188.7399999999998</v>
      </c>
      <c r="G1439" s="2">
        <v>0.64329729729729801</v>
      </c>
      <c r="H1439" s="3">
        <v>0</v>
      </c>
      <c r="I1439" s="1">
        <v>45343</v>
      </c>
      <c r="J1439" s="4" t="s">
        <v>18</v>
      </c>
      <c r="K1439" s="4" t="s">
        <v>8</v>
      </c>
      <c r="L1439" s="3">
        <v>-885.72</v>
      </c>
      <c r="M1439" s="4" t="s">
        <v>1255</v>
      </c>
      <c r="N1439" s="3">
        <v>13132.44</v>
      </c>
    </row>
    <row r="1440" spans="1:14" x14ac:dyDescent="0.35">
      <c r="A1440">
        <v>2380</v>
      </c>
      <c r="B1440" s="4" t="s">
        <v>991</v>
      </c>
      <c r="C1440" s="4" t="s">
        <v>589</v>
      </c>
      <c r="D1440" s="4" t="s">
        <v>10</v>
      </c>
      <c r="E1440">
        <v>0</v>
      </c>
      <c r="F1440" s="3">
        <v>3820.42</v>
      </c>
      <c r="G1440" s="2">
        <v>1.03</v>
      </c>
      <c r="H1440" s="3">
        <v>0</v>
      </c>
      <c r="I1440" s="1">
        <v>45746</v>
      </c>
      <c r="J1440" s="4" t="s">
        <v>11</v>
      </c>
      <c r="K1440" s="4" t="s">
        <v>12</v>
      </c>
      <c r="L1440" s="3">
        <v>-105.92</v>
      </c>
      <c r="M1440" s="4" t="s">
        <v>1255</v>
      </c>
      <c r="N1440" s="3">
        <v>0</v>
      </c>
    </row>
    <row r="1441" spans="1:14" hidden="1" x14ac:dyDescent="0.35">
      <c r="A1441">
        <v>2381</v>
      </c>
      <c r="B1441" s="4" t="s">
        <v>96</v>
      </c>
      <c r="C1441" s="4" t="s">
        <v>366</v>
      </c>
      <c r="D1441" s="4" t="s">
        <v>22</v>
      </c>
      <c r="E1441">
        <v>0</v>
      </c>
      <c r="F1441" s="3">
        <v>2757.9648000000002</v>
      </c>
      <c r="G1441" s="2">
        <v>0.64224932249322497</v>
      </c>
      <c r="H1441" s="3">
        <v>0</v>
      </c>
      <c r="I1441" s="1">
        <v>45620</v>
      </c>
      <c r="J1441" s="4" t="s">
        <v>7</v>
      </c>
      <c r="K1441" s="4" t="s">
        <v>40</v>
      </c>
      <c r="L1441" s="3">
        <v>103.57</v>
      </c>
      <c r="M1441" s="4" t="s">
        <v>1255</v>
      </c>
      <c r="N1441" s="3">
        <v>0</v>
      </c>
    </row>
    <row r="1442" spans="1:14" x14ac:dyDescent="0.35">
      <c r="A1442">
        <v>2382</v>
      </c>
      <c r="B1442" s="4" t="s">
        <v>1011</v>
      </c>
      <c r="C1442" s="4" t="s">
        <v>72</v>
      </c>
      <c r="D1442" s="4" t="s">
        <v>27</v>
      </c>
      <c r="E1442">
        <v>0</v>
      </c>
      <c r="F1442" s="3">
        <v>3440.31</v>
      </c>
      <c r="G1442" s="2">
        <v>0.64224932249322497</v>
      </c>
      <c r="H1442" s="3">
        <v>0</v>
      </c>
      <c r="I1442" s="1">
        <v>45786</v>
      </c>
      <c r="J1442" s="4" t="s">
        <v>18</v>
      </c>
      <c r="K1442" s="4" t="s">
        <v>12</v>
      </c>
      <c r="L1442" s="3">
        <v>921.38</v>
      </c>
      <c r="M1442" s="4" t="s">
        <v>1255</v>
      </c>
      <c r="N1442" s="3">
        <v>0</v>
      </c>
    </row>
    <row r="1443" spans="1:14" hidden="1" x14ac:dyDescent="0.35">
      <c r="A1443">
        <v>2383</v>
      </c>
      <c r="B1443" s="4" t="s">
        <v>259</v>
      </c>
      <c r="C1443" s="4" t="s">
        <v>1021</v>
      </c>
      <c r="D1443" s="4" t="s">
        <v>29</v>
      </c>
      <c r="E1443">
        <v>-2</v>
      </c>
      <c r="F1443" s="3">
        <v>2756.0909999999999</v>
      </c>
      <c r="G1443" s="2">
        <v>0.64224932249322497</v>
      </c>
      <c r="H1443" s="3">
        <v>0</v>
      </c>
      <c r="I1443" s="1">
        <v>45802</v>
      </c>
      <c r="J1443" s="4" t="s">
        <v>23</v>
      </c>
      <c r="K1443" s="4" t="s">
        <v>40</v>
      </c>
      <c r="L1443" s="3">
        <v>990.71</v>
      </c>
      <c r="M1443" s="4" t="s">
        <v>1255</v>
      </c>
      <c r="N1443" s="3">
        <v>-5512.1819999999998</v>
      </c>
    </row>
    <row r="1444" spans="1:14" hidden="1" x14ac:dyDescent="0.35">
      <c r="A1444">
        <v>2384</v>
      </c>
      <c r="B1444" s="4" t="s">
        <v>212</v>
      </c>
      <c r="C1444" s="4" t="s">
        <v>436</v>
      </c>
      <c r="D1444" s="4" t="s">
        <v>30</v>
      </c>
      <c r="E1444">
        <v>3</v>
      </c>
      <c r="F1444" s="3">
        <v>1625.58</v>
      </c>
      <c r="G1444" s="2">
        <v>0.1</v>
      </c>
      <c r="H1444" s="3">
        <v>4389.07</v>
      </c>
      <c r="I1444" s="1">
        <v>45854</v>
      </c>
      <c r="J1444" s="4" t="s">
        <v>20</v>
      </c>
      <c r="K1444" s="4" t="s">
        <v>40</v>
      </c>
      <c r="L1444" s="3">
        <v>2368.5500000000002</v>
      </c>
      <c r="M1444" s="4" t="s">
        <v>1256</v>
      </c>
      <c r="N1444" s="3">
        <v>4876.74</v>
      </c>
    </row>
    <row r="1445" spans="1:14" hidden="1" x14ac:dyDescent="0.35">
      <c r="A1445">
        <v>2385</v>
      </c>
      <c r="B1445" s="4" t="s">
        <v>327</v>
      </c>
      <c r="C1445" s="4" t="s">
        <v>505</v>
      </c>
      <c r="D1445" s="4" t="s">
        <v>25</v>
      </c>
      <c r="E1445">
        <v>0</v>
      </c>
      <c r="F1445" s="3">
        <v>2754.8820999999998</v>
      </c>
      <c r="G1445" s="2">
        <v>0.06</v>
      </c>
      <c r="H1445" s="3">
        <v>0</v>
      </c>
      <c r="I1445" s="1">
        <v>45745</v>
      </c>
      <c r="J1445" s="4" t="s">
        <v>7</v>
      </c>
      <c r="K1445" s="4" t="s">
        <v>40</v>
      </c>
      <c r="L1445" s="3">
        <v>-914.91</v>
      </c>
      <c r="M1445" s="4" t="s">
        <v>1255</v>
      </c>
      <c r="N1445" s="3">
        <v>0</v>
      </c>
    </row>
    <row r="1446" spans="1:14" hidden="1" x14ac:dyDescent="0.35">
      <c r="A1446">
        <v>2386</v>
      </c>
      <c r="B1446" s="4" t="s">
        <v>145</v>
      </c>
      <c r="C1446" s="4" t="s">
        <v>1022</v>
      </c>
      <c r="D1446" s="4" t="s">
        <v>21</v>
      </c>
      <c r="E1446">
        <v>0</v>
      </c>
      <c r="F1446" s="3">
        <v>2253.08</v>
      </c>
      <c r="G1446" s="2">
        <v>0.09</v>
      </c>
      <c r="H1446" s="3">
        <v>0</v>
      </c>
      <c r="I1446" s="1">
        <v>45745</v>
      </c>
      <c r="J1446" s="4" t="s">
        <v>9</v>
      </c>
      <c r="K1446" s="4" t="s">
        <v>40</v>
      </c>
      <c r="L1446" s="3">
        <v>490.12</v>
      </c>
      <c r="M1446" s="4" t="s">
        <v>1255</v>
      </c>
      <c r="N1446" s="3">
        <v>0</v>
      </c>
    </row>
    <row r="1447" spans="1:14" hidden="1" x14ac:dyDescent="0.35">
      <c r="A1447">
        <v>2387</v>
      </c>
      <c r="B1447" s="4" t="s">
        <v>363</v>
      </c>
      <c r="C1447" s="4" t="s">
        <v>80</v>
      </c>
      <c r="D1447" s="4" t="s">
        <v>35</v>
      </c>
      <c r="E1447">
        <v>0</v>
      </c>
      <c r="F1447" s="3">
        <v>3246.04</v>
      </c>
      <c r="G1447" s="2">
        <v>0.64683060109289603</v>
      </c>
      <c r="H1447" s="3">
        <v>0</v>
      </c>
      <c r="I1447" s="1">
        <v>45773</v>
      </c>
      <c r="J1447" s="4" t="s">
        <v>23</v>
      </c>
      <c r="K1447" s="4" t="s">
        <v>40</v>
      </c>
      <c r="L1447" s="3">
        <v>-611.03</v>
      </c>
      <c r="M1447" s="4" t="s">
        <v>1255</v>
      </c>
      <c r="N1447" s="3">
        <v>0</v>
      </c>
    </row>
    <row r="1448" spans="1:14" x14ac:dyDescent="0.35">
      <c r="A1448">
        <v>2388</v>
      </c>
      <c r="B1448" s="4" t="s">
        <v>328</v>
      </c>
      <c r="C1448" s="4" t="s">
        <v>354</v>
      </c>
      <c r="D1448" s="4" t="s">
        <v>15</v>
      </c>
      <c r="E1448">
        <v>-2</v>
      </c>
      <c r="F1448" s="3">
        <v>2757.7741000000001</v>
      </c>
      <c r="G1448" s="2">
        <v>0.64683060109289603</v>
      </c>
      <c r="H1448" s="3">
        <v>0</v>
      </c>
      <c r="I1448" s="1">
        <v>45714</v>
      </c>
      <c r="J1448" s="4" t="s">
        <v>23</v>
      </c>
      <c r="K1448" s="4" t="s">
        <v>12</v>
      </c>
      <c r="L1448" s="3">
        <v>-722.21</v>
      </c>
      <c r="M1448" s="4" t="s">
        <v>1255</v>
      </c>
      <c r="N1448" s="3">
        <v>-5515.5482000000002</v>
      </c>
    </row>
    <row r="1449" spans="1:14" x14ac:dyDescent="0.35">
      <c r="A1449">
        <v>2389</v>
      </c>
      <c r="B1449" s="4" t="s">
        <v>101</v>
      </c>
      <c r="C1449" s="4" t="s">
        <v>102</v>
      </c>
      <c r="D1449" s="4" t="s">
        <v>38</v>
      </c>
      <c r="E1449">
        <v>5</v>
      </c>
      <c r="F1449" s="3">
        <v>2756.9069</v>
      </c>
      <c r="G1449" s="2">
        <v>0.64683060109289603</v>
      </c>
      <c r="H1449" s="3">
        <v>0</v>
      </c>
      <c r="I1449" s="1">
        <v>45373</v>
      </c>
      <c r="J1449" s="4" t="s">
        <v>18</v>
      </c>
      <c r="K1449" s="4" t="s">
        <v>12</v>
      </c>
      <c r="L1449" s="3">
        <v>2235.23</v>
      </c>
      <c r="M1449" s="4" t="s">
        <v>1255</v>
      </c>
      <c r="N1449" s="3">
        <v>13784.5345</v>
      </c>
    </row>
    <row r="1450" spans="1:14" x14ac:dyDescent="0.35">
      <c r="A1450">
        <v>2390</v>
      </c>
      <c r="B1450" s="4" t="s">
        <v>328</v>
      </c>
      <c r="C1450" s="4" t="s">
        <v>938</v>
      </c>
      <c r="D1450" s="4" t="s">
        <v>6</v>
      </c>
      <c r="E1450">
        <v>0</v>
      </c>
      <c r="F1450" s="3">
        <v>3605.36</v>
      </c>
      <c r="G1450" s="2">
        <v>1.01</v>
      </c>
      <c r="H1450" s="3">
        <v>0</v>
      </c>
      <c r="I1450" s="1">
        <v>45660</v>
      </c>
      <c r="J1450" s="4" t="s">
        <v>9</v>
      </c>
      <c r="K1450" s="4" t="s">
        <v>12</v>
      </c>
      <c r="L1450" s="3">
        <v>-311.29000000000002</v>
      </c>
      <c r="M1450" s="4" t="s">
        <v>1255</v>
      </c>
      <c r="N1450" s="3">
        <v>0</v>
      </c>
    </row>
    <row r="1451" spans="1:14" x14ac:dyDescent="0.35">
      <c r="A1451">
        <v>2391</v>
      </c>
      <c r="B1451" s="4" t="s">
        <v>315</v>
      </c>
      <c r="C1451" s="4" t="s">
        <v>135</v>
      </c>
      <c r="D1451" s="4" t="s">
        <v>16</v>
      </c>
      <c r="E1451">
        <v>0</v>
      </c>
      <c r="F1451" s="3">
        <v>4473.9399999999996</v>
      </c>
      <c r="G1451" s="2">
        <v>0.64583561643835596</v>
      </c>
      <c r="H1451" s="3">
        <v>0</v>
      </c>
      <c r="I1451" s="1">
        <v>45660</v>
      </c>
      <c r="J1451" s="4" t="s">
        <v>18</v>
      </c>
      <c r="K1451" s="4" t="s">
        <v>12</v>
      </c>
      <c r="L1451" s="3">
        <v>1003.14</v>
      </c>
      <c r="M1451" s="4" t="s">
        <v>1255</v>
      </c>
      <c r="N1451" s="3">
        <v>0</v>
      </c>
    </row>
    <row r="1452" spans="1:14" hidden="1" x14ac:dyDescent="0.35">
      <c r="A1452">
        <v>2392</v>
      </c>
      <c r="B1452" s="4" t="s">
        <v>1023</v>
      </c>
      <c r="C1452" s="4" t="s">
        <v>203</v>
      </c>
      <c r="D1452" s="4" t="s">
        <v>19</v>
      </c>
      <c r="E1452">
        <v>3</v>
      </c>
      <c r="F1452" s="3">
        <v>4550.95</v>
      </c>
      <c r="G1452" s="2">
        <v>0.64583561643835596</v>
      </c>
      <c r="H1452" s="3">
        <v>0</v>
      </c>
      <c r="I1452" s="1">
        <v>45736</v>
      </c>
      <c r="J1452" s="4" t="s">
        <v>9</v>
      </c>
      <c r="K1452" s="4" t="s">
        <v>40</v>
      </c>
      <c r="L1452" s="3">
        <v>-951.64</v>
      </c>
      <c r="M1452" s="4" t="s">
        <v>1255</v>
      </c>
      <c r="N1452" s="3">
        <v>13652.85</v>
      </c>
    </row>
    <row r="1453" spans="1:14" x14ac:dyDescent="0.35">
      <c r="A1453">
        <v>2393</v>
      </c>
      <c r="B1453" s="4" t="s">
        <v>164</v>
      </c>
      <c r="C1453" s="4" t="s">
        <v>57</v>
      </c>
      <c r="D1453" s="4" t="s">
        <v>27</v>
      </c>
      <c r="E1453">
        <v>5</v>
      </c>
      <c r="F1453" s="3">
        <v>753.85</v>
      </c>
      <c r="G1453" s="2">
        <v>0.64583561643835596</v>
      </c>
      <c r="H1453" s="3">
        <v>0</v>
      </c>
      <c r="I1453" s="1">
        <v>45615</v>
      </c>
      <c r="J1453" s="4" t="s">
        <v>7</v>
      </c>
      <c r="K1453" s="4" t="s">
        <v>8</v>
      </c>
      <c r="L1453" s="3">
        <v>251.29</v>
      </c>
      <c r="M1453" s="4" t="s">
        <v>1255</v>
      </c>
      <c r="N1453" s="3">
        <v>3769.25</v>
      </c>
    </row>
    <row r="1454" spans="1:14" x14ac:dyDescent="0.35">
      <c r="A1454">
        <v>2394</v>
      </c>
      <c r="B1454" s="4" t="s">
        <v>262</v>
      </c>
      <c r="C1454" s="4" t="s">
        <v>133</v>
      </c>
      <c r="D1454" s="4" t="s">
        <v>10</v>
      </c>
      <c r="E1454">
        <v>0</v>
      </c>
      <c r="F1454" s="3">
        <v>3384.51</v>
      </c>
      <c r="G1454" s="2">
        <v>0.64583561643835596</v>
      </c>
      <c r="H1454" s="3">
        <v>0</v>
      </c>
      <c r="I1454" s="1">
        <v>45839</v>
      </c>
      <c r="J1454" s="4" t="s">
        <v>18</v>
      </c>
      <c r="K1454" s="4" t="s">
        <v>12</v>
      </c>
      <c r="L1454" s="3">
        <v>2776.41</v>
      </c>
      <c r="M1454" s="4" t="s">
        <v>1255</v>
      </c>
      <c r="N1454" s="3">
        <v>0</v>
      </c>
    </row>
    <row r="1455" spans="1:14" x14ac:dyDescent="0.35">
      <c r="A1455">
        <v>2395</v>
      </c>
      <c r="B1455" s="4" t="s">
        <v>125</v>
      </c>
      <c r="C1455" s="4" t="s">
        <v>1024</v>
      </c>
      <c r="D1455" s="4" t="s">
        <v>33</v>
      </c>
      <c r="E1455">
        <v>0</v>
      </c>
      <c r="F1455" s="3">
        <v>2752.6914000000002</v>
      </c>
      <c r="G1455" s="2">
        <v>0.64583561643835596</v>
      </c>
      <c r="H1455" s="3">
        <v>0</v>
      </c>
      <c r="I1455" s="1">
        <v>45797</v>
      </c>
      <c r="J1455" s="4" t="s">
        <v>23</v>
      </c>
      <c r="K1455" s="4" t="s">
        <v>8</v>
      </c>
      <c r="L1455" s="3">
        <v>1866.74</v>
      </c>
      <c r="M1455" s="4" t="s">
        <v>1255</v>
      </c>
      <c r="N1455" s="3">
        <v>0</v>
      </c>
    </row>
    <row r="1456" spans="1:14" x14ac:dyDescent="0.35">
      <c r="A1456">
        <v>2396</v>
      </c>
      <c r="B1456" s="4" t="s">
        <v>641</v>
      </c>
      <c r="C1456" s="4" t="s">
        <v>1025</v>
      </c>
      <c r="D1456" s="4" t="s">
        <v>6</v>
      </c>
      <c r="E1456">
        <v>0</v>
      </c>
      <c r="F1456" s="3">
        <v>2751.5590999999999</v>
      </c>
      <c r="G1456" s="2">
        <v>1.02</v>
      </c>
      <c r="H1456" s="3">
        <v>0</v>
      </c>
      <c r="I1456" s="1">
        <v>45619</v>
      </c>
      <c r="J1456" s="4" t="s">
        <v>23</v>
      </c>
      <c r="K1456" s="4" t="s">
        <v>8</v>
      </c>
      <c r="L1456" s="3">
        <v>1965.45</v>
      </c>
      <c r="M1456" s="4" t="s">
        <v>1255</v>
      </c>
      <c r="N1456" s="3">
        <v>0</v>
      </c>
    </row>
    <row r="1457" spans="1:14" hidden="1" x14ac:dyDescent="0.35">
      <c r="A1457">
        <v>2397</v>
      </c>
      <c r="B1457" s="4" t="s">
        <v>655</v>
      </c>
      <c r="C1457" s="4" t="s">
        <v>431</v>
      </c>
      <c r="D1457" s="4" t="s">
        <v>27</v>
      </c>
      <c r="E1457">
        <v>0</v>
      </c>
      <c r="F1457" s="3">
        <v>1823.51</v>
      </c>
      <c r="G1457" s="2">
        <v>0.64480769230769197</v>
      </c>
      <c r="H1457" s="3">
        <v>0</v>
      </c>
      <c r="I1457" s="1">
        <v>45704</v>
      </c>
      <c r="J1457" s="4" t="s">
        <v>23</v>
      </c>
      <c r="K1457" s="4" t="s">
        <v>40</v>
      </c>
      <c r="L1457" s="3">
        <v>378.92</v>
      </c>
      <c r="M1457" s="4" t="s">
        <v>1255</v>
      </c>
      <c r="N1457" s="3">
        <v>0</v>
      </c>
    </row>
    <row r="1458" spans="1:14" x14ac:dyDescent="0.35">
      <c r="A1458">
        <v>2399</v>
      </c>
      <c r="B1458" s="4" t="s">
        <v>145</v>
      </c>
      <c r="C1458" s="4" t="s">
        <v>1026</v>
      </c>
      <c r="D1458" s="4" t="s">
        <v>6</v>
      </c>
      <c r="E1458">
        <v>-2</v>
      </c>
      <c r="F1458" s="3">
        <v>3643.5</v>
      </c>
      <c r="G1458" s="2">
        <v>0.64480769230769197</v>
      </c>
      <c r="H1458" s="3">
        <v>0</v>
      </c>
      <c r="I1458" s="1">
        <v>45508</v>
      </c>
      <c r="J1458" s="4" t="s">
        <v>7</v>
      </c>
      <c r="K1458" s="4" t="s">
        <v>12</v>
      </c>
      <c r="L1458" s="3">
        <v>1452.6</v>
      </c>
      <c r="M1458" s="4" t="s">
        <v>1255</v>
      </c>
      <c r="N1458" s="3">
        <v>-7287</v>
      </c>
    </row>
    <row r="1459" spans="1:14" x14ac:dyDescent="0.35">
      <c r="A1459">
        <v>2400</v>
      </c>
      <c r="B1459" s="4" t="s">
        <v>1027</v>
      </c>
      <c r="C1459" s="4" t="s">
        <v>1028</v>
      </c>
      <c r="D1459" s="4" t="s">
        <v>31</v>
      </c>
      <c r="E1459">
        <v>0</v>
      </c>
      <c r="F1459" s="3">
        <v>4756.67</v>
      </c>
      <c r="G1459" s="2">
        <v>0.75</v>
      </c>
      <c r="H1459" s="3">
        <v>0</v>
      </c>
      <c r="I1459" s="1">
        <v>45831</v>
      </c>
      <c r="J1459" s="4" t="s">
        <v>20</v>
      </c>
      <c r="K1459" s="4" t="s">
        <v>8</v>
      </c>
      <c r="L1459" s="3">
        <v>-442.75</v>
      </c>
      <c r="M1459" s="4" t="s">
        <v>1255</v>
      </c>
      <c r="N1459" s="3">
        <v>0</v>
      </c>
    </row>
    <row r="1460" spans="1:14" hidden="1" x14ac:dyDescent="0.35">
      <c r="A1460">
        <v>2401</v>
      </c>
      <c r="B1460" s="4" t="s">
        <v>441</v>
      </c>
      <c r="C1460" s="4" t="s">
        <v>1029</v>
      </c>
      <c r="D1460" s="4" t="s">
        <v>14</v>
      </c>
      <c r="E1460">
        <v>2</v>
      </c>
      <c r="F1460" s="3">
        <v>2159.6799999999998</v>
      </c>
      <c r="G1460" s="2">
        <v>0.64451790633608796</v>
      </c>
      <c r="H1460" s="3">
        <v>0</v>
      </c>
      <c r="I1460" s="1">
        <v>45666</v>
      </c>
      <c r="J1460" s="4" t="s">
        <v>20</v>
      </c>
      <c r="K1460" s="4" t="s">
        <v>40</v>
      </c>
      <c r="L1460" s="3">
        <v>1873.8</v>
      </c>
      <c r="M1460" s="4" t="s">
        <v>1255</v>
      </c>
      <c r="N1460" s="3">
        <v>4319.3599999999997</v>
      </c>
    </row>
    <row r="1461" spans="1:14" hidden="1" x14ac:dyDescent="0.35">
      <c r="A1461">
        <v>2402</v>
      </c>
      <c r="B1461" s="4" t="s">
        <v>814</v>
      </c>
      <c r="C1461" s="4" t="s">
        <v>860</v>
      </c>
      <c r="D1461" s="4" t="s">
        <v>15</v>
      </c>
      <c r="E1461">
        <v>0</v>
      </c>
      <c r="F1461" s="3">
        <v>744.83</v>
      </c>
      <c r="G1461" s="2">
        <v>0.16</v>
      </c>
      <c r="H1461" s="3">
        <v>0</v>
      </c>
      <c r="I1461" s="1">
        <v>45666</v>
      </c>
      <c r="J1461" s="4" t="s">
        <v>11</v>
      </c>
      <c r="K1461" s="4" t="s">
        <v>40</v>
      </c>
      <c r="L1461" s="3">
        <v>2905.06</v>
      </c>
      <c r="M1461" s="4" t="s">
        <v>1255</v>
      </c>
      <c r="N1461" s="3">
        <v>0</v>
      </c>
    </row>
    <row r="1462" spans="1:14" x14ac:dyDescent="0.35">
      <c r="A1462">
        <v>2403</v>
      </c>
      <c r="B1462" s="4" t="s">
        <v>166</v>
      </c>
      <c r="C1462" s="4" t="s">
        <v>1030</v>
      </c>
      <c r="D1462" s="4" t="s">
        <v>37</v>
      </c>
      <c r="E1462">
        <v>0</v>
      </c>
      <c r="F1462" s="3">
        <v>2748.7226999999998</v>
      </c>
      <c r="G1462" s="2">
        <v>0.64585635359116</v>
      </c>
      <c r="H1462" s="3">
        <v>0</v>
      </c>
      <c r="I1462" s="1">
        <v>45686</v>
      </c>
      <c r="J1462" s="4" t="s">
        <v>23</v>
      </c>
      <c r="K1462" s="4" t="s">
        <v>12</v>
      </c>
      <c r="L1462" s="3">
        <v>2312.7199999999998</v>
      </c>
      <c r="M1462" s="4" t="s">
        <v>1255</v>
      </c>
      <c r="N1462" s="3">
        <v>0</v>
      </c>
    </row>
    <row r="1463" spans="1:14" x14ac:dyDescent="0.35">
      <c r="A1463">
        <v>2404</v>
      </c>
      <c r="B1463" s="4" t="s">
        <v>359</v>
      </c>
      <c r="C1463" s="4" t="s">
        <v>988</v>
      </c>
      <c r="D1463" s="4" t="s">
        <v>35</v>
      </c>
      <c r="E1463">
        <v>4</v>
      </c>
      <c r="F1463" s="3">
        <v>2752.3530000000001</v>
      </c>
      <c r="G1463" s="2">
        <v>0.64585635359116</v>
      </c>
      <c r="H1463" s="3">
        <v>0</v>
      </c>
      <c r="I1463" s="1">
        <v>45657</v>
      </c>
      <c r="J1463" s="4" t="s">
        <v>7</v>
      </c>
      <c r="K1463" s="4" t="s">
        <v>8</v>
      </c>
      <c r="L1463" s="3">
        <v>-673.77</v>
      </c>
      <c r="M1463" s="4" t="s">
        <v>1255</v>
      </c>
      <c r="N1463" s="3">
        <v>11009.412</v>
      </c>
    </row>
    <row r="1464" spans="1:14" x14ac:dyDescent="0.35">
      <c r="A1464">
        <v>2405</v>
      </c>
      <c r="B1464" s="4" t="s">
        <v>317</v>
      </c>
      <c r="C1464" s="4" t="s">
        <v>82</v>
      </c>
      <c r="D1464" s="4" t="s">
        <v>30</v>
      </c>
      <c r="E1464">
        <v>-1</v>
      </c>
      <c r="F1464" s="3">
        <v>1943.21</v>
      </c>
      <c r="G1464" s="2">
        <v>0.64585635359116</v>
      </c>
      <c r="H1464" s="3">
        <v>0</v>
      </c>
      <c r="I1464" s="1">
        <v>45657</v>
      </c>
      <c r="J1464" s="4" t="s">
        <v>9</v>
      </c>
      <c r="K1464" s="4" t="s">
        <v>12</v>
      </c>
      <c r="L1464" s="3">
        <v>1039.8599999999999</v>
      </c>
      <c r="M1464" s="4" t="s">
        <v>1255</v>
      </c>
      <c r="N1464" s="3">
        <v>-1943.21</v>
      </c>
    </row>
    <row r="1465" spans="1:14" x14ac:dyDescent="0.35">
      <c r="A1465">
        <v>2406</v>
      </c>
      <c r="B1465" s="4" t="s">
        <v>224</v>
      </c>
      <c r="C1465" s="4" t="s">
        <v>982</v>
      </c>
      <c r="D1465" s="4" t="s">
        <v>6</v>
      </c>
      <c r="E1465">
        <v>0</v>
      </c>
      <c r="F1465" s="3">
        <v>4847.7299999999996</v>
      </c>
      <c r="G1465" s="2">
        <v>0.64585635359116</v>
      </c>
      <c r="H1465" s="3">
        <v>0</v>
      </c>
      <c r="I1465" s="1">
        <v>45657</v>
      </c>
      <c r="J1465" s="4" t="s">
        <v>9</v>
      </c>
      <c r="K1465" s="4" t="s">
        <v>12</v>
      </c>
      <c r="L1465" s="3">
        <v>1741</v>
      </c>
      <c r="M1465" s="4" t="s">
        <v>1255</v>
      </c>
      <c r="N1465" s="3">
        <v>0</v>
      </c>
    </row>
    <row r="1466" spans="1:14" x14ac:dyDescent="0.35">
      <c r="A1466">
        <v>2407</v>
      </c>
      <c r="B1466" s="4" t="s">
        <v>248</v>
      </c>
      <c r="C1466" s="4" t="s">
        <v>61</v>
      </c>
      <c r="D1466" s="4" t="s">
        <v>6</v>
      </c>
      <c r="E1466">
        <v>0</v>
      </c>
      <c r="F1466" s="3">
        <v>2753.8215</v>
      </c>
      <c r="G1466" s="2">
        <v>0.64585635359116</v>
      </c>
      <c r="H1466" s="3">
        <v>0</v>
      </c>
      <c r="I1466" s="1">
        <v>45801</v>
      </c>
      <c r="J1466" s="4" t="s">
        <v>9</v>
      </c>
      <c r="K1466" s="4" t="s">
        <v>12</v>
      </c>
      <c r="L1466" s="3">
        <v>2990.98</v>
      </c>
      <c r="M1466" s="4" t="s">
        <v>1255</v>
      </c>
      <c r="N1466" s="3">
        <v>0</v>
      </c>
    </row>
    <row r="1467" spans="1:14" hidden="1" x14ac:dyDescent="0.35">
      <c r="A1467">
        <v>2408</v>
      </c>
      <c r="B1467" s="4" t="s">
        <v>89</v>
      </c>
      <c r="C1467" s="4" t="s">
        <v>710</v>
      </c>
      <c r="D1467" s="4" t="s">
        <v>17</v>
      </c>
      <c r="E1467">
        <v>6</v>
      </c>
      <c r="F1467" s="3">
        <v>2169.73</v>
      </c>
      <c r="G1467" s="2">
        <v>0.64585635359116</v>
      </c>
      <c r="H1467" s="3">
        <v>0</v>
      </c>
      <c r="I1467" s="1">
        <v>45801</v>
      </c>
      <c r="J1467" s="4" t="s">
        <v>18</v>
      </c>
      <c r="K1467" s="4" t="s">
        <v>40</v>
      </c>
      <c r="L1467" s="3">
        <v>442.92</v>
      </c>
      <c r="M1467" s="4" t="s">
        <v>1255</v>
      </c>
      <c r="N1467" s="3">
        <v>13018.38</v>
      </c>
    </row>
    <row r="1468" spans="1:14" hidden="1" x14ac:dyDescent="0.35">
      <c r="A1468">
        <v>2409</v>
      </c>
      <c r="B1468" s="4" t="s">
        <v>1031</v>
      </c>
      <c r="C1468" s="4" t="s">
        <v>1032</v>
      </c>
      <c r="D1468" s="4" t="s">
        <v>25</v>
      </c>
      <c r="E1468">
        <v>0</v>
      </c>
      <c r="F1468" s="3">
        <v>1430.06</v>
      </c>
      <c r="G1468" s="2">
        <v>0.98</v>
      </c>
      <c r="H1468" s="3">
        <v>0</v>
      </c>
      <c r="I1468" s="1">
        <v>45744</v>
      </c>
      <c r="J1468" s="4" t="s">
        <v>20</v>
      </c>
      <c r="K1468" s="4" t="s">
        <v>40</v>
      </c>
      <c r="L1468" s="3">
        <v>-530.32000000000005</v>
      </c>
      <c r="M1468" s="4" t="s">
        <v>1255</v>
      </c>
      <c r="N1468" s="3">
        <v>0</v>
      </c>
    </row>
    <row r="1469" spans="1:14" hidden="1" x14ac:dyDescent="0.35">
      <c r="A1469">
        <v>2410</v>
      </c>
      <c r="B1469" s="4" t="s">
        <v>319</v>
      </c>
      <c r="C1469" s="4" t="s">
        <v>78</v>
      </c>
      <c r="D1469" s="4" t="s">
        <v>35</v>
      </c>
      <c r="E1469">
        <v>3</v>
      </c>
      <c r="F1469" s="3">
        <v>2751.0713000000001</v>
      </c>
      <c r="G1469" s="2">
        <v>0.64493074792243799</v>
      </c>
      <c r="H1469" s="3">
        <v>0</v>
      </c>
      <c r="I1469" s="1">
        <v>45670</v>
      </c>
      <c r="J1469" s="4" t="s">
        <v>20</v>
      </c>
      <c r="K1469" s="4" t="s">
        <v>40</v>
      </c>
      <c r="L1469" s="3">
        <v>2913.29</v>
      </c>
      <c r="M1469" s="4" t="s">
        <v>1255</v>
      </c>
      <c r="N1469" s="3">
        <v>8253.2139000000006</v>
      </c>
    </row>
    <row r="1470" spans="1:14" x14ac:dyDescent="0.35">
      <c r="A1470">
        <v>2411</v>
      </c>
      <c r="B1470" s="4" t="s">
        <v>89</v>
      </c>
      <c r="C1470" s="4" t="s">
        <v>102</v>
      </c>
      <c r="D1470" s="4" t="s">
        <v>21</v>
      </c>
      <c r="E1470">
        <v>-2</v>
      </c>
      <c r="F1470" s="3">
        <v>2753.4819000000002</v>
      </c>
      <c r="G1470" s="2">
        <v>0.64493074792243799</v>
      </c>
      <c r="H1470" s="3">
        <v>0</v>
      </c>
      <c r="I1470" s="1">
        <v>45791</v>
      </c>
      <c r="J1470" s="4" t="s">
        <v>7</v>
      </c>
      <c r="K1470" s="4" t="s">
        <v>8</v>
      </c>
      <c r="L1470" s="3">
        <v>458.44</v>
      </c>
      <c r="M1470" s="4" t="s">
        <v>1255</v>
      </c>
      <c r="N1470" s="3">
        <v>-5506.9638000000004</v>
      </c>
    </row>
    <row r="1471" spans="1:14" hidden="1" x14ac:dyDescent="0.35">
      <c r="A1471">
        <v>2412</v>
      </c>
      <c r="B1471" s="4" t="s">
        <v>335</v>
      </c>
      <c r="C1471" s="4" t="s">
        <v>82</v>
      </c>
      <c r="D1471" s="4" t="s">
        <v>21</v>
      </c>
      <c r="E1471">
        <v>-1</v>
      </c>
      <c r="F1471" s="3">
        <v>2753.4819000000002</v>
      </c>
      <c r="G1471" s="2">
        <v>0.64493074792243799</v>
      </c>
      <c r="H1471" s="3">
        <v>0</v>
      </c>
      <c r="I1471" s="1">
        <v>45218</v>
      </c>
      <c r="J1471" s="4" t="s">
        <v>7</v>
      </c>
      <c r="K1471" s="4" t="s">
        <v>40</v>
      </c>
      <c r="L1471" s="3">
        <v>1676.75</v>
      </c>
      <c r="M1471" s="4" t="s">
        <v>1255</v>
      </c>
      <c r="N1471" s="3">
        <v>-2753.4819000000002</v>
      </c>
    </row>
    <row r="1472" spans="1:14" x14ac:dyDescent="0.35">
      <c r="A1472">
        <v>2413</v>
      </c>
      <c r="B1472" s="4" t="s">
        <v>870</v>
      </c>
      <c r="C1472" s="4" t="s">
        <v>446</v>
      </c>
      <c r="D1472" s="4" t="s">
        <v>13</v>
      </c>
      <c r="E1472">
        <v>0</v>
      </c>
      <c r="F1472" s="3">
        <v>4140.8599999999997</v>
      </c>
      <c r="G1472" s="2">
        <v>0.64493074792243799</v>
      </c>
      <c r="H1472" s="3">
        <v>0</v>
      </c>
      <c r="I1472" s="1">
        <v>45580</v>
      </c>
      <c r="J1472" s="4" t="s">
        <v>7</v>
      </c>
      <c r="K1472" s="4" t="s">
        <v>12</v>
      </c>
      <c r="L1472" s="3">
        <v>162.16</v>
      </c>
      <c r="M1472" s="4" t="s">
        <v>1255</v>
      </c>
      <c r="N1472" s="3">
        <v>0</v>
      </c>
    </row>
    <row r="1473" spans="1:14" x14ac:dyDescent="0.35">
      <c r="A1473">
        <v>2415</v>
      </c>
      <c r="B1473" s="4" t="s">
        <v>690</v>
      </c>
      <c r="C1473" s="4" t="s">
        <v>303</v>
      </c>
      <c r="D1473" s="4" t="s">
        <v>32</v>
      </c>
      <c r="E1473">
        <v>0</v>
      </c>
      <c r="F1473" s="3">
        <v>3395.67</v>
      </c>
      <c r="G1473" s="2">
        <v>0.64655555555555599</v>
      </c>
      <c r="H1473" s="3">
        <v>0</v>
      </c>
      <c r="I1473" s="1">
        <v>45581</v>
      </c>
      <c r="J1473" s="4" t="s">
        <v>18</v>
      </c>
      <c r="K1473" s="4" t="s">
        <v>8</v>
      </c>
      <c r="L1473" s="3">
        <v>1958.51</v>
      </c>
      <c r="M1473" s="4" t="s">
        <v>1255</v>
      </c>
      <c r="N1473" s="3">
        <v>0</v>
      </c>
    </row>
    <row r="1474" spans="1:14" x14ac:dyDescent="0.35">
      <c r="A1474">
        <v>2416</v>
      </c>
      <c r="B1474" s="4" t="s">
        <v>421</v>
      </c>
      <c r="C1474" s="4" t="s">
        <v>149</v>
      </c>
      <c r="D1474" s="4" t="s">
        <v>31</v>
      </c>
      <c r="E1474">
        <v>0</v>
      </c>
      <c r="F1474" s="3">
        <v>2750.2555000000002</v>
      </c>
      <c r="G1474" s="2">
        <v>1.27</v>
      </c>
      <c r="H1474" s="3">
        <v>0</v>
      </c>
      <c r="I1474" s="1">
        <v>45364</v>
      </c>
      <c r="J1474" s="4" t="s">
        <v>20</v>
      </c>
      <c r="K1474" s="4" t="s">
        <v>12</v>
      </c>
      <c r="L1474" s="3">
        <v>1219.82</v>
      </c>
      <c r="M1474" s="4" t="s">
        <v>1255</v>
      </c>
      <c r="N1474" s="3">
        <v>0</v>
      </c>
    </row>
    <row r="1475" spans="1:14" hidden="1" x14ac:dyDescent="0.35">
      <c r="A1475">
        <v>2417</v>
      </c>
      <c r="B1475" s="4" t="s">
        <v>606</v>
      </c>
      <c r="C1475" s="4" t="s">
        <v>1033</v>
      </c>
      <c r="D1475" s="4" t="s">
        <v>27</v>
      </c>
      <c r="E1475">
        <v>0</v>
      </c>
      <c r="F1475" s="3">
        <v>4268.68</v>
      </c>
      <c r="G1475" s="2">
        <v>0.67</v>
      </c>
      <c r="H1475" s="3">
        <v>0</v>
      </c>
      <c r="I1475" s="1">
        <v>45506</v>
      </c>
      <c r="J1475" s="4" t="s">
        <v>7</v>
      </c>
      <c r="K1475" s="4" t="s">
        <v>40</v>
      </c>
      <c r="L1475" s="3">
        <v>1818.31</v>
      </c>
      <c r="M1475" s="4" t="s">
        <v>1255</v>
      </c>
      <c r="N1475" s="3">
        <v>0</v>
      </c>
    </row>
    <row r="1476" spans="1:14" hidden="1" x14ac:dyDescent="0.35">
      <c r="A1476">
        <v>2418</v>
      </c>
      <c r="B1476" s="4" t="s">
        <v>228</v>
      </c>
      <c r="C1476" s="4" t="s">
        <v>154</v>
      </c>
      <c r="D1476" s="4" t="s">
        <v>30</v>
      </c>
      <c r="E1476">
        <v>0</v>
      </c>
      <c r="F1476" s="3">
        <v>3435.95</v>
      </c>
      <c r="G1476" s="2">
        <v>0.36</v>
      </c>
      <c r="H1476" s="3">
        <v>0</v>
      </c>
      <c r="I1476" s="1">
        <v>45506</v>
      </c>
      <c r="J1476" s="4" t="s">
        <v>7</v>
      </c>
      <c r="K1476" s="4" t="s">
        <v>40</v>
      </c>
      <c r="L1476" s="3">
        <v>-77.180000000000007</v>
      </c>
      <c r="M1476" s="4" t="s">
        <v>1255</v>
      </c>
      <c r="N1476" s="3">
        <v>0</v>
      </c>
    </row>
    <row r="1477" spans="1:14" x14ac:dyDescent="0.35">
      <c r="A1477">
        <v>2419</v>
      </c>
      <c r="B1477" s="4" t="s">
        <v>579</v>
      </c>
      <c r="C1477" s="4" t="s">
        <v>301</v>
      </c>
      <c r="D1477" s="4" t="s">
        <v>38</v>
      </c>
      <c r="E1477">
        <v>2</v>
      </c>
      <c r="F1477" s="3">
        <v>1832.16</v>
      </c>
      <c r="G1477" s="2">
        <v>0.64554621848739502</v>
      </c>
      <c r="H1477" s="3">
        <v>0</v>
      </c>
      <c r="I1477" s="1">
        <v>45552</v>
      </c>
      <c r="J1477" s="4" t="s">
        <v>11</v>
      </c>
      <c r="K1477" s="4" t="s">
        <v>8</v>
      </c>
      <c r="L1477" s="3">
        <v>2843.62</v>
      </c>
      <c r="M1477" s="4" t="s">
        <v>1255</v>
      </c>
      <c r="N1477" s="3">
        <v>3664.32</v>
      </c>
    </row>
    <row r="1478" spans="1:14" x14ac:dyDescent="0.35">
      <c r="A1478">
        <v>2420</v>
      </c>
      <c r="B1478" s="4" t="s">
        <v>1034</v>
      </c>
      <c r="C1478" s="4" t="s">
        <v>619</v>
      </c>
      <c r="D1478" s="4" t="s">
        <v>27</v>
      </c>
      <c r="E1478">
        <v>0</v>
      </c>
      <c r="F1478" s="3">
        <v>3714.46</v>
      </c>
      <c r="G1478" s="2">
        <v>0.64554621848739502</v>
      </c>
      <c r="H1478" s="3">
        <v>0</v>
      </c>
      <c r="I1478" s="1">
        <v>45684</v>
      </c>
      <c r="J1478" s="4" t="s">
        <v>9</v>
      </c>
      <c r="K1478" s="4" t="s">
        <v>8</v>
      </c>
      <c r="L1478" s="3">
        <v>2452.7199999999998</v>
      </c>
      <c r="M1478" s="4" t="s">
        <v>1255</v>
      </c>
      <c r="N1478" s="3">
        <v>0</v>
      </c>
    </row>
    <row r="1479" spans="1:14" hidden="1" x14ac:dyDescent="0.35">
      <c r="A1479">
        <v>2421</v>
      </c>
      <c r="B1479" s="4" t="s">
        <v>192</v>
      </c>
      <c r="C1479" s="4" t="s">
        <v>1000</v>
      </c>
      <c r="D1479" s="4" t="s">
        <v>35</v>
      </c>
      <c r="E1479">
        <v>4</v>
      </c>
      <c r="F1479" s="3">
        <v>4411.3900000000003</v>
      </c>
      <c r="G1479" s="2">
        <v>0.64554621848739502</v>
      </c>
      <c r="H1479" s="3">
        <v>0</v>
      </c>
      <c r="I1479" s="1">
        <v>45516</v>
      </c>
      <c r="J1479" s="4" t="s">
        <v>23</v>
      </c>
      <c r="K1479" s="4" t="s">
        <v>40</v>
      </c>
      <c r="L1479" s="3">
        <v>-501.29</v>
      </c>
      <c r="M1479" s="4" t="s">
        <v>1255</v>
      </c>
      <c r="N1479" s="3">
        <v>17645.560000000001</v>
      </c>
    </row>
    <row r="1480" spans="1:14" hidden="1" x14ac:dyDescent="0.35">
      <c r="A1480">
        <v>2422</v>
      </c>
      <c r="B1480" s="4" t="s">
        <v>1035</v>
      </c>
      <c r="C1480" s="4" t="s">
        <v>388</v>
      </c>
      <c r="D1480" s="4" t="s">
        <v>37</v>
      </c>
      <c r="E1480">
        <v>0</v>
      </c>
      <c r="F1480" s="3">
        <v>2744.9031</v>
      </c>
      <c r="G1480" s="2">
        <v>0.22</v>
      </c>
      <c r="H1480" s="3">
        <v>0</v>
      </c>
      <c r="I1480" s="1">
        <v>45536</v>
      </c>
      <c r="J1480" s="4" t="s">
        <v>18</v>
      </c>
      <c r="K1480" s="4" t="s">
        <v>40</v>
      </c>
      <c r="L1480" s="3">
        <v>756.56</v>
      </c>
      <c r="M1480" s="4" t="s">
        <v>1255</v>
      </c>
      <c r="N1480" s="3">
        <v>0</v>
      </c>
    </row>
    <row r="1481" spans="1:14" x14ac:dyDescent="0.35">
      <c r="A1481">
        <v>2423</v>
      </c>
      <c r="B1481" s="4" t="s">
        <v>705</v>
      </c>
      <c r="C1481" s="4" t="s">
        <v>205</v>
      </c>
      <c r="D1481" s="4" t="s">
        <v>22</v>
      </c>
      <c r="E1481">
        <v>0</v>
      </c>
      <c r="F1481" s="3">
        <v>2741.817</v>
      </c>
      <c r="G1481" s="2">
        <v>0.64674157303370805</v>
      </c>
      <c r="H1481" s="3">
        <v>0</v>
      </c>
      <c r="I1481" s="1">
        <v>45256</v>
      </c>
      <c r="J1481" s="4" t="s">
        <v>9</v>
      </c>
      <c r="K1481" s="4" t="s">
        <v>12</v>
      </c>
      <c r="L1481" s="3">
        <v>2661.66</v>
      </c>
      <c r="M1481" s="4" t="s">
        <v>1255</v>
      </c>
      <c r="N1481" s="3">
        <v>0</v>
      </c>
    </row>
    <row r="1482" spans="1:14" x14ac:dyDescent="0.35">
      <c r="A1482">
        <v>2424</v>
      </c>
      <c r="B1482" s="4" t="s">
        <v>122</v>
      </c>
      <c r="C1482" s="4" t="s">
        <v>1036</v>
      </c>
      <c r="D1482" s="4" t="s">
        <v>13</v>
      </c>
      <c r="E1482">
        <v>5</v>
      </c>
      <c r="F1482" s="3">
        <v>2476.15</v>
      </c>
      <c r="G1482" s="2">
        <v>0.64674157303370805</v>
      </c>
      <c r="H1482" s="3">
        <v>0</v>
      </c>
      <c r="I1482" s="1">
        <v>45279</v>
      </c>
      <c r="J1482" s="4" t="s">
        <v>20</v>
      </c>
      <c r="K1482" s="4" t="s">
        <v>8</v>
      </c>
      <c r="L1482" s="3">
        <v>387.88</v>
      </c>
      <c r="M1482" s="4" t="s">
        <v>1255</v>
      </c>
      <c r="N1482" s="3">
        <v>12380.75</v>
      </c>
    </row>
    <row r="1483" spans="1:14" hidden="1" x14ac:dyDescent="0.35">
      <c r="A1483">
        <v>2425</v>
      </c>
      <c r="B1483" s="4" t="s">
        <v>568</v>
      </c>
      <c r="C1483" s="4" t="s">
        <v>1003</v>
      </c>
      <c r="D1483" s="4" t="s">
        <v>25</v>
      </c>
      <c r="E1483">
        <v>0</v>
      </c>
      <c r="F1483" s="3">
        <v>2632.44</v>
      </c>
      <c r="G1483" s="2">
        <v>0.64674157303370805</v>
      </c>
      <c r="H1483" s="3">
        <v>0</v>
      </c>
      <c r="I1483" s="1">
        <v>45591</v>
      </c>
      <c r="J1483" s="4" t="s">
        <v>20</v>
      </c>
      <c r="K1483" s="4" t="s">
        <v>40</v>
      </c>
      <c r="L1483" s="3">
        <v>2036.93</v>
      </c>
      <c r="M1483" s="4" t="s">
        <v>1255</v>
      </c>
      <c r="N1483" s="3">
        <v>0</v>
      </c>
    </row>
    <row r="1484" spans="1:14" x14ac:dyDescent="0.35">
      <c r="A1484">
        <v>2426</v>
      </c>
      <c r="B1484" s="4" t="s">
        <v>372</v>
      </c>
      <c r="C1484" s="4" t="s">
        <v>624</v>
      </c>
      <c r="D1484" s="4" t="s">
        <v>27</v>
      </c>
      <c r="E1484">
        <v>0</v>
      </c>
      <c r="F1484" s="3">
        <v>2742.3099000000002</v>
      </c>
      <c r="G1484" s="2">
        <v>0.64674157303370805</v>
      </c>
      <c r="H1484" s="3">
        <v>0</v>
      </c>
      <c r="I1484" s="1">
        <v>45844</v>
      </c>
      <c r="J1484" s="4" t="s">
        <v>7</v>
      </c>
      <c r="K1484" s="4" t="s">
        <v>12</v>
      </c>
      <c r="L1484" s="3">
        <v>261.68</v>
      </c>
      <c r="M1484" s="4" t="s">
        <v>1255</v>
      </c>
      <c r="N1484" s="3">
        <v>0</v>
      </c>
    </row>
    <row r="1485" spans="1:14" x14ac:dyDescent="0.35">
      <c r="A1485">
        <v>2427</v>
      </c>
      <c r="B1485" s="4" t="s">
        <v>379</v>
      </c>
      <c r="C1485" s="4" t="s">
        <v>747</v>
      </c>
      <c r="D1485" s="4" t="s">
        <v>26</v>
      </c>
      <c r="E1485">
        <v>5</v>
      </c>
      <c r="F1485" s="3">
        <v>1510.89</v>
      </c>
      <c r="G1485" s="2">
        <v>0.64674157303370805</v>
      </c>
      <c r="H1485" s="3">
        <v>0</v>
      </c>
      <c r="I1485" s="1">
        <v>45611</v>
      </c>
      <c r="J1485" s="4" t="s">
        <v>18</v>
      </c>
      <c r="K1485" s="4" t="s">
        <v>12</v>
      </c>
      <c r="L1485" s="3">
        <v>2959.19</v>
      </c>
      <c r="M1485" s="4" t="s">
        <v>1255</v>
      </c>
      <c r="N1485" s="3">
        <v>7554.45</v>
      </c>
    </row>
    <row r="1486" spans="1:14" x14ac:dyDescent="0.35">
      <c r="A1486">
        <v>2428</v>
      </c>
      <c r="B1486" s="4" t="s">
        <v>280</v>
      </c>
      <c r="C1486" s="4" t="s">
        <v>78</v>
      </c>
      <c r="D1486" s="4" t="s">
        <v>13</v>
      </c>
      <c r="E1486">
        <v>-2</v>
      </c>
      <c r="F1486" s="3">
        <v>2742.5140999999999</v>
      </c>
      <c r="G1486" s="2">
        <v>0.64674157303370805</v>
      </c>
      <c r="H1486" s="3">
        <v>0</v>
      </c>
      <c r="I1486" s="1">
        <v>45674</v>
      </c>
      <c r="J1486" s="4" t="s">
        <v>7</v>
      </c>
      <c r="K1486" s="4" t="s">
        <v>12</v>
      </c>
      <c r="L1486" s="3">
        <v>1885.43</v>
      </c>
      <c r="M1486" s="4" t="s">
        <v>1255</v>
      </c>
      <c r="N1486" s="3">
        <v>-5485.0281999999997</v>
      </c>
    </row>
    <row r="1487" spans="1:14" x14ac:dyDescent="0.35">
      <c r="A1487">
        <v>2429</v>
      </c>
      <c r="B1487" s="4" t="s">
        <v>359</v>
      </c>
      <c r="C1487" s="4" t="s">
        <v>316</v>
      </c>
      <c r="D1487" s="4" t="s">
        <v>13</v>
      </c>
      <c r="E1487">
        <v>-1</v>
      </c>
      <c r="F1487" s="3">
        <v>4193.1000000000004</v>
      </c>
      <c r="G1487" s="2">
        <v>0.64674157303370805</v>
      </c>
      <c r="H1487" s="3">
        <v>0</v>
      </c>
      <c r="I1487" s="1">
        <v>45561</v>
      </c>
      <c r="J1487" s="4" t="s">
        <v>23</v>
      </c>
      <c r="K1487" s="4" t="s">
        <v>8</v>
      </c>
      <c r="L1487" s="3">
        <v>436.03</v>
      </c>
      <c r="M1487" s="4" t="s">
        <v>1255</v>
      </c>
      <c r="N1487" s="3">
        <v>-4193.1000000000004</v>
      </c>
    </row>
    <row r="1488" spans="1:14" x14ac:dyDescent="0.35">
      <c r="A1488">
        <v>2430</v>
      </c>
      <c r="B1488" s="4" t="s">
        <v>1034</v>
      </c>
      <c r="C1488" s="4" t="s">
        <v>625</v>
      </c>
      <c r="D1488" s="4" t="s">
        <v>32</v>
      </c>
      <c r="E1488">
        <v>0</v>
      </c>
      <c r="F1488" s="3">
        <v>3149.37</v>
      </c>
      <c r="G1488" s="2">
        <v>0.64674157303370805</v>
      </c>
      <c r="H1488" s="3">
        <v>0</v>
      </c>
      <c r="I1488" s="1">
        <v>45561</v>
      </c>
      <c r="J1488" s="4" t="s">
        <v>20</v>
      </c>
      <c r="K1488" s="4" t="s">
        <v>8</v>
      </c>
      <c r="L1488" s="3">
        <v>1094.4000000000001</v>
      </c>
      <c r="M1488" s="4" t="s">
        <v>1255</v>
      </c>
      <c r="N1488" s="3">
        <v>0</v>
      </c>
    </row>
    <row r="1489" spans="1:14" hidden="1" x14ac:dyDescent="0.35">
      <c r="A1489">
        <v>2432</v>
      </c>
      <c r="B1489" s="4" t="s">
        <v>93</v>
      </c>
      <c r="C1489" s="4" t="s">
        <v>247</v>
      </c>
      <c r="D1489" s="4" t="s">
        <v>30</v>
      </c>
      <c r="E1489">
        <v>1</v>
      </c>
      <c r="F1489" s="3">
        <v>2741.3444</v>
      </c>
      <c r="G1489" s="2">
        <v>0.11</v>
      </c>
      <c r="H1489" s="3">
        <v>0</v>
      </c>
      <c r="I1489" s="1">
        <v>45497</v>
      </c>
      <c r="J1489" s="4" t="s">
        <v>11</v>
      </c>
      <c r="K1489" s="4" t="s">
        <v>40</v>
      </c>
      <c r="L1489" s="3">
        <v>2950.78</v>
      </c>
      <c r="M1489" s="4" t="s">
        <v>1255</v>
      </c>
      <c r="N1489" s="3">
        <v>2741.3444</v>
      </c>
    </row>
    <row r="1490" spans="1:14" x14ac:dyDescent="0.35">
      <c r="A1490">
        <v>2433</v>
      </c>
      <c r="B1490" s="4" t="s">
        <v>464</v>
      </c>
      <c r="C1490" s="4" t="s">
        <v>889</v>
      </c>
      <c r="D1490" s="4" t="s">
        <v>15</v>
      </c>
      <c r="E1490">
        <v>0</v>
      </c>
      <c r="F1490" s="3">
        <v>2489.1799999999998</v>
      </c>
      <c r="G1490" s="2">
        <v>0.64805084745762698</v>
      </c>
      <c r="H1490" s="3">
        <v>0</v>
      </c>
      <c r="I1490" s="1">
        <v>45531</v>
      </c>
      <c r="J1490" s="4" t="s">
        <v>9</v>
      </c>
      <c r="K1490" s="4" t="s">
        <v>8</v>
      </c>
      <c r="L1490" s="3">
        <v>-22.68</v>
      </c>
      <c r="M1490" s="4" t="s">
        <v>1255</v>
      </c>
      <c r="N1490" s="3">
        <v>0</v>
      </c>
    </row>
    <row r="1491" spans="1:14" x14ac:dyDescent="0.35">
      <c r="A1491">
        <v>2434</v>
      </c>
      <c r="B1491" s="4" t="s">
        <v>697</v>
      </c>
      <c r="C1491" s="4" t="s">
        <v>74</v>
      </c>
      <c r="D1491" s="4" t="s">
        <v>34</v>
      </c>
      <c r="E1491">
        <v>0</v>
      </c>
      <c r="F1491" s="3">
        <v>2745.14</v>
      </c>
      <c r="G1491" s="2">
        <v>0.64805084745762698</v>
      </c>
      <c r="H1491" s="3">
        <v>0</v>
      </c>
      <c r="I1491" s="1">
        <v>45508</v>
      </c>
      <c r="J1491" s="4" t="s">
        <v>23</v>
      </c>
      <c r="K1491" s="4" t="s">
        <v>12</v>
      </c>
      <c r="L1491" s="3">
        <v>1953.07</v>
      </c>
      <c r="M1491" s="4" t="s">
        <v>1255</v>
      </c>
      <c r="N1491" s="3">
        <v>0</v>
      </c>
    </row>
    <row r="1492" spans="1:14" x14ac:dyDescent="0.35">
      <c r="A1492">
        <v>2435</v>
      </c>
      <c r="B1492" s="4" t="s">
        <v>91</v>
      </c>
      <c r="C1492" s="4" t="s">
        <v>468</v>
      </c>
      <c r="D1492" s="4" t="s">
        <v>14</v>
      </c>
      <c r="E1492">
        <v>0</v>
      </c>
      <c r="F1492" s="3">
        <v>2745.6201999999998</v>
      </c>
      <c r="G1492" s="2">
        <v>0.64805084745762698</v>
      </c>
      <c r="H1492" s="3">
        <v>0</v>
      </c>
      <c r="I1492" s="1">
        <v>45136</v>
      </c>
      <c r="J1492" s="4" t="s">
        <v>11</v>
      </c>
      <c r="K1492" s="4" t="s">
        <v>8</v>
      </c>
      <c r="L1492" s="3">
        <v>2711.18</v>
      </c>
      <c r="M1492" s="4" t="s">
        <v>1255</v>
      </c>
      <c r="N1492" s="3">
        <v>0</v>
      </c>
    </row>
    <row r="1493" spans="1:14" x14ac:dyDescent="0.35">
      <c r="A1493">
        <v>2436</v>
      </c>
      <c r="B1493" s="4" t="s">
        <v>351</v>
      </c>
      <c r="C1493" s="4" t="s">
        <v>669</v>
      </c>
      <c r="D1493" s="4" t="s">
        <v>37</v>
      </c>
      <c r="E1493">
        <v>0</v>
      </c>
      <c r="F1493" s="3">
        <v>2745.6201999999998</v>
      </c>
      <c r="G1493" s="2">
        <v>0.64805084745762698</v>
      </c>
      <c r="H1493" s="3">
        <v>0</v>
      </c>
      <c r="I1493" s="1">
        <v>45136</v>
      </c>
      <c r="J1493" s="4" t="s">
        <v>23</v>
      </c>
      <c r="K1493" s="4" t="s">
        <v>12</v>
      </c>
      <c r="L1493" s="3">
        <v>2492.87</v>
      </c>
      <c r="M1493" s="4" t="s">
        <v>1255</v>
      </c>
      <c r="N1493" s="3">
        <v>0</v>
      </c>
    </row>
    <row r="1494" spans="1:14" x14ac:dyDescent="0.35">
      <c r="A1494">
        <v>2437</v>
      </c>
      <c r="B1494" s="4" t="s">
        <v>848</v>
      </c>
      <c r="C1494" s="4" t="s">
        <v>757</v>
      </c>
      <c r="D1494" s="4" t="s">
        <v>15</v>
      </c>
      <c r="E1494">
        <v>1</v>
      </c>
      <c r="F1494" s="3">
        <v>1906.91</v>
      </c>
      <c r="G1494" s="2">
        <v>0.97</v>
      </c>
      <c r="H1494" s="3">
        <v>57.21</v>
      </c>
      <c r="I1494" s="1">
        <v>45136</v>
      </c>
      <c r="J1494" s="4" t="s">
        <v>9</v>
      </c>
      <c r="K1494" s="4" t="s">
        <v>12</v>
      </c>
      <c r="L1494" s="3">
        <v>440.67</v>
      </c>
      <c r="M1494" s="4" t="s">
        <v>1256</v>
      </c>
      <c r="N1494" s="3">
        <v>1906.91</v>
      </c>
    </row>
    <row r="1495" spans="1:14" x14ac:dyDescent="0.35">
      <c r="A1495">
        <v>2438</v>
      </c>
      <c r="B1495" s="4" t="s">
        <v>93</v>
      </c>
      <c r="C1495" s="4" t="s">
        <v>99</v>
      </c>
      <c r="D1495" s="4" t="s">
        <v>28</v>
      </c>
      <c r="E1495">
        <v>5</v>
      </c>
      <c r="F1495" s="3">
        <v>2745.6201999999998</v>
      </c>
      <c r="G1495" s="2">
        <v>0.6471388101983</v>
      </c>
      <c r="H1495" s="3">
        <v>0</v>
      </c>
      <c r="I1495" s="1">
        <v>45365</v>
      </c>
      <c r="J1495" s="4" t="s">
        <v>23</v>
      </c>
      <c r="K1495" s="4" t="s">
        <v>12</v>
      </c>
      <c r="L1495" s="3">
        <v>1037.5</v>
      </c>
      <c r="M1495" s="4" t="s">
        <v>1255</v>
      </c>
      <c r="N1495" s="3">
        <v>13728.101000000001</v>
      </c>
    </row>
    <row r="1496" spans="1:14" x14ac:dyDescent="0.35">
      <c r="A1496">
        <v>2439</v>
      </c>
      <c r="B1496" s="4" t="s">
        <v>56</v>
      </c>
      <c r="C1496" s="4" t="s">
        <v>1037</v>
      </c>
      <c r="D1496" s="4" t="s">
        <v>35</v>
      </c>
      <c r="E1496">
        <v>0</v>
      </c>
      <c r="F1496" s="3">
        <v>2747.1967</v>
      </c>
      <c r="G1496" s="2">
        <v>0.24</v>
      </c>
      <c r="H1496" s="3">
        <v>0</v>
      </c>
      <c r="I1496" s="1">
        <v>45562</v>
      </c>
      <c r="J1496" s="4" t="s">
        <v>7</v>
      </c>
      <c r="K1496" s="4" t="s">
        <v>8</v>
      </c>
      <c r="L1496" s="3">
        <v>-789.39</v>
      </c>
      <c r="M1496" s="4" t="s">
        <v>1255</v>
      </c>
      <c r="N1496" s="3">
        <v>0</v>
      </c>
    </row>
    <row r="1497" spans="1:14" hidden="1" x14ac:dyDescent="0.35">
      <c r="A1497">
        <v>2440</v>
      </c>
      <c r="B1497" s="4" t="s">
        <v>379</v>
      </c>
      <c r="C1497" s="4" t="s">
        <v>257</v>
      </c>
      <c r="D1497" s="4" t="s">
        <v>26</v>
      </c>
      <c r="E1497">
        <v>0</v>
      </c>
      <c r="F1497" s="3">
        <v>3846.31</v>
      </c>
      <c r="G1497" s="2">
        <v>0.51</v>
      </c>
      <c r="H1497" s="3">
        <v>0</v>
      </c>
      <c r="I1497" s="1">
        <v>45539</v>
      </c>
      <c r="J1497" s="4" t="s">
        <v>20</v>
      </c>
      <c r="K1497" s="4" t="s">
        <v>40</v>
      </c>
      <c r="L1497" s="3">
        <v>381.13</v>
      </c>
      <c r="M1497" s="4" t="s">
        <v>1255</v>
      </c>
      <c r="N1497" s="3">
        <v>0</v>
      </c>
    </row>
    <row r="1498" spans="1:14" hidden="1" x14ac:dyDescent="0.35">
      <c r="A1498">
        <v>2441</v>
      </c>
      <c r="B1498" s="4" t="s">
        <v>54</v>
      </c>
      <c r="C1498" s="4" t="s">
        <v>142</v>
      </c>
      <c r="D1498" s="4" t="s">
        <v>25</v>
      </c>
      <c r="E1498">
        <v>0</v>
      </c>
      <c r="F1498" s="3">
        <v>2747.1967</v>
      </c>
      <c r="G1498" s="2">
        <v>0.81</v>
      </c>
      <c r="H1498" s="3">
        <v>0</v>
      </c>
      <c r="I1498" s="1">
        <v>45539</v>
      </c>
      <c r="J1498" s="4" t="s">
        <v>20</v>
      </c>
      <c r="K1498" s="4" t="s">
        <v>40</v>
      </c>
      <c r="L1498" s="3">
        <v>1220.9100000000001</v>
      </c>
      <c r="M1498" s="4" t="s">
        <v>1255</v>
      </c>
      <c r="N1498" s="3">
        <v>0</v>
      </c>
    </row>
    <row r="1499" spans="1:14" x14ac:dyDescent="0.35">
      <c r="A1499">
        <v>2442</v>
      </c>
      <c r="B1499" s="4" t="s">
        <v>172</v>
      </c>
      <c r="C1499" s="4" t="s">
        <v>388</v>
      </c>
      <c r="D1499" s="4" t="s">
        <v>16</v>
      </c>
      <c r="E1499">
        <v>0</v>
      </c>
      <c r="F1499" s="3">
        <v>2745.1268</v>
      </c>
      <c r="G1499" s="2">
        <v>0.64822857142857204</v>
      </c>
      <c r="H1499" s="3">
        <v>0</v>
      </c>
      <c r="I1499" s="1">
        <v>45688</v>
      </c>
      <c r="J1499" s="4" t="s">
        <v>20</v>
      </c>
      <c r="K1499" s="4" t="s">
        <v>8</v>
      </c>
      <c r="L1499" s="3">
        <v>-937.17</v>
      </c>
      <c r="M1499" s="4" t="s">
        <v>1255</v>
      </c>
      <c r="N1499" s="3">
        <v>0</v>
      </c>
    </row>
    <row r="1500" spans="1:14" hidden="1" x14ac:dyDescent="0.35">
      <c r="A1500">
        <v>2443</v>
      </c>
      <c r="B1500" s="4" t="s">
        <v>358</v>
      </c>
      <c r="C1500" s="4" t="s">
        <v>268</v>
      </c>
      <c r="D1500" s="4" t="s">
        <v>28</v>
      </c>
      <c r="E1500">
        <v>1</v>
      </c>
      <c r="F1500" s="3">
        <v>4981.8599999999997</v>
      </c>
      <c r="G1500" s="2">
        <v>0.64822857142857204</v>
      </c>
      <c r="H1500" s="3">
        <v>0</v>
      </c>
      <c r="I1500" s="1">
        <v>45562</v>
      </c>
      <c r="J1500" s="4" t="s">
        <v>20</v>
      </c>
      <c r="K1500" s="4" t="s">
        <v>40</v>
      </c>
      <c r="L1500" s="3">
        <v>1410.16</v>
      </c>
      <c r="M1500" s="4" t="s">
        <v>1255</v>
      </c>
      <c r="N1500" s="3">
        <v>4981.8599999999997</v>
      </c>
    </row>
    <row r="1501" spans="1:14" x14ac:dyDescent="0.35">
      <c r="A1501">
        <v>2444</v>
      </c>
      <c r="B1501" s="4" t="s">
        <v>999</v>
      </c>
      <c r="C1501" s="4" t="s">
        <v>403</v>
      </c>
      <c r="D1501" s="4" t="s">
        <v>16</v>
      </c>
      <c r="E1501">
        <v>0</v>
      </c>
      <c r="F1501" s="3">
        <v>3470.88</v>
      </c>
      <c r="G1501" s="2">
        <v>0.64822857142857204</v>
      </c>
      <c r="H1501" s="3">
        <v>0</v>
      </c>
      <c r="I1501" s="1">
        <v>45562</v>
      </c>
      <c r="J1501" s="4" t="s">
        <v>20</v>
      </c>
      <c r="K1501" s="4" t="s">
        <v>12</v>
      </c>
      <c r="L1501" s="3">
        <v>638.83000000000004</v>
      </c>
      <c r="M1501" s="4" t="s">
        <v>1255</v>
      </c>
      <c r="N1501" s="3">
        <v>0</v>
      </c>
    </row>
    <row r="1502" spans="1:14" x14ac:dyDescent="0.35">
      <c r="A1502">
        <v>2445</v>
      </c>
      <c r="B1502" s="4" t="s">
        <v>228</v>
      </c>
      <c r="C1502" s="4" t="s">
        <v>1038</v>
      </c>
      <c r="D1502" s="4" t="s">
        <v>35</v>
      </c>
      <c r="E1502">
        <v>0</v>
      </c>
      <c r="F1502" s="3">
        <v>2282.02</v>
      </c>
      <c r="G1502" s="2">
        <v>0.64822857142857204</v>
      </c>
      <c r="H1502" s="3">
        <v>0</v>
      </c>
      <c r="I1502" s="1">
        <v>45658</v>
      </c>
      <c r="J1502" s="4" t="s">
        <v>11</v>
      </c>
      <c r="K1502" s="4" t="s">
        <v>8</v>
      </c>
      <c r="L1502" s="3">
        <v>555.12</v>
      </c>
      <c r="M1502" s="4" t="s">
        <v>1255</v>
      </c>
      <c r="N1502" s="3">
        <v>0</v>
      </c>
    </row>
    <row r="1503" spans="1:14" hidden="1" x14ac:dyDescent="0.35">
      <c r="A1503">
        <v>2447</v>
      </c>
      <c r="B1503" s="4" t="s">
        <v>361</v>
      </c>
      <c r="C1503" s="4" t="s">
        <v>1032</v>
      </c>
      <c r="D1503" s="4" t="s">
        <v>24</v>
      </c>
      <c r="E1503">
        <v>6</v>
      </c>
      <c r="F1503" s="3">
        <v>1773.3</v>
      </c>
      <c r="G1503" s="2">
        <v>0.64644699140401196</v>
      </c>
      <c r="H1503" s="3">
        <v>0</v>
      </c>
      <c r="I1503" s="1">
        <v>45607</v>
      </c>
      <c r="J1503" s="4" t="s">
        <v>23</v>
      </c>
      <c r="K1503" s="4" t="s">
        <v>40</v>
      </c>
      <c r="L1503" s="3">
        <v>2073.35</v>
      </c>
      <c r="M1503" s="4" t="s">
        <v>1255</v>
      </c>
      <c r="N1503" s="3">
        <v>10639.8</v>
      </c>
    </row>
    <row r="1504" spans="1:14" x14ac:dyDescent="0.35">
      <c r="A1504">
        <v>2448</v>
      </c>
      <c r="B1504" s="4" t="s">
        <v>224</v>
      </c>
      <c r="C1504" s="4" t="s">
        <v>102</v>
      </c>
      <c r="D1504" s="4" t="s">
        <v>30</v>
      </c>
      <c r="E1504">
        <v>3</v>
      </c>
      <c r="F1504" s="3">
        <v>2740.3932</v>
      </c>
      <c r="G1504" s="2">
        <v>0.64644699140401196</v>
      </c>
      <c r="H1504" s="3">
        <v>0</v>
      </c>
      <c r="I1504" s="1">
        <v>45844</v>
      </c>
      <c r="J1504" s="4" t="s">
        <v>7</v>
      </c>
      <c r="K1504" s="4" t="s">
        <v>8</v>
      </c>
      <c r="L1504" s="3">
        <v>-244.83</v>
      </c>
      <c r="M1504" s="4" t="s">
        <v>1255</v>
      </c>
      <c r="N1504" s="3">
        <v>8221.1795999999995</v>
      </c>
    </row>
    <row r="1505" spans="1:14" hidden="1" x14ac:dyDescent="0.35">
      <c r="A1505">
        <v>2449</v>
      </c>
      <c r="B1505" s="4" t="s">
        <v>122</v>
      </c>
      <c r="C1505" s="4" t="s">
        <v>199</v>
      </c>
      <c r="D1505" s="4" t="s">
        <v>29</v>
      </c>
      <c r="E1505">
        <v>0</v>
      </c>
      <c r="F1505" s="3">
        <v>2344.38</v>
      </c>
      <c r="G1505" s="2">
        <v>0.64644699140401196</v>
      </c>
      <c r="H1505" s="3">
        <v>0</v>
      </c>
      <c r="I1505" s="1">
        <v>45844</v>
      </c>
      <c r="J1505" s="4" t="s">
        <v>11</v>
      </c>
      <c r="K1505" s="4" t="s">
        <v>40</v>
      </c>
      <c r="L1505" s="3">
        <v>419.95</v>
      </c>
      <c r="M1505" s="4" t="s">
        <v>1255</v>
      </c>
      <c r="N1505" s="3">
        <v>0</v>
      </c>
    </row>
    <row r="1506" spans="1:14" hidden="1" x14ac:dyDescent="0.35">
      <c r="A1506">
        <v>2450</v>
      </c>
      <c r="B1506" s="4" t="s">
        <v>185</v>
      </c>
      <c r="C1506" s="4" t="s">
        <v>1039</v>
      </c>
      <c r="D1506" s="4" t="s">
        <v>35</v>
      </c>
      <c r="E1506">
        <v>2</v>
      </c>
      <c r="F1506" s="3">
        <v>3333.87</v>
      </c>
      <c r="G1506" s="2">
        <v>0.64644699140401196</v>
      </c>
      <c r="H1506" s="3">
        <v>0</v>
      </c>
      <c r="I1506" s="1">
        <v>45782</v>
      </c>
      <c r="J1506" s="4" t="s">
        <v>9</v>
      </c>
      <c r="K1506" s="4" t="s">
        <v>40</v>
      </c>
      <c r="L1506" s="3">
        <v>1673.63</v>
      </c>
      <c r="M1506" s="4" t="s">
        <v>1255</v>
      </c>
      <c r="N1506" s="3">
        <v>6667.74</v>
      </c>
    </row>
    <row r="1507" spans="1:14" x14ac:dyDescent="0.35">
      <c r="A1507">
        <v>2451</v>
      </c>
      <c r="B1507" s="4" t="s">
        <v>152</v>
      </c>
      <c r="C1507" s="4" t="s">
        <v>1040</v>
      </c>
      <c r="D1507" s="4" t="s">
        <v>29</v>
      </c>
      <c r="E1507">
        <v>0</v>
      </c>
      <c r="F1507" s="3">
        <v>2742.9845999999998</v>
      </c>
      <c r="G1507" s="2">
        <v>0.64644699140401196</v>
      </c>
      <c r="H1507" s="3">
        <v>0</v>
      </c>
      <c r="I1507" s="1">
        <v>45535</v>
      </c>
      <c r="J1507" s="4" t="s">
        <v>9</v>
      </c>
      <c r="K1507" s="4" t="s">
        <v>12</v>
      </c>
      <c r="L1507" s="3">
        <v>1177.96</v>
      </c>
      <c r="M1507" s="4" t="s">
        <v>1255</v>
      </c>
      <c r="N1507" s="3">
        <v>0</v>
      </c>
    </row>
    <row r="1508" spans="1:14" x14ac:dyDescent="0.35">
      <c r="A1508">
        <v>2453</v>
      </c>
      <c r="B1508" s="4" t="s">
        <v>115</v>
      </c>
      <c r="C1508" s="4" t="s">
        <v>1041</v>
      </c>
      <c r="D1508" s="4" t="s">
        <v>6</v>
      </c>
      <c r="E1508">
        <v>0</v>
      </c>
      <c r="F1508" s="3">
        <v>2741.8591000000001</v>
      </c>
      <c r="G1508" s="2">
        <v>0.72</v>
      </c>
      <c r="H1508" s="3">
        <v>0</v>
      </c>
      <c r="I1508" s="1">
        <v>45441</v>
      </c>
      <c r="J1508" s="4" t="s">
        <v>23</v>
      </c>
      <c r="K1508" s="4" t="s">
        <v>12</v>
      </c>
      <c r="L1508" s="3">
        <v>382.31</v>
      </c>
      <c r="M1508" s="4" t="s">
        <v>1255</v>
      </c>
      <c r="N1508" s="3">
        <v>0</v>
      </c>
    </row>
    <row r="1509" spans="1:14" hidden="1" x14ac:dyDescent="0.35">
      <c r="A1509">
        <v>2454</v>
      </c>
      <c r="B1509" s="4" t="s">
        <v>224</v>
      </c>
      <c r="C1509" s="4" t="s">
        <v>530</v>
      </c>
      <c r="D1509" s="4" t="s">
        <v>15</v>
      </c>
      <c r="E1509">
        <v>3</v>
      </c>
      <c r="F1509" s="3">
        <v>2741.8591000000001</v>
      </c>
      <c r="G1509" s="2">
        <v>0.646235632183908</v>
      </c>
      <c r="H1509" s="3">
        <v>0</v>
      </c>
      <c r="I1509" s="1">
        <v>45441</v>
      </c>
      <c r="J1509" s="4" t="s">
        <v>18</v>
      </c>
      <c r="K1509" s="4" t="s">
        <v>40</v>
      </c>
      <c r="L1509" s="3">
        <v>1961.19</v>
      </c>
      <c r="M1509" s="4" t="s">
        <v>1255</v>
      </c>
      <c r="N1509" s="3">
        <v>8225.5773000000008</v>
      </c>
    </row>
    <row r="1510" spans="1:14" hidden="1" x14ac:dyDescent="0.35">
      <c r="A1510">
        <v>2455</v>
      </c>
      <c r="B1510" s="4" t="s">
        <v>306</v>
      </c>
      <c r="C1510" s="4" t="s">
        <v>74</v>
      </c>
      <c r="D1510" s="4" t="s">
        <v>22</v>
      </c>
      <c r="E1510">
        <v>0</v>
      </c>
      <c r="F1510" s="3">
        <v>2741.8591000000001</v>
      </c>
      <c r="G1510" s="2">
        <v>0.646235632183908</v>
      </c>
      <c r="H1510" s="3">
        <v>0</v>
      </c>
      <c r="I1510" s="1">
        <v>45441</v>
      </c>
      <c r="J1510" s="4" t="s">
        <v>20</v>
      </c>
      <c r="K1510" s="4" t="s">
        <v>40</v>
      </c>
      <c r="L1510" s="3">
        <v>2153.0100000000002</v>
      </c>
      <c r="M1510" s="4" t="s">
        <v>1255</v>
      </c>
      <c r="N1510" s="3">
        <v>0</v>
      </c>
    </row>
    <row r="1511" spans="1:14" x14ac:dyDescent="0.35">
      <c r="A1511">
        <v>2456</v>
      </c>
      <c r="B1511" s="4" t="s">
        <v>224</v>
      </c>
      <c r="C1511" s="4" t="s">
        <v>604</v>
      </c>
      <c r="D1511" s="4" t="s">
        <v>35</v>
      </c>
      <c r="E1511">
        <v>0</v>
      </c>
      <c r="F1511" s="3">
        <v>889.88</v>
      </c>
      <c r="G1511" s="2">
        <v>0.646235632183908</v>
      </c>
      <c r="H1511" s="3">
        <v>0</v>
      </c>
      <c r="I1511" s="1">
        <v>45706</v>
      </c>
      <c r="J1511" s="4" t="s">
        <v>9</v>
      </c>
      <c r="K1511" s="4" t="s">
        <v>12</v>
      </c>
      <c r="L1511" s="3">
        <v>1607.65</v>
      </c>
      <c r="M1511" s="4" t="s">
        <v>1255</v>
      </c>
      <c r="N1511" s="3">
        <v>0</v>
      </c>
    </row>
    <row r="1512" spans="1:14" x14ac:dyDescent="0.35">
      <c r="A1512">
        <v>2457</v>
      </c>
      <c r="B1512" s="4" t="s">
        <v>252</v>
      </c>
      <c r="C1512" s="4" t="s">
        <v>924</v>
      </c>
      <c r="D1512" s="4" t="s">
        <v>34</v>
      </c>
      <c r="E1512">
        <v>6</v>
      </c>
      <c r="F1512" s="3">
        <v>2741.8591000000001</v>
      </c>
      <c r="G1512" s="2">
        <v>1.25</v>
      </c>
      <c r="H1512" s="3">
        <v>0</v>
      </c>
      <c r="I1512" s="1">
        <v>45550</v>
      </c>
      <c r="J1512" s="4" t="s">
        <v>7</v>
      </c>
      <c r="K1512" s="4" t="s">
        <v>8</v>
      </c>
      <c r="L1512" s="3">
        <v>179.36</v>
      </c>
      <c r="M1512" s="4" t="s">
        <v>1255</v>
      </c>
      <c r="N1512" s="3">
        <v>16451.154600000002</v>
      </c>
    </row>
    <row r="1513" spans="1:14" x14ac:dyDescent="0.35">
      <c r="A1513">
        <v>2458</v>
      </c>
      <c r="B1513" s="4" t="s">
        <v>141</v>
      </c>
      <c r="C1513" s="4" t="s">
        <v>923</v>
      </c>
      <c r="D1513" s="4" t="s">
        <v>37</v>
      </c>
      <c r="E1513">
        <v>0</v>
      </c>
      <c r="F1513" s="3">
        <v>2745.3933999999999</v>
      </c>
      <c r="G1513" s="2">
        <v>0.64</v>
      </c>
      <c r="H1513" s="3">
        <v>0</v>
      </c>
      <c r="I1513" s="1">
        <v>45606</v>
      </c>
      <c r="J1513" s="4" t="s">
        <v>7</v>
      </c>
      <c r="K1513" s="4" t="s">
        <v>12</v>
      </c>
      <c r="L1513" s="3">
        <v>163.69</v>
      </c>
      <c r="M1513" s="4" t="s">
        <v>1255</v>
      </c>
      <c r="N1513" s="3">
        <v>0</v>
      </c>
    </row>
    <row r="1514" spans="1:14" hidden="1" x14ac:dyDescent="0.35">
      <c r="A1514">
        <v>2459</v>
      </c>
      <c r="B1514" s="4" t="s">
        <v>510</v>
      </c>
      <c r="C1514" s="4" t="s">
        <v>203</v>
      </c>
      <c r="D1514" s="4" t="s">
        <v>19</v>
      </c>
      <c r="E1514">
        <v>0</v>
      </c>
      <c r="F1514" s="3">
        <v>2745.3933999999999</v>
      </c>
      <c r="G1514" s="2">
        <v>0.64450867052023098</v>
      </c>
      <c r="H1514" s="3">
        <v>0</v>
      </c>
      <c r="I1514" s="1">
        <v>45606</v>
      </c>
      <c r="J1514" s="4" t="s">
        <v>11</v>
      </c>
      <c r="K1514" s="4" t="s">
        <v>40</v>
      </c>
      <c r="L1514" s="3">
        <v>2616.96</v>
      </c>
      <c r="M1514" s="4" t="s">
        <v>1255</v>
      </c>
      <c r="N1514" s="3">
        <v>0</v>
      </c>
    </row>
    <row r="1515" spans="1:14" hidden="1" x14ac:dyDescent="0.35">
      <c r="A1515">
        <v>2460</v>
      </c>
      <c r="B1515" s="4" t="s">
        <v>1042</v>
      </c>
      <c r="C1515" s="4" t="s">
        <v>74</v>
      </c>
      <c r="D1515" s="4" t="s">
        <v>33</v>
      </c>
      <c r="E1515">
        <v>-2</v>
      </c>
      <c r="F1515" s="3">
        <v>3157.28</v>
      </c>
      <c r="G1515" s="2">
        <v>7.0000000000000007E-2</v>
      </c>
      <c r="H1515" s="3">
        <v>-5872.54</v>
      </c>
      <c r="I1515" s="1">
        <v>45194</v>
      </c>
      <c r="J1515" s="4" t="s">
        <v>23</v>
      </c>
      <c r="K1515" s="4" t="s">
        <v>40</v>
      </c>
      <c r="L1515" s="3">
        <v>971.15</v>
      </c>
      <c r="M1515" s="4" t="s">
        <v>1255</v>
      </c>
      <c r="N1515" s="3">
        <v>-6314.56</v>
      </c>
    </row>
    <row r="1516" spans="1:14" x14ac:dyDescent="0.35">
      <c r="A1516">
        <v>2461</v>
      </c>
      <c r="B1516" s="4" t="s">
        <v>164</v>
      </c>
      <c r="C1516" s="4" t="s">
        <v>368</v>
      </c>
      <c r="D1516" s="4" t="s">
        <v>10</v>
      </c>
      <c r="E1516">
        <v>1</v>
      </c>
      <c r="F1516" s="3">
        <v>4225.58</v>
      </c>
      <c r="G1516" s="2">
        <v>0.64617391304347804</v>
      </c>
      <c r="H1516" s="3">
        <v>0</v>
      </c>
      <c r="I1516" s="1">
        <v>45685</v>
      </c>
      <c r="J1516" s="4" t="s">
        <v>23</v>
      </c>
      <c r="K1516" s="4" t="s">
        <v>12</v>
      </c>
      <c r="L1516" s="3">
        <v>-793.29</v>
      </c>
      <c r="M1516" s="4" t="s">
        <v>1255</v>
      </c>
      <c r="N1516" s="3">
        <v>4225.58</v>
      </c>
    </row>
    <row r="1517" spans="1:14" hidden="1" x14ac:dyDescent="0.35">
      <c r="A1517">
        <v>2462</v>
      </c>
      <c r="B1517" s="4" t="s">
        <v>93</v>
      </c>
      <c r="C1517" s="4" t="s">
        <v>104</v>
      </c>
      <c r="D1517" s="4" t="s">
        <v>14</v>
      </c>
      <c r="E1517">
        <v>2</v>
      </c>
      <c r="F1517" s="3">
        <v>2123.2199999999998</v>
      </c>
      <c r="G1517" s="2">
        <v>0.64617391304347804</v>
      </c>
      <c r="H1517" s="3">
        <v>0</v>
      </c>
      <c r="I1517" s="1">
        <v>45833</v>
      </c>
      <c r="J1517" s="4" t="s">
        <v>11</v>
      </c>
      <c r="K1517" s="4" t="s">
        <v>40</v>
      </c>
      <c r="L1517" s="3">
        <v>2645.36</v>
      </c>
      <c r="M1517" s="4" t="s">
        <v>1255</v>
      </c>
      <c r="N1517" s="3">
        <v>4246.4399999999996</v>
      </c>
    </row>
    <row r="1518" spans="1:14" hidden="1" x14ac:dyDescent="0.35">
      <c r="A1518">
        <v>2463</v>
      </c>
      <c r="B1518" s="4" t="s">
        <v>125</v>
      </c>
      <c r="C1518" s="4" t="s">
        <v>129</v>
      </c>
      <c r="D1518" s="4" t="s">
        <v>19</v>
      </c>
      <c r="E1518">
        <v>0</v>
      </c>
      <c r="F1518" s="3">
        <v>405.52</v>
      </c>
      <c r="G1518" s="2">
        <v>0.64617391304347804</v>
      </c>
      <c r="H1518" s="3">
        <v>0</v>
      </c>
      <c r="I1518" s="1">
        <v>45723</v>
      </c>
      <c r="J1518" s="4" t="s">
        <v>7</v>
      </c>
      <c r="K1518" s="4" t="s">
        <v>40</v>
      </c>
      <c r="L1518" s="3">
        <v>2036.57</v>
      </c>
      <c r="M1518" s="4" t="s">
        <v>1255</v>
      </c>
      <c r="N1518" s="3">
        <v>0</v>
      </c>
    </row>
    <row r="1519" spans="1:14" hidden="1" x14ac:dyDescent="0.35">
      <c r="A1519">
        <v>2464</v>
      </c>
      <c r="B1519" s="4" t="s">
        <v>807</v>
      </c>
      <c r="C1519" s="4" t="s">
        <v>651</v>
      </c>
      <c r="D1519" s="4" t="s">
        <v>29</v>
      </c>
      <c r="E1519">
        <v>-1</v>
      </c>
      <c r="F1519" s="3">
        <v>2742.9560000000001</v>
      </c>
      <c r="G1519" s="2">
        <v>0.32</v>
      </c>
      <c r="H1519" s="3">
        <v>0</v>
      </c>
      <c r="I1519" s="1">
        <v>45751</v>
      </c>
      <c r="J1519" s="4" t="s">
        <v>23</v>
      </c>
      <c r="K1519" s="4" t="s">
        <v>40</v>
      </c>
      <c r="L1519" s="3">
        <v>2742.15</v>
      </c>
      <c r="M1519" s="4" t="s">
        <v>1255</v>
      </c>
      <c r="N1519" s="3">
        <v>-2742.9560000000001</v>
      </c>
    </row>
    <row r="1520" spans="1:14" x14ac:dyDescent="0.35">
      <c r="A1520">
        <v>2465</v>
      </c>
      <c r="B1520" s="4" t="s">
        <v>435</v>
      </c>
      <c r="C1520" s="4" t="s">
        <v>1043</v>
      </c>
      <c r="D1520" s="4" t="s">
        <v>21</v>
      </c>
      <c r="E1520">
        <v>0</v>
      </c>
      <c r="F1520" s="3">
        <v>493.99</v>
      </c>
      <c r="G1520" s="2">
        <v>0.64712209302325596</v>
      </c>
      <c r="H1520" s="3">
        <v>0</v>
      </c>
      <c r="I1520" s="1">
        <v>45684</v>
      </c>
      <c r="J1520" s="4" t="s">
        <v>23</v>
      </c>
      <c r="K1520" s="4" t="s">
        <v>12</v>
      </c>
      <c r="L1520" s="3">
        <v>-365.9</v>
      </c>
      <c r="M1520" s="4" t="s">
        <v>1255</v>
      </c>
      <c r="N1520" s="3">
        <v>0</v>
      </c>
    </row>
    <row r="1521" spans="1:14" x14ac:dyDescent="0.35">
      <c r="A1521">
        <v>2466</v>
      </c>
      <c r="B1521" s="4" t="s">
        <v>97</v>
      </c>
      <c r="C1521" s="4" t="s">
        <v>1044</v>
      </c>
      <c r="D1521" s="4" t="s">
        <v>24</v>
      </c>
      <c r="E1521">
        <v>0</v>
      </c>
      <c r="F1521" s="3">
        <v>2335.61</v>
      </c>
      <c r="G1521" s="2">
        <v>0.17</v>
      </c>
      <c r="H1521" s="3">
        <v>0</v>
      </c>
      <c r="I1521" s="1">
        <v>45684</v>
      </c>
      <c r="J1521" s="4" t="s">
        <v>9</v>
      </c>
      <c r="K1521" s="4" t="s">
        <v>12</v>
      </c>
      <c r="L1521" s="3">
        <v>-36.92</v>
      </c>
      <c r="M1521" s="4" t="s">
        <v>1255</v>
      </c>
      <c r="N1521" s="3">
        <v>0</v>
      </c>
    </row>
    <row r="1522" spans="1:14" x14ac:dyDescent="0.35">
      <c r="A1522">
        <v>2467</v>
      </c>
      <c r="B1522" s="4" t="s">
        <v>1014</v>
      </c>
      <c r="C1522" s="4" t="s">
        <v>61</v>
      </c>
      <c r="D1522" s="4" t="s">
        <v>13</v>
      </c>
      <c r="E1522">
        <v>0</v>
      </c>
      <c r="F1522" s="3">
        <v>2751.7930000000001</v>
      </c>
      <c r="G1522" s="2">
        <v>0.64851311953352797</v>
      </c>
      <c r="H1522" s="3">
        <v>0</v>
      </c>
      <c r="I1522" s="1">
        <v>45823</v>
      </c>
      <c r="J1522" s="4" t="s">
        <v>11</v>
      </c>
      <c r="K1522" s="4" t="s">
        <v>8</v>
      </c>
      <c r="L1522" s="3">
        <v>485.02</v>
      </c>
      <c r="M1522" s="4" t="s">
        <v>1255</v>
      </c>
      <c r="N1522" s="3">
        <v>0</v>
      </c>
    </row>
    <row r="1523" spans="1:14" hidden="1" x14ac:dyDescent="0.35">
      <c r="A1523">
        <v>2468</v>
      </c>
      <c r="B1523" s="4" t="s">
        <v>758</v>
      </c>
      <c r="C1523" s="4" t="s">
        <v>529</v>
      </c>
      <c r="D1523" s="4" t="s">
        <v>37</v>
      </c>
      <c r="E1523">
        <v>0</v>
      </c>
      <c r="F1523" s="3">
        <v>2752.5963999999999</v>
      </c>
      <c r="G1523" s="2">
        <v>0.64851311953352797</v>
      </c>
      <c r="H1523" s="3">
        <v>0</v>
      </c>
      <c r="I1523" s="1">
        <v>45760</v>
      </c>
      <c r="J1523" s="4" t="s">
        <v>11</v>
      </c>
      <c r="K1523" s="4" t="s">
        <v>40</v>
      </c>
      <c r="L1523" s="3">
        <v>1149.6500000000001</v>
      </c>
      <c r="M1523" s="4" t="s">
        <v>1255</v>
      </c>
      <c r="N1523" s="3">
        <v>0</v>
      </c>
    </row>
    <row r="1524" spans="1:14" hidden="1" x14ac:dyDescent="0.35">
      <c r="A1524">
        <v>2469</v>
      </c>
      <c r="B1524" s="4" t="s">
        <v>49</v>
      </c>
      <c r="C1524" s="4" t="s">
        <v>411</v>
      </c>
      <c r="D1524" s="4" t="s">
        <v>27</v>
      </c>
      <c r="E1524">
        <v>0</v>
      </c>
      <c r="F1524" s="3">
        <v>4132.13</v>
      </c>
      <c r="G1524" s="2">
        <v>0.64851311953352797</v>
      </c>
      <c r="H1524" s="3">
        <v>0</v>
      </c>
      <c r="I1524" s="1">
        <v>45776</v>
      </c>
      <c r="J1524" s="4" t="s">
        <v>11</v>
      </c>
      <c r="K1524" s="4" t="s">
        <v>40</v>
      </c>
      <c r="L1524" s="3">
        <v>828.43</v>
      </c>
      <c r="M1524" s="4" t="s">
        <v>1255</v>
      </c>
      <c r="N1524" s="3">
        <v>0</v>
      </c>
    </row>
    <row r="1525" spans="1:14" x14ac:dyDescent="0.35">
      <c r="A1525">
        <v>2470</v>
      </c>
      <c r="B1525" s="4" t="s">
        <v>192</v>
      </c>
      <c r="C1525" s="4" t="s">
        <v>61</v>
      </c>
      <c r="D1525" s="4" t="s">
        <v>10</v>
      </c>
      <c r="E1525">
        <v>3</v>
      </c>
      <c r="F1525" s="3">
        <v>2752.5963999999999</v>
      </c>
      <c r="G1525" s="2">
        <v>0.74</v>
      </c>
      <c r="H1525" s="3">
        <v>0</v>
      </c>
      <c r="I1525" s="1">
        <v>45535</v>
      </c>
      <c r="J1525" s="4" t="s">
        <v>20</v>
      </c>
      <c r="K1525" s="4" t="s">
        <v>12</v>
      </c>
      <c r="L1525" s="3">
        <v>321.20999999999998</v>
      </c>
      <c r="M1525" s="4" t="s">
        <v>1255</v>
      </c>
      <c r="N1525" s="3">
        <v>8257.7891999999993</v>
      </c>
    </row>
    <row r="1526" spans="1:14" x14ac:dyDescent="0.35">
      <c r="A1526">
        <v>2471</v>
      </c>
      <c r="B1526" s="4" t="s">
        <v>172</v>
      </c>
      <c r="C1526" s="4" t="s">
        <v>971</v>
      </c>
      <c r="D1526" s="4" t="s">
        <v>6</v>
      </c>
      <c r="E1526">
        <v>0</v>
      </c>
      <c r="F1526" s="3">
        <v>4457.83</v>
      </c>
      <c r="G1526" s="2">
        <v>0.66</v>
      </c>
      <c r="H1526" s="3">
        <v>0</v>
      </c>
      <c r="I1526" s="1">
        <v>45535</v>
      </c>
      <c r="J1526" s="4" t="s">
        <v>20</v>
      </c>
      <c r="K1526" s="4" t="s">
        <v>12</v>
      </c>
      <c r="L1526" s="3">
        <v>780.39</v>
      </c>
      <c r="M1526" s="4" t="s">
        <v>1255</v>
      </c>
      <c r="N1526" s="3">
        <v>0</v>
      </c>
    </row>
    <row r="1527" spans="1:14" x14ac:dyDescent="0.35">
      <c r="A1527">
        <v>2472</v>
      </c>
      <c r="B1527" s="4" t="s">
        <v>304</v>
      </c>
      <c r="C1527" s="4" t="s">
        <v>917</v>
      </c>
      <c r="D1527" s="4" t="s">
        <v>32</v>
      </c>
      <c r="E1527">
        <v>0</v>
      </c>
      <c r="F1527" s="3">
        <v>4357.9399999999996</v>
      </c>
      <c r="G1527" s="2">
        <v>0.33</v>
      </c>
      <c r="H1527" s="3">
        <v>0</v>
      </c>
      <c r="I1527" s="1">
        <v>45535</v>
      </c>
      <c r="J1527" s="4" t="s">
        <v>7</v>
      </c>
      <c r="K1527" s="4" t="s">
        <v>12</v>
      </c>
      <c r="L1527" s="3">
        <v>971.5</v>
      </c>
      <c r="M1527" s="4" t="s">
        <v>1255</v>
      </c>
      <c r="N1527" s="3">
        <v>0</v>
      </c>
    </row>
    <row r="1528" spans="1:14" hidden="1" x14ac:dyDescent="0.35">
      <c r="A1528">
        <v>2473</v>
      </c>
      <c r="B1528" s="4" t="s">
        <v>145</v>
      </c>
      <c r="C1528" s="4" t="s">
        <v>316</v>
      </c>
      <c r="D1528" s="4" t="s">
        <v>22</v>
      </c>
      <c r="E1528">
        <v>6</v>
      </c>
      <c r="F1528" s="3">
        <v>408.21</v>
      </c>
      <c r="G1528" s="2">
        <v>1.1599999999999999</v>
      </c>
      <c r="H1528" s="3">
        <v>-391.88</v>
      </c>
      <c r="I1528" s="1">
        <v>45516</v>
      </c>
      <c r="J1528" s="4" t="s">
        <v>7</v>
      </c>
      <c r="K1528" s="4" t="s">
        <v>40</v>
      </c>
      <c r="L1528" s="3">
        <v>611.86</v>
      </c>
      <c r="M1528" s="4" t="s">
        <v>1255</v>
      </c>
      <c r="N1528" s="3">
        <v>2449.2600000000002</v>
      </c>
    </row>
    <row r="1529" spans="1:14" x14ac:dyDescent="0.35">
      <c r="A1529">
        <v>2474</v>
      </c>
      <c r="B1529" s="4" t="s">
        <v>183</v>
      </c>
      <c r="C1529" s="4" t="s">
        <v>82</v>
      </c>
      <c r="D1529" s="4" t="s">
        <v>13</v>
      </c>
      <c r="E1529">
        <v>0</v>
      </c>
      <c r="F1529" s="3">
        <v>2743.4893999999999</v>
      </c>
      <c r="G1529" s="2">
        <v>0.64764011799410104</v>
      </c>
      <c r="H1529" s="3">
        <v>0</v>
      </c>
      <c r="I1529" s="1">
        <v>45605</v>
      </c>
      <c r="J1529" s="4" t="s">
        <v>18</v>
      </c>
      <c r="K1529" s="4" t="s">
        <v>12</v>
      </c>
      <c r="L1529" s="3">
        <v>-930.79</v>
      </c>
      <c r="M1529" s="4" t="s">
        <v>1255</v>
      </c>
      <c r="N1529" s="3">
        <v>0</v>
      </c>
    </row>
    <row r="1530" spans="1:14" x14ac:dyDescent="0.35">
      <c r="A1530">
        <v>2475</v>
      </c>
      <c r="B1530" s="4" t="s">
        <v>824</v>
      </c>
      <c r="C1530" s="4" t="s">
        <v>1032</v>
      </c>
      <c r="D1530" s="4" t="s">
        <v>34</v>
      </c>
      <c r="E1530">
        <v>5</v>
      </c>
      <c r="F1530" s="3">
        <v>642.48</v>
      </c>
      <c r="G1530" s="2">
        <v>0.17</v>
      </c>
      <c r="H1530" s="3">
        <v>2666.29</v>
      </c>
      <c r="I1530" s="1">
        <v>45605</v>
      </c>
      <c r="J1530" s="4" t="s">
        <v>9</v>
      </c>
      <c r="K1530" s="4" t="s">
        <v>8</v>
      </c>
      <c r="L1530" s="3">
        <v>1800.37</v>
      </c>
      <c r="M1530" s="4" t="s">
        <v>1256</v>
      </c>
      <c r="N1530" s="3">
        <v>3212.4</v>
      </c>
    </row>
    <row r="1531" spans="1:14" x14ac:dyDescent="0.35">
      <c r="A1531">
        <v>2476</v>
      </c>
      <c r="B1531" s="4" t="s">
        <v>419</v>
      </c>
      <c r="C1531" s="4" t="s">
        <v>207</v>
      </c>
      <c r="D1531" s="4" t="s">
        <v>17</v>
      </c>
      <c r="E1531">
        <v>5</v>
      </c>
      <c r="F1531" s="3">
        <v>2967.26</v>
      </c>
      <c r="G1531" s="2">
        <v>0.64905325443786999</v>
      </c>
      <c r="H1531" s="3">
        <v>0</v>
      </c>
      <c r="I1531" s="1">
        <v>45605</v>
      </c>
      <c r="J1531" s="4" t="s">
        <v>23</v>
      </c>
      <c r="K1531" s="4" t="s">
        <v>12</v>
      </c>
      <c r="L1531" s="3">
        <v>2069.15</v>
      </c>
      <c r="M1531" s="4" t="s">
        <v>1255</v>
      </c>
      <c r="N1531" s="3">
        <v>14836.3</v>
      </c>
    </row>
    <row r="1532" spans="1:14" x14ac:dyDescent="0.35">
      <c r="A1532">
        <v>2477</v>
      </c>
      <c r="B1532" s="4" t="s">
        <v>134</v>
      </c>
      <c r="C1532" s="4" t="s">
        <v>997</v>
      </c>
      <c r="D1532" s="4" t="s">
        <v>29</v>
      </c>
      <c r="E1532">
        <v>3</v>
      </c>
      <c r="F1532" s="3">
        <v>3725.14</v>
      </c>
      <c r="G1532" s="2">
        <v>0.64905325443786999</v>
      </c>
      <c r="H1532" s="3">
        <v>0</v>
      </c>
      <c r="I1532" s="1">
        <v>45605</v>
      </c>
      <c r="J1532" s="4" t="s">
        <v>18</v>
      </c>
      <c r="K1532" s="4" t="s">
        <v>8</v>
      </c>
      <c r="L1532" s="3">
        <v>1220.32</v>
      </c>
      <c r="M1532" s="4" t="s">
        <v>1255</v>
      </c>
      <c r="N1532" s="3">
        <v>11175.42</v>
      </c>
    </row>
    <row r="1533" spans="1:14" x14ac:dyDescent="0.35">
      <c r="A1533">
        <v>2478</v>
      </c>
      <c r="B1533" s="4" t="s">
        <v>1045</v>
      </c>
      <c r="C1533" s="4" t="s">
        <v>1046</v>
      </c>
      <c r="D1533" s="4" t="s">
        <v>31</v>
      </c>
      <c r="E1533">
        <v>0</v>
      </c>
      <c r="F1533" s="3">
        <v>1904.58</v>
      </c>
      <c r="G1533" s="2">
        <v>0.64905325443786999</v>
      </c>
      <c r="H1533" s="3">
        <v>0</v>
      </c>
      <c r="I1533" s="1">
        <v>45557</v>
      </c>
      <c r="J1533" s="4" t="s">
        <v>11</v>
      </c>
      <c r="K1533" s="4" t="s">
        <v>12</v>
      </c>
      <c r="L1533" s="3">
        <v>2090.91</v>
      </c>
      <c r="M1533" s="4" t="s">
        <v>1255</v>
      </c>
      <c r="N1533" s="3">
        <v>0</v>
      </c>
    </row>
    <row r="1534" spans="1:14" x14ac:dyDescent="0.35">
      <c r="A1534">
        <v>2479</v>
      </c>
      <c r="B1534" s="4" t="s">
        <v>219</v>
      </c>
      <c r="C1534" s="4" t="s">
        <v>489</v>
      </c>
      <c r="D1534" s="4" t="s">
        <v>38</v>
      </c>
      <c r="E1534">
        <v>-1</v>
      </c>
      <c r="F1534" s="3">
        <v>2749.8121000000001</v>
      </c>
      <c r="G1534" s="2">
        <v>1.1100000000000001</v>
      </c>
      <c r="H1534" s="3">
        <v>0</v>
      </c>
      <c r="I1534" s="1">
        <v>45696</v>
      </c>
      <c r="J1534" s="4" t="s">
        <v>20</v>
      </c>
      <c r="K1534" s="4" t="s">
        <v>12</v>
      </c>
      <c r="L1534" s="3">
        <v>81.23</v>
      </c>
      <c r="M1534" s="4" t="s">
        <v>1255</v>
      </c>
      <c r="N1534" s="3">
        <v>-2749.8121000000001</v>
      </c>
    </row>
    <row r="1535" spans="1:14" hidden="1" x14ac:dyDescent="0.35">
      <c r="A1535">
        <v>2480</v>
      </c>
      <c r="B1535" s="4" t="s">
        <v>93</v>
      </c>
      <c r="C1535" s="4" t="s">
        <v>776</v>
      </c>
      <c r="D1535" s="4" t="s">
        <v>22</v>
      </c>
      <c r="E1535">
        <v>0</v>
      </c>
      <c r="F1535" s="3">
        <v>2751.4694</v>
      </c>
      <c r="G1535" s="2">
        <v>0.14000000000000001</v>
      </c>
      <c r="H1535" s="3">
        <v>0</v>
      </c>
      <c r="I1535" s="1">
        <v>45573</v>
      </c>
      <c r="J1535" s="4" t="s">
        <v>18</v>
      </c>
      <c r="K1535" s="4" t="s">
        <v>40</v>
      </c>
      <c r="L1535" s="3">
        <v>1556.81</v>
      </c>
      <c r="M1535" s="4" t="s">
        <v>1255</v>
      </c>
      <c r="N1535" s="3">
        <v>0</v>
      </c>
    </row>
    <row r="1536" spans="1:14" hidden="1" x14ac:dyDescent="0.35">
      <c r="A1536">
        <v>2481</v>
      </c>
      <c r="B1536" s="4" t="s">
        <v>81</v>
      </c>
      <c r="C1536" s="4" t="s">
        <v>794</v>
      </c>
      <c r="D1536" s="4" t="s">
        <v>27</v>
      </c>
      <c r="E1536">
        <v>0</v>
      </c>
      <c r="F1536" s="3">
        <v>2751.4694</v>
      </c>
      <c r="G1536" s="2">
        <v>0.64919642857142901</v>
      </c>
      <c r="H1536" s="3">
        <v>0</v>
      </c>
      <c r="I1536" s="1">
        <v>45774</v>
      </c>
      <c r="J1536" s="4" t="s">
        <v>11</v>
      </c>
      <c r="K1536" s="4" t="s">
        <v>40</v>
      </c>
      <c r="L1536" s="3">
        <v>142.82</v>
      </c>
      <c r="M1536" s="4" t="s">
        <v>1255</v>
      </c>
      <c r="N1536" s="3">
        <v>0</v>
      </c>
    </row>
    <row r="1537" spans="1:14" x14ac:dyDescent="0.35">
      <c r="A1537">
        <v>2483</v>
      </c>
      <c r="B1537" s="4" t="s">
        <v>299</v>
      </c>
      <c r="C1537" s="4" t="s">
        <v>388</v>
      </c>
      <c r="D1537" s="4" t="s">
        <v>25</v>
      </c>
      <c r="E1537">
        <v>0</v>
      </c>
      <c r="F1537" s="3">
        <v>2751.4694</v>
      </c>
      <c r="G1537" s="2">
        <v>0.96</v>
      </c>
      <c r="H1537" s="3">
        <v>0</v>
      </c>
      <c r="I1537" s="1">
        <v>45790</v>
      </c>
      <c r="J1537" s="4" t="s">
        <v>20</v>
      </c>
      <c r="K1537" s="4" t="s">
        <v>12</v>
      </c>
      <c r="L1537" s="3">
        <v>-369.21</v>
      </c>
      <c r="M1537" s="4" t="s">
        <v>1255</v>
      </c>
      <c r="N1537" s="3">
        <v>0</v>
      </c>
    </row>
    <row r="1538" spans="1:14" x14ac:dyDescent="0.35">
      <c r="A1538">
        <v>2484</v>
      </c>
      <c r="B1538" s="4" t="s">
        <v>228</v>
      </c>
      <c r="C1538" s="4" t="s">
        <v>368</v>
      </c>
      <c r="D1538" s="4" t="s">
        <v>28</v>
      </c>
      <c r="E1538">
        <v>0</v>
      </c>
      <c r="F1538" s="3">
        <v>2748.1532000000002</v>
      </c>
      <c r="G1538" s="2">
        <v>0.64826865671641798</v>
      </c>
      <c r="H1538" s="3">
        <v>0</v>
      </c>
      <c r="I1538" s="1">
        <v>45622</v>
      </c>
      <c r="J1538" s="4" t="s">
        <v>20</v>
      </c>
      <c r="K1538" s="4" t="s">
        <v>8</v>
      </c>
      <c r="L1538" s="3">
        <v>516.5</v>
      </c>
      <c r="M1538" s="4" t="s">
        <v>1255</v>
      </c>
      <c r="N1538" s="3">
        <v>0</v>
      </c>
    </row>
    <row r="1539" spans="1:14" hidden="1" x14ac:dyDescent="0.35">
      <c r="A1539">
        <v>2486</v>
      </c>
      <c r="B1539" s="4" t="s">
        <v>71</v>
      </c>
      <c r="C1539" s="4" t="s">
        <v>399</v>
      </c>
      <c r="D1539" s="4" t="s">
        <v>34</v>
      </c>
      <c r="E1539">
        <v>-2</v>
      </c>
      <c r="F1539" s="3">
        <v>2748.1532000000002</v>
      </c>
      <c r="G1539" s="2">
        <v>0.64826865671641798</v>
      </c>
      <c r="H1539" s="3">
        <v>0</v>
      </c>
      <c r="I1539" s="1">
        <v>45507</v>
      </c>
      <c r="J1539" s="4" t="s">
        <v>9</v>
      </c>
      <c r="K1539" s="4" t="s">
        <v>40</v>
      </c>
      <c r="L1539" s="3">
        <v>2082.36</v>
      </c>
      <c r="M1539" s="4" t="s">
        <v>1255</v>
      </c>
      <c r="N1539" s="3">
        <v>-5496.3064000000004</v>
      </c>
    </row>
    <row r="1540" spans="1:14" hidden="1" x14ac:dyDescent="0.35">
      <c r="A1540">
        <v>2487</v>
      </c>
      <c r="B1540" s="4" t="s">
        <v>623</v>
      </c>
      <c r="C1540" s="4" t="s">
        <v>156</v>
      </c>
      <c r="D1540" s="4" t="s">
        <v>34</v>
      </c>
      <c r="E1540">
        <v>-2</v>
      </c>
      <c r="F1540" s="3">
        <v>2749.4222</v>
      </c>
      <c r="G1540" s="2">
        <v>0.64826865671641798</v>
      </c>
      <c r="H1540" s="3">
        <v>0</v>
      </c>
      <c r="I1540" s="1">
        <v>45706</v>
      </c>
      <c r="J1540" s="4" t="s">
        <v>11</v>
      </c>
      <c r="K1540" s="4" t="s">
        <v>40</v>
      </c>
      <c r="L1540" s="3">
        <v>-395.34</v>
      </c>
      <c r="M1540" s="4" t="s">
        <v>1255</v>
      </c>
      <c r="N1540" s="3">
        <v>-5498.8444</v>
      </c>
    </row>
    <row r="1541" spans="1:14" x14ac:dyDescent="0.35">
      <c r="A1541">
        <v>2488</v>
      </c>
      <c r="B1541" s="4" t="s">
        <v>145</v>
      </c>
      <c r="C1541" s="4" t="s">
        <v>1047</v>
      </c>
      <c r="D1541" s="4" t="s">
        <v>27</v>
      </c>
      <c r="E1541">
        <v>0</v>
      </c>
      <c r="F1541" s="3">
        <v>718.84</v>
      </c>
      <c r="G1541" s="2">
        <v>0.53</v>
      </c>
      <c r="H1541" s="3">
        <v>0</v>
      </c>
      <c r="I1541" s="1">
        <v>45335</v>
      </c>
      <c r="J1541" s="4" t="s">
        <v>9</v>
      </c>
      <c r="K1541" s="4" t="s">
        <v>12</v>
      </c>
      <c r="L1541" s="3">
        <v>528.71</v>
      </c>
      <c r="M1541" s="4" t="s">
        <v>1255</v>
      </c>
      <c r="N1541" s="3">
        <v>0</v>
      </c>
    </row>
    <row r="1542" spans="1:14" hidden="1" x14ac:dyDescent="0.35">
      <c r="A1542">
        <v>2489</v>
      </c>
      <c r="B1542" s="4" t="s">
        <v>410</v>
      </c>
      <c r="C1542" s="4" t="s">
        <v>878</v>
      </c>
      <c r="D1542" s="4" t="s">
        <v>29</v>
      </c>
      <c r="E1542">
        <v>0</v>
      </c>
      <c r="F1542" s="3">
        <v>2749.4222</v>
      </c>
      <c r="G1542" s="2">
        <v>0.64862275449101803</v>
      </c>
      <c r="H1542" s="3">
        <v>0</v>
      </c>
      <c r="I1542" s="1">
        <v>45842</v>
      </c>
      <c r="J1542" s="4" t="s">
        <v>20</v>
      </c>
      <c r="K1542" s="4" t="s">
        <v>40</v>
      </c>
      <c r="L1542" s="3">
        <v>-194.49</v>
      </c>
      <c r="M1542" s="4" t="s">
        <v>1255</v>
      </c>
      <c r="N1542" s="3">
        <v>0</v>
      </c>
    </row>
    <row r="1543" spans="1:14" hidden="1" x14ac:dyDescent="0.35">
      <c r="A1543">
        <v>2490</v>
      </c>
      <c r="B1543" s="4" t="s">
        <v>510</v>
      </c>
      <c r="C1543" s="4" t="s">
        <v>1048</v>
      </c>
      <c r="D1543" s="4" t="s">
        <v>37</v>
      </c>
      <c r="E1543">
        <v>5</v>
      </c>
      <c r="F1543" s="3">
        <v>688.38</v>
      </c>
      <c r="G1543" s="2">
        <v>0.64862275449101803</v>
      </c>
      <c r="H1543" s="3">
        <v>0</v>
      </c>
      <c r="I1543" s="1">
        <v>45624</v>
      </c>
      <c r="J1543" s="4" t="s">
        <v>18</v>
      </c>
      <c r="K1543" s="4" t="s">
        <v>40</v>
      </c>
      <c r="L1543" s="3">
        <v>-25.21</v>
      </c>
      <c r="M1543" s="4" t="s">
        <v>1255</v>
      </c>
      <c r="N1543" s="3">
        <v>3441.9</v>
      </c>
    </row>
    <row r="1544" spans="1:14" x14ac:dyDescent="0.35">
      <c r="A1544">
        <v>2491</v>
      </c>
      <c r="B1544" s="4" t="s">
        <v>125</v>
      </c>
      <c r="C1544" s="4" t="s">
        <v>1036</v>
      </c>
      <c r="D1544" s="4" t="s">
        <v>22</v>
      </c>
      <c r="E1544">
        <v>0</v>
      </c>
      <c r="F1544" s="3">
        <v>2753.4272999999998</v>
      </c>
      <c r="G1544" s="2">
        <v>0.68</v>
      </c>
      <c r="H1544" s="3">
        <v>0</v>
      </c>
      <c r="I1544" s="1">
        <v>45517</v>
      </c>
      <c r="J1544" s="4" t="s">
        <v>18</v>
      </c>
      <c r="K1544" s="4" t="s">
        <v>8</v>
      </c>
      <c r="L1544" s="3">
        <v>2466.0100000000002</v>
      </c>
      <c r="M1544" s="4" t="s">
        <v>1255</v>
      </c>
      <c r="N1544" s="3">
        <v>0</v>
      </c>
    </row>
    <row r="1545" spans="1:14" x14ac:dyDescent="0.35">
      <c r="A1545">
        <v>2492</v>
      </c>
      <c r="B1545" s="4" t="s">
        <v>879</v>
      </c>
      <c r="C1545" s="4" t="s">
        <v>801</v>
      </c>
      <c r="D1545" s="4" t="s">
        <v>27</v>
      </c>
      <c r="E1545">
        <v>-1</v>
      </c>
      <c r="F1545" s="3">
        <v>2757.5084000000002</v>
      </c>
      <c r="G1545" s="2">
        <v>0.64852852852852905</v>
      </c>
      <c r="H1545" s="3">
        <v>0</v>
      </c>
      <c r="I1545" s="1">
        <v>45845</v>
      </c>
      <c r="J1545" s="4" t="s">
        <v>18</v>
      </c>
      <c r="K1545" s="4" t="s">
        <v>8</v>
      </c>
      <c r="L1545" s="3">
        <v>549.15</v>
      </c>
      <c r="M1545" s="4" t="s">
        <v>1255</v>
      </c>
      <c r="N1545" s="3">
        <v>-2757.5084000000002</v>
      </c>
    </row>
    <row r="1546" spans="1:14" hidden="1" x14ac:dyDescent="0.35">
      <c r="A1546">
        <v>2493</v>
      </c>
      <c r="B1546" s="4" t="s">
        <v>43</v>
      </c>
      <c r="C1546" s="4" t="s">
        <v>197</v>
      </c>
      <c r="D1546" s="4" t="s">
        <v>24</v>
      </c>
      <c r="E1546">
        <v>2</v>
      </c>
      <c r="F1546" s="3">
        <v>2757.5084000000002</v>
      </c>
      <c r="G1546" s="2">
        <v>0.92</v>
      </c>
      <c r="H1546" s="3">
        <v>0</v>
      </c>
      <c r="I1546" s="1">
        <v>45845</v>
      </c>
      <c r="J1546" s="4" t="s">
        <v>9</v>
      </c>
      <c r="K1546" s="4" t="s">
        <v>40</v>
      </c>
      <c r="L1546" s="3">
        <v>452.38</v>
      </c>
      <c r="M1546" s="4" t="s">
        <v>1255</v>
      </c>
      <c r="N1546" s="3">
        <v>5515.0168000000003</v>
      </c>
    </row>
    <row r="1547" spans="1:14" x14ac:dyDescent="0.35">
      <c r="A1547">
        <v>2494</v>
      </c>
      <c r="B1547" s="4" t="s">
        <v>60</v>
      </c>
      <c r="C1547" s="4" t="s">
        <v>941</v>
      </c>
      <c r="D1547" s="4" t="s">
        <v>13</v>
      </c>
      <c r="E1547">
        <v>3</v>
      </c>
      <c r="F1547" s="3">
        <v>2757.5084000000002</v>
      </c>
      <c r="G1547" s="2">
        <v>1.1599999999999999</v>
      </c>
      <c r="H1547" s="3">
        <v>0</v>
      </c>
      <c r="I1547" s="1">
        <v>45782</v>
      </c>
      <c r="J1547" s="4" t="s">
        <v>23</v>
      </c>
      <c r="K1547" s="4" t="s">
        <v>12</v>
      </c>
      <c r="L1547" s="3">
        <v>1753.67</v>
      </c>
      <c r="M1547" s="4" t="s">
        <v>1255</v>
      </c>
      <c r="N1547" s="3">
        <v>8272.5252</v>
      </c>
    </row>
    <row r="1548" spans="1:14" x14ac:dyDescent="0.35">
      <c r="A1548">
        <v>2495</v>
      </c>
      <c r="B1548" s="4" t="s">
        <v>1049</v>
      </c>
      <c r="C1548" s="4" t="s">
        <v>810</v>
      </c>
      <c r="D1548" s="4" t="s">
        <v>6</v>
      </c>
      <c r="E1548">
        <v>0</v>
      </c>
      <c r="F1548" s="3">
        <v>1106.0899999999999</v>
      </c>
      <c r="G1548" s="2">
        <v>0.64616314199395797</v>
      </c>
      <c r="H1548" s="3">
        <v>0</v>
      </c>
      <c r="I1548" s="1">
        <v>45197</v>
      </c>
      <c r="J1548" s="4" t="s">
        <v>7</v>
      </c>
      <c r="K1548" s="4" t="s">
        <v>8</v>
      </c>
      <c r="L1548" s="3">
        <v>1838.39</v>
      </c>
      <c r="M1548" s="4" t="s">
        <v>1255</v>
      </c>
      <c r="N1548" s="3">
        <v>0</v>
      </c>
    </row>
    <row r="1549" spans="1:14" hidden="1" x14ac:dyDescent="0.35">
      <c r="A1549">
        <v>2496</v>
      </c>
      <c r="B1549" s="4" t="s">
        <v>43</v>
      </c>
      <c r="C1549" s="4" t="s">
        <v>303</v>
      </c>
      <c r="D1549" s="4" t="s">
        <v>10</v>
      </c>
      <c r="E1549">
        <v>-2</v>
      </c>
      <c r="F1549" s="3">
        <v>2757.5084000000002</v>
      </c>
      <c r="G1549" s="2">
        <v>0.64616314199395797</v>
      </c>
      <c r="H1549" s="3">
        <v>0</v>
      </c>
      <c r="I1549" s="1">
        <v>45800</v>
      </c>
      <c r="J1549" s="4" t="s">
        <v>7</v>
      </c>
      <c r="K1549" s="4" t="s">
        <v>40</v>
      </c>
      <c r="L1549" s="3">
        <v>2882.47</v>
      </c>
      <c r="M1549" s="4" t="s">
        <v>1255</v>
      </c>
      <c r="N1549" s="3">
        <v>-5515.0168000000003</v>
      </c>
    </row>
    <row r="1550" spans="1:14" x14ac:dyDescent="0.35">
      <c r="A1550">
        <v>2497</v>
      </c>
      <c r="B1550" s="4" t="s">
        <v>863</v>
      </c>
      <c r="C1550" s="4" t="s">
        <v>400</v>
      </c>
      <c r="D1550" s="4" t="s">
        <v>33</v>
      </c>
      <c r="E1550">
        <v>1</v>
      </c>
      <c r="F1550" s="3">
        <v>3607.5</v>
      </c>
      <c r="G1550" s="2">
        <v>0.64616314199395797</v>
      </c>
      <c r="H1550" s="3">
        <v>0</v>
      </c>
      <c r="I1550" s="1">
        <v>45670</v>
      </c>
      <c r="J1550" s="4" t="s">
        <v>9</v>
      </c>
      <c r="K1550" s="4" t="s">
        <v>12</v>
      </c>
      <c r="L1550" s="3">
        <v>-341.21</v>
      </c>
      <c r="M1550" s="4" t="s">
        <v>1255</v>
      </c>
      <c r="N1550" s="3">
        <v>3607.5</v>
      </c>
    </row>
    <row r="1551" spans="1:14" x14ac:dyDescent="0.35">
      <c r="A1551">
        <v>2498</v>
      </c>
      <c r="B1551" s="4" t="s">
        <v>813</v>
      </c>
      <c r="C1551" s="4" t="s">
        <v>531</v>
      </c>
      <c r="D1551" s="4" t="s">
        <v>10</v>
      </c>
      <c r="E1551">
        <v>4</v>
      </c>
      <c r="F1551" s="3">
        <v>2043.67</v>
      </c>
      <c r="G1551" s="2">
        <v>0.64616314199395797</v>
      </c>
      <c r="H1551" s="3">
        <v>0</v>
      </c>
      <c r="I1551" s="1">
        <v>45176</v>
      </c>
      <c r="J1551" s="4" t="s">
        <v>20</v>
      </c>
      <c r="K1551" s="4" t="s">
        <v>8</v>
      </c>
      <c r="L1551" s="3">
        <v>-24.72</v>
      </c>
      <c r="M1551" s="4" t="s">
        <v>1255</v>
      </c>
      <c r="N1551" s="3">
        <v>8174.68</v>
      </c>
    </row>
    <row r="1552" spans="1:14" hidden="1" x14ac:dyDescent="0.35">
      <c r="A1552">
        <v>2499</v>
      </c>
      <c r="B1552" s="4" t="s">
        <v>71</v>
      </c>
      <c r="C1552" s="4" t="s">
        <v>197</v>
      </c>
      <c r="D1552" s="4" t="s">
        <v>17</v>
      </c>
      <c r="E1552">
        <v>-2</v>
      </c>
      <c r="F1552" s="3">
        <v>4638.76</v>
      </c>
      <c r="G1552" s="2">
        <v>0.64616314199395797</v>
      </c>
      <c r="H1552" s="3">
        <v>0</v>
      </c>
      <c r="I1552" s="1">
        <v>45677</v>
      </c>
      <c r="J1552" s="4" t="s">
        <v>23</v>
      </c>
      <c r="K1552" s="4" t="s">
        <v>40</v>
      </c>
      <c r="L1552" s="3">
        <v>379.89</v>
      </c>
      <c r="M1552" s="4" t="s">
        <v>1255</v>
      </c>
      <c r="N1552" s="3">
        <v>-9277.52</v>
      </c>
    </row>
    <row r="1553" spans="1:14" x14ac:dyDescent="0.35">
      <c r="A1553">
        <v>2500</v>
      </c>
      <c r="B1553" s="4" t="s">
        <v>91</v>
      </c>
      <c r="C1553" s="4" t="s">
        <v>856</v>
      </c>
      <c r="D1553" s="4" t="s">
        <v>33</v>
      </c>
      <c r="E1553">
        <v>5</v>
      </c>
      <c r="F1553" s="3">
        <v>2760.5207999999998</v>
      </c>
      <c r="G1553" s="2">
        <v>0.92</v>
      </c>
      <c r="H1553" s="3">
        <v>0</v>
      </c>
      <c r="I1553" s="1">
        <v>45503</v>
      </c>
      <c r="J1553" s="4" t="s">
        <v>7</v>
      </c>
      <c r="K1553" s="4" t="s">
        <v>12</v>
      </c>
      <c r="L1553" s="3">
        <v>765.43</v>
      </c>
      <c r="M1553" s="4" t="s">
        <v>1255</v>
      </c>
      <c r="N1553" s="3">
        <v>13802.603999999999</v>
      </c>
    </row>
    <row r="1554" spans="1:14" x14ac:dyDescent="0.35">
      <c r="A1554">
        <v>2501</v>
      </c>
      <c r="B1554" s="4" t="s">
        <v>212</v>
      </c>
      <c r="C1554" s="4" t="s">
        <v>261</v>
      </c>
      <c r="D1554" s="4" t="s">
        <v>24</v>
      </c>
      <c r="E1554">
        <v>0</v>
      </c>
      <c r="F1554" s="3">
        <v>2756.7793000000001</v>
      </c>
      <c r="G1554" s="2">
        <v>0.64533333333333398</v>
      </c>
      <c r="H1554" s="3">
        <v>0</v>
      </c>
      <c r="I1554" s="1">
        <v>45503</v>
      </c>
      <c r="J1554" s="4" t="s">
        <v>9</v>
      </c>
      <c r="K1554" s="4" t="s">
        <v>12</v>
      </c>
      <c r="L1554" s="3">
        <v>106.21</v>
      </c>
      <c r="M1554" s="4" t="s">
        <v>1255</v>
      </c>
      <c r="N1554" s="3">
        <v>0</v>
      </c>
    </row>
    <row r="1555" spans="1:14" x14ac:dyDescent="0.35">
      <c r="A1555">
        <v>2502</v>
      </c>
      <c r="B1555" s="4" t="s">
        <v>1050</v>
      </c>
      <c r="C1555" s="4" t="s">
        <v>632</v>
      </c>
      <c r="D1555" s="4" t="s">
        <v>13</v>
      </c>
      <c r="E1555">
        <v>0</v>
      </c>
      <c r="F1555" s="3">
        <v>2756.7793000000001</v>
      </c>
      <c r="G1555" s="2">
        <v>1</v>
      </c>
      <c r="H1555" s="3">
        <v>0</v>
      </c>
      <c r="I1555" s="1">
        <v>45855</v>
      </c>
      <c r="J1555" s="4" t="s">
        <v>11</v>
      </c>
      <c r="K1555" s="4" t="s">
        <v>12</v>
      </c>
      <c r="L1555" s="3">
        <v>653.4</v>
      </c>
      <c r="M1555" s="4" t="s">
        <v>1255</v>
      </c>
      <c r="N1555" s="3">
        <v>0</v>
      </c>
    </row>
    <row r="1556" spans="1:14" hidden="1" x14ac:dyDescent="0.35">
      <c r="A1556">
        <v>2503</v>
      </c>
      <c r="B1556" s="4" t="s">
        <v>145</v>
      </c>
      <c r="C1556" s="4" t="s">
        <v>376</v>
      </c>
      <c r="D1556" s="4" t="s">
        <v>19</v>
      </c>
      <c r="E1556">
        <v>0</v>
      </c>
      <c r="F1556" s="3">
        <v>1259.22</v>
      </c>
      <c r="G1556" s="2">
        <v>0.64425531914893597</v>
      </c>
      <c r="H1556" s="3">
        <v>0</v>
      </c>
      <c r="I1556" s="1">
        <v>45499</v>
      </c>
      <c r="J1556" s="4" t="s">
        <v>18</v>
      </c>
      <c r="K1556" s="4" t="s">
        <v>40</v>
      </c>
      <c r="L1556" s="3">
        <v>120.44</v>
      </c>
      <c r="M1556" s="4" t="s">
        <v>1255</v>
      </c>
      <c r="N1556" s="3">
        <v>0</v>
      </c>
    </row>
    <row r="1557" spans="1:14" x14ac:dyDescent="0.35">
      <c r="A1557">
        <v>2504</v>
      </c>
      <c r="B1557" s="4" t="s">
        <v>1051</v>
      </c>
      <c r="C1557" s="4" t="s">
        <v>913</v>
      </c>
      <c r="D1557" s="4" t="s">
        <v>25</v>
      </c>
      <c r="E1557">
        <v>2</v>
      </c>
      <c r="F1557" s="3">
        <v>2756.7793000000001</v>
      </c>
      <c r="G1557" s="2">
        <v>1.2</v>
      </c>
      <c r="H1557" s="3">
        <v>0</v>
      </c>
      <c r="I1557" s="1">
        <v>45499</v>
      </c>
      <c r="J1557" s="4" t="s">
        <v>9</v>
      </c>
      <c r="K1557" s="4" t="s">
        <v>12</v>
      </c>
      <c r="L1557" s="3">
        <v>-757.99</v>
      </c>
      <c r="M1557" s="4" t="s">
        <v>1255</v>
      </c>
      <c r="N1557" s="3">
        <v>5513.5586000000003</v>
      </c>
    </row>
    <row r="1558" spans="1:14" x14ac:dyDescent="0.35">
      <c r="A1558">
        <v>2505</v>
      </c>
      <c r="B1558" s="4" t="s">
        <v>52</v>
      </c>
      <c r="C1558" s="4" t="s">
        <v>190</v>
      </c>
      <c r="D1558" s="4" t="s">
        <v>22</v>
      </c>
      <c r="E1558">
        <v>-1</v>
      </c>
      <c r="F1558" s="3">
        <v>1258.77</v>
      </c>
      <c r="G1558" s="2">
        <v>0.71</v>
      </c>
      <c r="H1558" s="3">
        <v>-365.04</v>
      </c>
      <c r="I1558" s="1">
        <v>45658</v>
      </c>
      <c r="J1558" s="4" t="s">
        <v>23</v>
      </c>
      <c r="K1558" s="4" t="s">
        <v>12</v>
      </c>
      <c r="L1558" s="3">
        <v>549.6</v>
      </c>
      <c r="M1558" s="4" t="s">
        <v>1255</v>
      </c>
      <c r="N1558" s="3">
        <v>-1258.77</v>
      </c>
    </row>
    <row r="1559" spans="1:14" x14ac:dyDescent="0.35">
      <c r="A1559">
        <v>2506</v>
      </c>
      <c r="B1559" s="4" t="s">
        <v>797</v>
      </c>
      <c r="C1559" s="4" t="s">
        <v>1052</v>
      </c>
      <c r="D1559" s="4" t="s">
        <v>34</v>
      </c>
      <c r="E1559">
        <v>0</v>
      </c>
      <c r="F1559" s="3">
        <v>2759.7685000000001</v>
      </c>
      <c r="G1559" s="2">
        <v>0.642354740061162</v>
      </c>
      <c r="H1559" s="3">
        <v>0</v>
      </c>
      <c r="I1559" s="1">
        <v>45649</v>
      </c>
      <c r="J1559" s="4" t="s">
        <v>23</v>
      </c>
      <c r="K1559" s="4" t="s">
        <v>12</v>
      </c>
      <c r="L1559" s="3">
        <v>1734.31</v>
      </c>
      <c r="M1559" s="4" t="s">
        <v>1255</v>
      </c>
      <c r="N1559" s="3">
        <v>0</v>
      </c>
    </row>
    <row r="1560" spans="1:14" x14ac:dyDescent="0.35">
      <c r="A1560">
        <v>2507</v>
      </c>
      <c r="B1560" s="4" t="s">
        <v>152</v>
      </c>
      <c r="C1560" s="4" t="s">
        <v>78</v>
      </c>
      <c r="D1560" s="4" t="s">
        <v>28</v>
      </c>
      <c r="E1560">
        <v>0</v>
      </c>
      <c r="F1560" s="3">
        <v>2762.7705000000001</v>
      </c>
      <c r="G1560" s="2">
        <v>0.642354740061162</v>
      </c>
      <c r="H1560" s="3">
        <v>0</v>
      </c>
      <c r="I1560" s="1">
        <v>45821</v>
      </c>
      <c r="J1560" s="4" t="s">
        <v>9</v>
      </c>
      <c r="K1560" s="4" t="s">
        <v>8</v>
      </c>
      <c r="L1560" s="3">
        <v>339.83</v>
      </c>
      <c r="M1560" s="4" t="s">
        <v>1255</v>
      </c>
      <c r="N1560" s="3">
        <v>0</v>
      </c>
    </row>
    <row r="1561" spans="1:14" x14ac:dyDescent="0.35">
      <c r="A1561">
        <v>2508</v>
      </c>
      <c r="B1561" s="4" t="s">
        <v>379</v>
      </c>
      <c r="C1561" s="4" t="s">
        <v>261</v>
      </c>
      <c r="D1561" s="4" t="s">
        <v>37</v>
      </c>
      <c r="E1561">
        <v>0</v>
      </c>
      <c r="F1561" s="3">
        <v>4245.43</v>
      </c>
      <c r="G1561" s="2">
        <v>0.642354740061162</v>
      </c>
      <c r="H1561" s="3">
        <v>0</v>
      </c>
      <c r="I1561" s="1">
        <v>45739</v>
      </c>
      <c r="J1561" s="4" t="s">
        <v>18</v>
      </c>
      <c r="K1561" s="4" t="s">
        <v>12</v>
      </c>
      <c r="L1561" s="3">
        <v>-556.03</v>
      </c>
      <c r="M1561" s="4" t="s">
        <v>1255</v>
      </c>
      <c r="N1561" s="3">
        <v>0</v>
      </c>
    </row>
    <row r="1562" spans="1:14" hidden="1" x14ac:dyDescent="0.35">
      <c r="A1562">
        <v>2509</v>
      </c>
      <c r="B1562" s="4" t="s">
        <v>167</v>
      </c>
      <c r="C1562" s="4" t="s">
        <v>1053</v>
      </c>
      <c r="D1562" s="4" t="s">
        <v>10</v>
      </c>
      <c r="E1562">
        <v>5</v>
      </c>
      <c r="F1562" s="3">
        <v>2762.7705000000001</v>
      </c>
      <c r="G1562" s="2">
        <v>0.642354740061162</v>
      </c>
      <c r="H1562" s="3">
        <v>0</v>
      </c>
      <c r="I1562" s="1">
        <v>45538</v>
      </c>
      <c r="J1562" s="4" t="s">
        <v>20</v>
      </c>
      <c r="K1562" s="4" t="s">
        <v>40</v>
      </c>
      <c r="L1562" s="3">
        <v>1995.3</v>
      </c>
      <c r="M1562" s="4" t="s">
        <v>1255</v>
      </c>
      <c r="N1562" s="3">
        <v>13813.852500000001</v>
      </c>
    </row>
    <row r="1563" spans="1:14" x14ac:dyDescent="0.35">
      <c r="A1563">
        <v>2510</v>
      </c>
      <c r="B1563" s="4" t="s">
        <v>93</v>
      </c>
      <c r="C1563" s="4" t="s">
        <v>420</v>
      </c>
      <c r="D1563" s="4" t="s">
        <v>24</v>
      </c>
      <c r="E1563">
        <v>0</v>
      </c>
      <c r="F1563" s="3">
        <v>2759.7991999999999</v>
      </c>
      <c r="G1563" s="2">
        <v>0.642354740061162</v>
      </c>
      <c r="H1563" s="3">
        <v>0</v>
      </c>
      <c r="I1563" s="1">
        <v>45538</v>
      </c>
      <c r="J1563" s="4" t="s">
        <v>7</v>
      </c>
      <c r="K1563" s="4" t="s">
        <v>8</v>
      </c>
      <c r="L1563" s="3">
        <v>-530.80999999999995</v>
      </c>
      <c r="M1563" s="4" t="s">
        <v>1255</v>
      </c>
      <c r="N1563" s="3">
        <v>0</v>
      </c>
    </row>
    <row r="1564" spans="1:14" x14ac:dyDescent="0.35">
      <c r="A1564">
        <v>2511</v>
      </c>
      <c r="B1564" s="4" t="s">
        <v>549</v>
      </c>
      <c r="C1564" s="4" t="s">
        <v>345</v>
      </c>
      <c r="D1564" s="4" t="s">
        <v>27</v>
      </c>
      <c r="E1564">
        <v>0</v>
      </c>
      <c r="F1564" s="3">
        <v>2822.43</v>
      </c>
      <c r="G1564" s="2">
        <v>1</v>
      </c>
      <c r="H1564" s="3">
        <v>0</v>
      </c>
      <c r="I1564" s="1">
        <v>45730</v>
      </c>
      <c r="J1564" s="4" t="s">
        <v>18</v>
      </c>
      <c r="K1564" s="4" t="s">
        <v>8</v>
      </c>
      <c r="L1564" s="3">
        <v>2522.48</v>
      </c>
      <c r="M1564" s="4" t="s">
        <v>1255</v>
      </c>
      <c r="N1564" s="3">
        <v>0</v>
      </c>
    </row>
    <row r="1565" spans="1:14" hidden="1" x14ac:dyDescent="0.35">
      <c r="A1565">
        <v>2512</v>
      </c>
      <c r="B1565" s="4" t="s">
        <v>217</v>
      </c>
      <c r="C1565" s="4" t="s">
        <v>255</v>
      </c>
      <c r="D1565" s="4" t="s">
        <v>16</v>
      </c>
      <c r="E1565">
        <v>0</v>
      </c>
      <c r="F1565" s="3">
        <v>2759.7991999999999</v>
      </c>
      <c r="G1565" s="2">
        <v>0.53</v>
      </c>
      <c r="H1565" s="3">
        <v>0</v>
      </c>
      <c r="I1565" s="1">
        <v>45580</v>
      </c>
      <c r="J1565" s="4" t="s">
        <v>18</v>
      </c>
      <c r="K1565" s="4" t="s">
        <v>40</v>
      </c>
      <c r="L1565" s="3">
        <v>958.94</v>
      </c>
      <c r="M1565" s="4" t="s">
        <v>1255</v>
      </c>
      <c r="N1565" s="3">
        <v>0</v>
      </c>
    </row>
    <row r="1566" spans="1:14" x14ac:dyDescent="0.35">
      <c r="A1566">
        <v>2513</v>
      </c>
      <c r="B1566" s="4" t="s">
        <v>224</v>
      </c>
      <c r="C1566" s="4" t="s">
        <v>1054</v>
      </c>
      <c r="D1566" s="4" t="s">
        <v>24</v>
      </c>
      <c r="E1566">
        <v>0</v>
      </c>
      <c r="F1566" s="3">
        <v>3625.99</v>
      </c>
      <c r="G1566" s="2">
        <v>0.93</v>
      </c>
      <c r="H1566" s="3">
        <v>0</v>
      </c>
      <c r="I1566" s="1">
        <v>45631</v>
      </c>
      <c r="J1566" s="4" t="s">
        <v>7</v>
      </c>
      <c r="K1566" s="4" t="s">
        <v>8</v>
      </c>
      <c r="L1566" s="3">
        <v>1552.29</v>
      </c>
      <c r="M1566" s="4" t="s">
        <v>1255</v>
      </c>
      <c r="N1566" s="3">
        <v>0</v>
      </c>
    </row>
    <row r="1567" spans="1:14" x14ac:dyDescent="0.35">
      <c r="A1567">
        <v>2514</v>
      </c>
      <c r="B1567" s="4" t="s">
        <v>835</v>
      </c>
      <c r="C1567" s="4" t="s">
        <v>336</v>
      </c>
      <c r="D1567" s="4" t="s">
        <v>21</v>
      </c>
      <c r="E1567">
        <v>4</v>
      </c>
      <c r="F1567" s="3">
        <v>2759.6734000000001</v>
      </c>
      <c r="G1567" s="2">
        <v>0.1</v>
      </c>
      <c r="H1567" s="3">
        <v>0</v>
      </c>
      <c r="I1567" s="1">
        <v>45794</v>
      </c>
      <c r="J1567" s="4" t="s">
        <v>23</v>
      </c>
      <c r="K1567" s="4" t="s">
        <v>12</v>
      </c>
      <c r="L1567" s="3">
        <v>-862.68</v>
      </c>
      <c r="M1567" s="4" t="s">
        <v>1255</v>
      </c>
      <c r="N1567" s="3">
        <v>11038.693600000001</v>
      </c>
    </row>
    <row r="1568" spans="1:14" hidden="1" x14ac:dyDescent="0.35">
      <c r="A1568">
        <v>2515</v>
      </c>
      <c r="B1568" s="4" t="s">
        <v>125</v>
      </c>
      <c r="C1568" s="4" t="s">
        <v>528</v>
      </c>
      <c r="D1568" s="4" t="s">
        <v>30</v>
      </c>
      <c r="E1568">
        <v>3</v>
      </c>
      <c r="F1568" s="3">
        <v>2757.9303</v>
      </c>
      <c r="G1568" s="2">
        <v>0.64238390092879305</v>
      </c>
      <c r="H1568" s="3">
        <v>0</v>
      </c>
      <c r="I1568" s="1">
        <v>45794</v>
      </c>
      <c r="J1568" s="4" t="s">
        <v>18</v>
      </c>
      <c r="K1568" s="4" t="s">
        <v>40</v>
      </c>
      <c r="L1568" s="3">
        <v>2802.1</v>
      </c>
      <c r="M1568" s="4" t="s">
        <v>1255</v>
      </c>
      <c r="N1568" s="3">
        <v>8273.7909</v>
      </c>
    </row>
    <row r="1569" spans="1:14" x14ac:dyDescent="0.35">
      <c r="A1569">
        <v>2516</v>
      </c>
      <c r="B1569" s="4" t="s">
        <v>192</v>
      </c>
      <c r="C1569" s="4" t="s">
        <v>242</v>
      </c>
      <c r="D1569" s="4" t="s">
        <v>32</v>
      </c>
      <c r="E1569">
        <v>1</v>
      </c>
      <c r="F1569" s="3">
        <v>1927.87</v>
      </c>
      <c r="G1569" s="2">
        <v>0.64238390092879305</v>
      </c>
      <c r="H1569" s="3">
        <v>0</v>
      </c>
      <c r="I1569" s="1">
        <v>45825</v>
      </c>
      <c r="J1569" s="4" t="s">
        <v>7</v>
      </c>
      <c r="K1569" s="4" t="s">
        <v>12</v>
      </c>
      <c r="L1569" s="3">
        <v>-876.36</v>
      </c>
      <c r="M1569" s="4" t="s">
        <v>1255</v>
      </c>
      <c r="N1569" s="3">
        <v>1927.87</v>
      </c>
    </row>
    <row r="1570" spans="1:14" hidden="1" x14ac:dyDescent="0.35">
      <c r="A1570">
        <v>2517</v>
      </c>
      <c r="B1570" s="4" t="s">
        <v>244</v>
      </c>
      <c r="C1570" s="4" t="s">
        <v>82</v>
      </c>
      <c r="D1570" s="4" t="s">
        <v>29</v>
      </c>
      <c r="E1570">
        <v>2</v>
      </c>
      <c r="F1570" s="3">
        <v>2757.9303</v>
      </c>
      <c r="G1570" s="2">
        <v>0.2</v>
      </c>
      <c r="H1570" s="3">
        <v>0</v>
      </c>
      <c r="I1570" s="1">
        <v>45641</v>
      </c>
      <c r="J1570" s="4" t="s">
        <v>20</v>
      </c>
      <c r="K1570" s="4" t="s">
        <v>40</v>
      </c>
      <c r="L1570" s="3">
        <v>409.12</v>
      </c>
      <c r="M1570" s="4" t="s">
        <v>1255</v>
      </c>
      <c r="N1570" s="3">
        <v>5515.8606</v>
      </c>
    </row>
    <row r="1571" spans="1:14" hidden="1" x14ac:dyDescent="0.35">
      <c r="A1571">
        <v>2518</v>
      </c>
      <c r="B1571" s="4" t="s">
        <v>775</v>
      </c>
      <c r="C1571" s="4" t="s">
        <v>149</v>
      </c>
      <c r="D1571" s="4" t="s">
        <v>29</v>
      </c>
      <c r="E1571">
        <v>6</v>
      </c>
      <c r="F1571" s="3">
        <v>773.28</v>
      </c>
      <c r="G1571" s="2">
        <v>0.64375776397515605</v>
      </c>
      <c r="H1571" s="3">
        <v>0</v>
      </c>
      <c r="I1571" s="1">
        <v>45744</v>
      </c>
      <c r="J1571" s="4" t="s">
        <v>20</v>
      </c>
      <c r="K1571" s="4" t="s">
        <v>40</v>
      </c>
      <c r="L1571" s="3">
        <v>608.25</v>
      </c>
      <c r="M1571" s="4" t="s">
        <v>1255</v>
      </c>
      <c r="N1571" s="3">
        <v>4639.68</v>
      </c>
    </row>
    <row r="1572" spans="1:14" hidden="1" x14ac:dyDescent="0.35">
      <c r="A1572">
        <v>2519</v>
      </c>
      <c r="B1572" s="4" t="s">
        <v>468</v>
      </c>
      <c r="C1572" s="4" t="s">
        <v>665</v>
      </c>
      <c r="D1572" s="4" t="s">
        <v>24</v>
      </c>
      <c r="E1572">
        <v>0</v>
      </c>
      <c r="F1572" s="3">
        <v>3873.82</v>
      </c>
      <c r="G1572" s="2">
        <v>0.99</v>
      </c>
      <c r="H1572" s="3">
        <v>0</v>
      </c>
      <c r="I1572" s="1">
        <v>45549</v>
      </c>
      <c r="J1572" s="4" t="s">
        <v>7</v>
      </c>
      <c r="K1572" s="4" t="s">
        <v>40</v>
      </c>
      <c r="L1572" s="3">
        <v>2122.44</v>
      </c>
      <c r="M1572" s="4" t="s">
        <v>1255</v>
      </c>
      <c r="N1572" s="3">
        <v>0</v>
      </c>
    </row>
    <row r="1573" spans="1:14" x14ac:dyDescent="0.35">
      <c r="A1573">
        <v>2520</v>
      </c>
      <c r="B1573" s="4" t="s">
        <v>264</v>
      </c>
      <c r="C1573" s="4" t="s">
        <v>1007</v>
      </c>
      <c r="D1573" s="4" t="s">
        <v>21</v>
      </c>
      <c r="E1573">
        <v>1</v>
      </c>
      <c r="F1573" s="3">
        <v>2581.19</v>
      </c>
      <c r="G1573" s="2">
        <v>1.04</v>
      </c>
      <c r="H1573" s="3">
        <v>-103.25</v>
      </c>
      <c r="I1573" s="1">
        <v>45418</v>
      </c>
      <c r="J1573" s="4" t="s">
        <v>23</v>
      </c>
      <c r="K1573" s="4" t="s">
        <v>12</v>
      </c>
      <c r="L1573" s="3">
        <v>2944.11</v>
      </c>
      <c r="M1573" s="4" t="s">
        <v>1255</v>
      </c>
      <c r="N1573" s="3">
        <v>2581.19</v>
      </c>
    </row>
    <row r="1574" spans="1:14" x14ac:dyDescent="0.35">
      <c r="A1574">
        <v>2521</v>
      </c>
      <c r="B1574" s="4" t="s">
        <v>262</v>
      </c>
      <c r="C1574" s="4" t="s">
        <v>207</v>
      </c>
      <c r="D1574" s="4" t="s">
        <v>25</v>
      </c>
      <c r="E1574">
        <v>0</v>
      </c>
      <c r="F1574" s="3">
        <v>2761.3692999999998</v>
      </c>
      <c r="G1574" s="2">
        <v>0.64143749999999999</v>
      </c>
      <c r="H1574" s="3">
        <v>0</v>
      </c>
      <c r="I1574" s="1">
        <v>45538</v>
      </c>
      <c r="J1574" s="4" t="s">
        <v>11</v>
      </c>
      <c r="K1574" s="4" t="s">
        <v>8</v>
      </c>
      <c r="L1574" s="3">
        <v>140.18</v>
      </c>
      <c r="M1574" s="4" t="s">
        <v>1255</v>
      </c>
      <c r="N1574" s="3">
        <v>0</v>
      </c>
    </row>
    <row r="1575" spans="1:14" hidden="1" x14ac:dyDescent="0.35">
      <c r="A1575">
        <v>2522</v>
      </c>
      <c r="B1575" s="4" t="s">
        <v>155</v>
      </c>
      <c r="C1575" s="4" t="s">
        <v>438</v>
      </c>
      <c r="D1575" s="4" t="s">
        <v>25</v>
      </c>
      <c r="E1575">
        <v>4</v>
      </c>
      <c r="F1575" s="3">
        <v>2847.02</v>
      </c>
      <c r="G1575" s="2">
        <v>0.56999999999999995</v>
      </c>
      <c r="H1575" s="3">
        <v>4896.87</v>
      </c>
      <c r="I1575" s="1">
        <v>45171</v>
      </c>
      <c r="J1575" s="4" t="s">
        <v>20</v>
      </c>
      <c r="K1575" s="4" t="s">
        <v>40</v>
      </c>
      <c r="L1575" s="3">
        <v>1592.04</v>
      </c>
      <c r="M1575" s="4" t="s">
        <v>1256</v>
      </c>
      <c r="N1575" s="3">
        <v>11388.08</v>
      </c>
    </row>
    <row r="1576" spans="1:14" hidden="1" x14ac:dyDescent="0.35">
      <c r="A1576">
        <v>2523</v>
      </c>
      <c r="B1576" s="4" t="s">
        <v>581</v>
      </c>
      <c r="C1576" s="4" t="s">
        <v>311</v>
      </c>
      <c r="D1576" s="4" t="s">
        <v>35</v>
      </c>
      <c r="E1576">
        <v>0</v>
      </c>
      <c r="F1576" s="3">
        <v>2840.78</v>
      </c>
      <c r="G1576" s="2">
        <v>0.64166144200626996</v>
      </c>
      <c r="H1576" s="3">
        <v>0</v>
      </c>
      <c r="I1576" s="1">
        <v>45565</v>
      </c>
      <c r="J1576" s="4" t="s">
        <v>20</v>
      </c>
      <c r="K1576" s="4" t="s">
        <v>40</v>
      </c>
      <c r="L1576" s="3">
        <v>-836.39</v>
      </c>
      <c r="M1576" s="4" t="s">
        <v>1255</v>
      </c>
      <c r="N1576" s="3">
        <v>0</v>
      </c>
    </row>
    <row r="1577" spans="1:14" hidden="1" x14ac:dyDescent="0.35">
      <c r="A1577">
        <v>2524</v>
      </c>
      <c r="B1577" s="4" t="s">
        <v>472</v>
      </c>
      <c r="C1577" s="4" t="s">
        <v>1055</v>
      </c>
      <c r="D1577" s="4" t="s">
        <v>37</v>
      </c>
      <c r="E1577">
        <v>0</v>
      </c>
      <c r="F1577" s="3">
        <v>3539.22</v>
      </c>
      <c r="G1577" s="2">
        <v>0.64166144200626996</v>
      </c>
      <c r="H1577" s="3">
        <v>0</v>
      </c>
      <c r="I1577" s="1">
        <v>45540</v>
      </c>
      <c r="J1577" s="4" t="s">
        <v>18</v>
      </c>
      <c r="K1577" s="4" t="s">
        <v>40</v>
      </c>
      <c r="L1577" s="3">
        <v>1991.27</v>
      </c>
      <c r="M1577" s="4" t="s">
        <v>1255</v>
      </c>
      <c r="N1577" s="3">
        <v>0</v>
      </c>
    </row>
    <row r="1578" spans="1:14" hidden="1" x14ac:dyDescent="0.35">
      <c r="A1578">
        <v>2525</v>
      </c>
      <c r="B1578" s="4" t="s">
        <v>1056</v>
      </c>
      <c r="C1578" s="4" t="s">
        <v>82</v>
      </c>
      <c r="D1578" s="4" t="s">
        <v>10</v>
      </c>
      <c r="E1578">
        <v>0</v>
      </c>
      <c r="F1578" s="3">
        <v>3046.11</v>
      </c>
      <c r="G1578" s="2">
        <v>0.64166144200626996</v>
      </c>
      <c r="H1578" s="3">
        <v>0</v>
      </c>
      <c r="I1578" s="1">
        <v>45776</v>
      </c>
      <c r="J1578" s="4" t="s">
        <v>18</v>
      </c>
      <c r="K1578" s="4" t="s">
        <v>40</v>
      </c>
      <c r="L1578" s="3">
        <v>-190.66</v>
      </c>
      <c r="M1578" s="4" t="s">
        <v>1255</v>
      </c>
      <c r="N1578" s="3">
        <v>0</v>
      </c>
    </row>
    <row r="1579" spans="1:14" x14ac:dyDescent="0.35">
      <c r="A1579">
        <v>2526</v>
      </c>
      <c r="B1579" s="4" t="s">
        <v>827</v>
      </c>
      <c r="C1579" s="4" t="s">
        <v>941</v>
      </c>
      <c r="D1579" s="4" t="s">
        <v>14</v>
      </c>
      <c r="E1579">
        <v>0</v>
      </c>
      <c r="F1579" s="3">
        <v>2759.8126999999999</v>
      </c>
      <c r="G1579" s="2">
        <v>0.94</v>
      </c>
      <c r="H1579" s="3">
        <v>0</v>
      </c>
      <c r="I1579" s="1">
        <v>45776</v>
      </c>
      <c r="J1579" s="4" t="s">
        <v>11</v>
      </c>
      <c r="K1579" s="4" t="s">
        <v>12</v>
      </c>
      <c r="L1579" s="3">
        <v>2853.61</v>
      </c>
      <c r="M1579" s="4" t="s">
        <v>1255</v>
      </c>
      <c r="N1579" s="3">
        <v>0</v>
      </c>
    </row>
    <row r="1580" spans="1:14" x14ac:dyDescent="0.35">
      <c r="A1580">
        <v>2527</v>
      </c>
      <c r="B1580" s="4" t="s">
        <v>375</v>
      </c>
      <c r="C1580" s="4" t="s">
        <v>173</v>
      </c>
      <c r="D1580" s="4" t="s">
        <v>38</v>
      </c>
      <c r="E1580">
        <v>-1</v>
      </c>
      <c r="F1580" s="3">
        <v>4057.33</v>
      </c>
      <c r="G1580" s="2">
        <v>1.22</v>
      </c>
      <c r="H1580" s="3">
        <v>892.61</v>
      </c>
      <c r="I1580" s="1">
        <v>45776</v>
      </c>
      <c r="J1580" s="4" t="s">
        <v>18</v>
      </c>
      <c r="K1580" s="4" t="s">
        <v>8</v>
      </c>
      <c r="L1580" s="3">
        <v>385.15</v>
      </c>
      <c r="M1580" s="4" t="s">
        <v>1256</v>
      </c>
      <c r="N1580" s="3">
        <v>-4057.33</v>
      </c>
    </row>
    <row r="1581" spans="1:14" hidden="1" x14ac:dyDescent="0.35">
      <c r="A1581">
        <v>2528</v>
      </c>
      <c r="B1581" s="4" t="s">
        <v>96</v>
      </c>
      <c r="C1581" s="4" t="s">
        <v>372</v>
      </c>
      <c r="D1581" s="4" t="s">
        <v>22</v>
      </c>
      <c r="E1581">
        <v>-1</v>
      </c>
      <c r="F1581" s="3">
        <v>2759.2271999999998</v>
      </c>
      <c r="G1581" s="2">
        <v>0.02</v>
      </c>
      <c r="H1581" s="3">
        <v>0</v>
      </c>
      <c r="I1581" s="1">
        <v>45816</v>
      </c>
      <c r="J1581" s="4" t="s">
        <v>7</v>
      </c>
      <c r="K1581" s="4" t="s">
        <v>40</v>
      </c>
      <c r="L1581" s="3">
        <v>-634.46</v>
      </c>
      <c r="M1581" s="4" t="s">
        <v>1255</v>
      </c>
      <c r="N1581" s="3">
        <v>-2759.2271999999998</v>
      </c>
    </row>
    <row r="1582" spans="1:14" x14ac:dyDescent="0.35">
      <c r="A1582">
        <v>2529</v>
      </c>
      <c r="B1582" s="4" t="s">
        <v>97</v>
      </c>
      <c r="C1582" s="4" t="s">
        <v>418</v>
      </c>
      <c r="D1582" s="4" t="s">
        <v>15</v>
      </c>
      <c r="E1582">
        <v>0</v>
      </c>
      <c r="F1582" s="3">
        <v>419.25</v>
      </c>
      <c r="G1582" s="2">
        <v>0.64085443037974699</v>
      </c>
      <c r="H1582" s="3">
        <v>0</v>
      </c>
      <c r="I1582" s="1">
        <v>45816</v>
      </c>
      <c r="J1582" s="4" t="s">
        <v>11</v>
      </c>
      <c r="K1582" s="4" t="s">
        <v>12</v>
      </c>
      <c r="L1582" s="3">
        <v>1726.68</v>
      </c>
      <c r="M1582" s="4" t="s">
        <v>1255</v>
      </c>
      <c r="N1582" s="3">
        <v>0</v>
      </c>
    </row>
    <row r="1583" spans="1:14" x14ac:dyDescent="0.35">
      <c r="A1583">
        <v>2531</v>
      </c>
      <c r="B1583" s="4" t="s">
        <v>1057</v>
      </c>
      <c r="C1583" s="4" t="s">
        <v>253</v>
      </c>
      <c r="D1583" s="4" t="s">
        <v>28</v>
      </c>
      <c r="E1583">
        <v>2</v>
      </c>
      <c r="F1583" s="3">
        <v>816.33</v>
      </c>
      <c r="G1583" s="2">
        <v>0.64085443037974699</v>
      </c>
      <c r="H1583" s="3">
        <v>0</v>
      </c>
      <c r="I1583" s="1">
        <v>45638</v>
      </c>
      <c r="J1583" s="4" t="s">
        <v>11</v>
      </c>
      <c r="K1583" s="4" t="s">
        <v>8</v>
      </c>
      <c r="L1583" s="3">
        <v>868.11</v>
      </c>
      <c r="M1583" s="4" t="s">
        <v>1255</v>
      </c>
      <c r="N1583" s="3">
        <v>1632.66</v>
      </c>
    </row>
    <row r="1584" spans="1:14" x14ac:dyDescent="0.35">
      <c r="A1584">
        <v>2532</v>
      </c>
      <c r="B1584" s="4" t="s">
        <v>134</v>
      </c>
      <c r="C1584" s="4" t="s">
        <v>1020</v>
      </c>
      <c r="D1584" s="4" t="s">
        <v>22</v>
      </c>
      <c r="E1584">
        <v>0</v>
      </c>
      <c r="F1584" s="3">
        <v>1863.19</v>
      </c>
      <c r="G1584" s="2">
        <v>0.01</v>
      </c>
      <c r="H1584" s="3">
        <v>0</v>
      </c>
      <c r="I1584" s="1">
        <v>45638</v>
      </c>
      <c r="J1584" s="4" t="s">
        <v>11</v>
      </c>
      <c r="K1584" s="4" t="s">
        <v>12</v>
      </c>
      <c r="L1584" s="3">
        <v>-371.04</v>
      </c>
      <c r="M1584" s="4" t="s">
        <v>1255</v>
      </c>
      <c r="N1584" s="3">
        <v>0</v>
      </c>
    </row>
    <row r="1585" spans="1:14" hidden="1" x14ac:dyDescent="0.35">
      <c r="A1585">
        <v>2533</v>
      </c>
      <c r="B1585" s="4" t="s">
        <v>110</v>
      </c>
      <c r="C1585" s="4" t="s">
        <v>322</v>
      </c>
      <c r="D1585" s="4" t="s">
        <v>24</v>
      </c>
      <c r="E1585">
        <v>0</v>
      </c>
      <c r="F1585" s="3">
        <v>3960.8</v>
      </c>
      <c r="G1585" s="2">
        <v>0.03</v>
      </c>
      <c r="H1585" s="3">
        <v>0</v>
      </c>
      <c r="I1585" s="1">
        <v>45666</v>
      </c>
      <c r="J1585" s="4" t="s">
        <v>11</v>
      </c>
      <c r="K1585" s="4" t="s">
        <v>40</v>
      </c>
      <c r="L1585" s="3">
        <v>1266.8800000000001</v>
      </c>
      <c r="M1585" s="4" t="s">
        <v>1255</v>
      </c>
      <c r="N1585" s="3">
        <v>0</v>
      </c>
    </row>
    <row r="1586" spans="1:14" x14ac:dyDescent="0.35">
      <c r="A1586">
        <v>2534</v>
      </c>
      <c r="B1586" s="4" t="s">
        <v>419</v>
      </c>
      <c r="C1586" s="4" t="s">
        <v>1058</v>
      </c>
      <c r="D1586" s="4" t="s">
        <v>26</v>
      </c>
      <c r="E1586">
        <v>4</v>
      </c>
      <c r="F1586" s="3">
        <v>687.34</v>
      </c>
      <c r="G1586" s="2">
        <v>1.21</v>
      </c>
      <c r="H1586" s="3">
        <v>-577.37</v>
      </c>
      <c r="I1586" s="1">
        <v>45671</v>
      </c>
      <c r="J1586" s="4" t="s">
        <v>7</v>
      </c>
      <c r="K1586" s="4" t="s">
        <v>12</v>
      </c>
      <c r="L1586" s="3">
        <v>-234.42</v>
      </c>
      <c r="M1586" s="4" t="s">
        <v>1255</v>
      </c>
      <c r="N1586" s="3">
        <v>2749.36</v>
      </c>
    </row>
    <row r="1587" spans="1:14" x14ac:dyDescent="0.35">
      <c r="A1587">
        <v>2535</v>
      </c>
      <c r="B1587" s="4" t="s">
        <v>54</v>
      </c>
      <c r="C1587" s="4" t="s">
        <v>861</v>
      </c>
      <c r="D1587" s="4" t="s">
        <v>14</v>
      </c>
      <c r="E1587">
        <v>0</v>
      </c>
      <c r="F1587" s="3">
        <v>2764.7628</v>
      </c>
      <c r="G1587" s="2">
        <v>0.64300319488817903</v>
      </c>
      <c r="H1587" s="3">
        <v>0</v>
      </c>
      <c r="I1587" s="1">
        <v>45543</v>
      </c>
      <c r="J1587" s="4" t="s">
        <v>7</v>
      </c>
      <c r="K1587" s="4" t="s">
        <v>8</v>
      </c>
      <c r="L1587" s="3">
        <v>782.05</v>
      </c>
      <c r="M1587" s="4" t="s">
        <v>1255</v>
      </c>
      <c r="N1587" s="3">
        <v>0</v>
      </c>
    </row>
    <row r="1588" spans="1:14" x14ac:dyDescent="0.35">
      <c r="A1588">
        <v>2536</v>
      </c>
      <c r="B1588" s="4" t="s">
        <v>942</v>
      </c>
      <c r="C1588" s="4" t="s">
        <v>857</v>
      </c>
      <c r="D1588" s="4" t="s">
        <v>6</v>
      </c>
      <c r="E1588">
        <v>0</v>
      </c>
      <c r="F1588" s="3">
        <v>2769.0639000000001</v>
      </c>
      <c r="G1588" s="2">
        <v>0.64300319488817903</v>
      </c>
      <c r="H1588" s="3">
        <v>0</v>
      </c>
      <c r="I1588" s="1">
        <v>45543</v>
      </c>
      <c r="J1588" s="4" t="s">
        <v>11</v>
      </c>
      <c r="K1588" s="4" t="s">
        <v>8</v>
      </c>
      <c r="L1588" s="3">
        <v>2685.77</v>
      </c>
      <c r="M1588" s="4" t="s">
        <v>1255</v>
      </c>
      <c r="N1588" s="3">
        <v>0</v>
      </c>
    </row>
    <row r="1589" spans="1:14" x14ac:dyDescent="0.35">
      <c r="A1589">
        <v>2537</v>
      </c>
      <c r="B1589" s="4" t="s">
        <v>65</v>
      </c>
      <c r="C1589" s="4" t="s">
        <v>257</v>
      </c>
      <c r="D1589" s="4" t="s">
        <v>22</v>
      </c>
      <c r="E1589">
        <v>0</v>
      </c>
      <c r="F1589" s="3">
        <v>3449.08</v>
      </c>
      <c r="G1589" s="2">
        <v>1.0900000000000001</v>
      </c>
      <c r="H1589" s="3">
        <v>0</v>
      </c>
      <c r="I1589" s="1">
        <v>45359</v>
      </c>
      <c r="J1589" s="4" t="s">
        <v>18</v>
      </c>
      <c r="K1589" s="4" t="s">
        <v>8</v>
      </c>
      <c r="L1589" s="3">
        <v>181.11</v>
      </c>
      <c r="M1589" s="4" t="s">
        <v>1255</v>
      </c>
      <c r="N1589" s="3">
        <v>0</v>
      </c>
    </row>
    <row r="1590" spans="1:14" x14ac:dyDescent="0.35">
      <c r="A1590">
        <v>2538</v>
      </c>
      <c r="B1590" s="4" t="s">
        <v>122</v>
      </c>
      <c r="C1590" s="4" t="s">
        <v>537</v>
      </c>
      <c r="D1590" s="4" t="s">
        <v>17</v>
      </c>
      <c r="E1590">
        <v>0</v>
      </c>
      <c r="F1590" s="3">
        <v>2769.0639000000001</v>
      </c>
      <c r="G1590" s="2">
        <v>0.64157051282051303</v>
      </c>
      <c r="H1590" s="3">
        <v>0</v>
      </c>
      <c r="I1590" s="1">
        <v>45816</v>
      </c>
      <c r="J1590" s="4" t="s">
        <v>23</v>
      </c>
      <c r="K1590" s="4" t="s">
        <v>8</v>
      </c>
      <c r="L1590" s="3">
        <v>-705.34</v>
      </c>
      <c r="M1590" s="4" t="s">
        <v>1255</v>
      </c>
      <c r="N1590" s="3">
        <v>0</v>
      </c>
    </row>
    <row r="1591" spans="1:14" x14ac:dyDescent="0.35">
      <c r="A1591">
        <v>2539</v>
      </c>
      <c r="B1591" s="4" t="s">
        <v>477</v>
      </c>
      <c r="C1591" s="4" t="s">
        <v>1059</v>
      </c>
      <c r="D1591" s="4" t="s">
        <v>27</v>
      </c>
      <c r="E1591">
        <v>4</v>
      </c>
      <c r="F1591" s="3">
        <v>2767.6529999999998</v>
      </c>
      <c r="G1591" s="2">
        <v>0.64157051282051303</v>
      </c>
      <c r="H1591" s="3">
        <v>0</v>
      </c>
      <c r="I1591" s="1">
        <v>45816</v>
      </c>
      <c r="J1591" s="4" t="s">
        <v>11</v>
      </c>
      <c r="K1591" s="4" t="s">
        <v>12</v>
      </c>
      <c r="L1591" s="3">
        <v>2989.83</v>
      </c>
      <c r="M1591" s="4" t="s">
        <v>1255</v>
      </c>
      <c r="N1591" s="3">
        <v>11070.611999999999</v>
      </c>
    </row>
    <row r="1592" spans="1:14" x14ac:dyDescent="0.35">
      <c r="A1592">
        <v>2540</v>
      </c>
      <c r="B1592" s="4" t="s">
        <v>1060</v>
      </c>
      <c r="C1592" s="4" t="s">
        <v>871</v>
      </c>
      <c r="D1592" s="4" t="s">
        <v>6</v>
      </c>
      <c r="E1592">
        <v>0</v>
      </c>
      <c r="F1592" s="3">
        <v>799.82</v>
      </c>
      <c r="G1592" s="2">
        <v>0.64157051282051303</v>
      </c>
      <c r="H1592" s="3">
        <v>0</v>
      </c>
      <c r="I1592" s="1">
        <v>45813</v>
      </c>
      <c r="J1592" s="4" t="s">
        <v>23</v>
      </c>
      <c r="K1592" s="4" t="s">
        <v>8</v>
      </c>
      <c r="L1592" s="3">
        <v>1358.09</v>
      </c>
      <c r="M1592" s="4" t="s">
        <v>1255</v>
      </c>
      <c r="N1592" s="3">
        <v>0</v>
      </c>
    </row>
    <row r="1593" spans="1:14" x14ac:dyDescent="0.35">
      <c r="A1593">
        <v>2541</v>
      </c>
      <c r="B1593" s="4" t="s">
        <v>121</v>
      </c>
      <c r="C1593" s="4" t="s">
        <v>377</v>
      </c>
      <c r="D1593" s="4" t="s">
        <v>32</v>
      </c>
      <c r="E1593">
        <v>3</v>
      </c>
      <c r="F1593" s="3">
        <v>2767.6529999999998</v>
      </c>
      <c r="G1593" s="2">
        <v>0.64157051282051303</v>
      </c>
      <c r="H1593" s="3">
        <v>0</v>
      </c>
      <c r="I1593" s="1">
        <v>45574</v>
      </c>
      <c r="J1593" s="4" t="s">
        <v>7</v>
      </c>
      <c r="K1593" s="4" t="s">
        <v>12</v>
      </c>
      <c r="L1593" s="3">
        <v>404.87</v>
      </c>
      <c r="M1593" s="4" t="s">
        <v>1255</v>
      </c>
      <c r="N1593" s="3">
        <v>8302.9590000000007</v>
      </c>
    </row>
    <row r="1594" spans="1:14" hidden="1" x14ac:dyDescent="0.35">
      <c r="A1594">
        <v>2542</v>
      </c>
      <c r="B1594" s="4" t="s">
        <v>879</v>
      </c>
      <c r="C1594" s="4" t="s">
        <v>955</v>
      </c>
      <c r="D1594" s="4" t="s">
        <v>27</v>
      </c>
      <c r="E1594">
        <v>3</v>
      </c>
      <c r="F1594" s="3">
        <v>2771.7442000000001</v>
      </c>
      <c r="G1594" s="2">
        <v>0.42</v>
      </c>
      <c r="H1594" s="3">
        <v>0</v>
      </c>
      <c r="I1594" s="1">
        <v>45722</v>
      </c>
      <c r="J1594" s="4" t="s">
        <v>18</v>
      </c>
      <c r="K1594" s="4" t="s">
        <v>40</v>
      </c>
      <c r="L1594" s="3">
        <v>379.4</v>
      </c>
      <c r="M1594" s="4" t="s">
        <v>1255</v>
      </c>
      <c r="N1594" s="3">
        <v>8315.2325999999994</v>
      </c>
    </row>
    <row r="1595" spans="1:14" hidden="1" x14ac:dyDescent="0.35">
      <c r="A1595">
        <v>2543</v>
      </c>
      <c r="B1595" s="4" t="s">
        <v>319</v>
      </c>
      <c r="C1595" s="4" t="s">
        <v>152</v>
      </c>
      <c r="D1595" s="4" t="s">
        <v>26</v>
      </c>
      <c r="E1595">
        <v>4</v>
      </c>
      <c r="F1595" s="3">
        <v>3501.9</v>
      </c>
      <c r="G1595" s="2">
        <v>0.64228295819935699</v>
      </c>
      <c r="H1595" s="3">
        <v>0</v>
      </c>
      <c r="I1595" s="1">
        <v>45221</v>
      </c>
      <c r="J1595" s="4" t="s">
        <v>23</v>
      </c>
      <c r="K1595" s="4" t="s">
        <v>40</v>
      </c>
      <c r="L1595" s="3">
        <v>1747.96</v>
      </c>
      <c r="M1595" s="4" t="s">
        <v>1255</v>
      </c>
      <c r="N1595" s="3">
        <v>14007.6</v>
      </c>
    </row>
    <row r="1596" spans="1:14" x14ac:dyDescent="0.35">
      <c r="A1596">
        <v>2544</v>
      </c>
      <c r="B1596" s="4" t="s">
        <v>320</v>
      </c>
      <c r="C1596" s="4" t="s">
        <v>388</v>
      </c>
      <c r="D1596" s="4" t="s">
        <v>19</v>
      </c>
      <c r="E1596">
        <v>0</v>
      </c>
      <c r="F1596" s="3">
        <v>3205.96</v>
      </c>
      <c r="G1596" s="2">
        <v>0.64228295819935699</v>
      </c>
      <c r="H1596" s="3">
        <v>0</v>
      </c>
      <c r="I1596" s="1">
        <v>45548</v>
      </c>
      <c r="J1596" s="4" t="s">
        <v>11</v>
      </c>
      <c r="K1596" s="4" t="s">
        <v>12</v>
      </c>
      <c r="L1596" s="3">
        <v>1764.26</v>
      </c>
      <c r="M1596" s="4" t="s">
        <v>1255</v>
      </c>
      <c r="N1596" s="3">
        <v>0</v>
      </c>
    </row>
    <row r="1597" spans="1:14" x14ac:dyDescent="0.35">
      <c r="A1597">
        <v>2545</v>
      </c>
      <c r="B1597" s="4" t="s">
        <v>569</v>
      </c>
      <c r="C1597" s="4" t="s">
        <v>61</v>
      </c>
      <c r="D1597" s="4" t="s">
        <v>31</v>
      </c>
      <c r="E1597">
        <v>0</v>
      </c>
      <c r="F1597" s="3">
        <v>2109.08</v>
      </c>
      <c r="G1597" s="2">
        <v>0.64228295819935699</v>
      </c>
      <c r="H1597" s="3">
        <v>0</v>
      </c>
      <c r="I1597" s="1">
        <v>45782</v>
      </c>
      <c r="J1597" s="4" t="s">
        <v>7</v>
      </c>
      <c r="K1597" s="4" t="s">
        <v>12</v>
      </c>
      <c r="L1597" s="3">
        <v>1633.57</v>
      </c>
      <c r="M1597" s="4" t="s">
        <v>1255</v>
      </c>
      <c r="N1597" s="3">
        <v>0</v>
      </c>
    </row>
    <row r="1598" spans="1:14" x14ac:dyDescent="0.35">
      <c r="A1598">
        <v>2546</v>
      </c>
      <c r="B1598" s="4" t="s">
        <v>1061</v>
      </c>
      <c r="C1598" s="4" t="s">
        <v>63</v>
      </c>
      <c r="D1598" s="4" t="s">
        <v>26</v>
      </c>
      <c r="E1598">
        <v>1</v>
      </c>
      <c r="F1598" s="3">
        <v>3574.54</v>
      </c>
      <c r="G1598" s="2">
        <v>0.64228295819935699</v>
      </c>
      <c r="H1598" s="3">
        <v>0</v>
      </c>
      <c r="I1598" s="1">
        <v>45513</v>
      </c>
      <c r="J1598" s="4" t="s">
        <v>11</v>
      </c>
      <c r="K1598" s="4" t="s">
        <v>8</v>
      </c>
      <c r="L1598" s="3">
        <v>-305.77</v>
      </c>
      <c r="M1598" s="4" t="s">
        <v>1255</v>
      </c>
      <c r="N1598" s="3">
        <v>3574.54</v>
      </c>
    </row>
    <row r="1599" spans="1:14" x14ac:dyDescent="0.35">
      <c r="A1599">
        <v>2547</v>
      </c>
      <c r="B1599" s="4" t="s">
        <v>116</v>
      </c>
      <c r="C1599" s="4" t="s">
        <v>1062</v>
      </c>
      <c r="D1599" s="4" t="s">
        <v>38</v>
      </c>
      <c r="E1599">
        <v>0</v>
      </c>
      <c r="F1599" s="3">
        <v>4896.32</v>
      </c>
      <c r="G1599" s="2">
        <v>1.26</v>
      </c>
      <c r="H1599" s="3">
        <v>0</v>
      </c>
      <c r="I1599" s="1">
        <v>45634</v>
      </c>
      <c r="J1599" s="4" t="s">
        <v>7</v>
      </c>
      <c r="K1599" s="4" t="s">
        <v>12</v>
      </c>
      <c r="L1599" s="3">
        <v>2391.23</v>
      </c>
      <c r="M1599" s="4" t="s">
        <v>1255</v>
      </c>
      <c r="N1599" s="3">
        <v>0</v>
      </c>
    </row>
    <row r="1600" spans="1:14" hidden="1" x14ac:dyDescent="0.35">
      <c r="A1600">
        <v>2548</v>
      </c>
      <c r="B1600" s="4" t="s">
        <v>697</v>
      </c>
      <c r="C1600" s="4" t="s">
        <v>889</v>
      </c>
      <c r="D1600" s="4" t="s">
        <v>31</v>
      </c>
      <c r="E1600">
        <v>-1</v>
      </c>
      <c r="F1600" s="3">
        <v>4994.07</v>
      </c>
      <c r="G1600" s="2">
        <v>0.640290322580646</v>
      </c>
      <c r="H1600" s="3">
        <v>0</v>
      </c>
      <c r="I1600" s="1">
        <v>45634</v>
      </c>
      <c r="J1600" s="4" t="s">
        <v>23</v>
      </c>
      <c r="K1600" s="4" t="s">
        <v>40</v>
      </c>
      <c r="L1600" s="3">
        <v>2068.21</v>
      </c>
      <c r="M1600" s="4" t="s">
        <v>1255</v>
      </c>
      <c r="N1600" s="3">
        <v>-4994.07</v>
      </c>
    </row>
    <row r="1601" spans="1:14" x14ac:dyDescent="0.35">
      <c r="A1601">
        <v>2549</v>
      </c>
      <c r="B1601" s="4" t="s">
        <v>654</v>
      </c>
      <c r="C1601" s="4" t="s">
        <v>1063</v>
      </c>
      <c r="D1601" s="4" t="s">
        <v>25</v>
      </c>
      <c r="E1601">
        <v>6</v>
      </c>
      <c r="F1601" s="3">
        <v>2319.23</v>
      </c>
      <c r="G1601" s="2">
        <v>0.640290322580646</v>
      </c>
      <c r="H1601" s="3">
        <v>0</v>
      </c>
      <c r="I1601" s="1">
        <v>45674</v>
      </c>
      <c r="J1601" s="4" t="s">
        <v>9</v>
      </c>
      <c r="K1601" s="4" t="s">
        <v>8</v>
      </c>
      <c r="L1601" s="3">
        <v>-854.91</v>
      </c>
      <c r="M1601" s="4" t="s">
        <v>1255</v>
      </c>
      <c r="N1601" s="3">
        <v>13915.38</v>
      </c>
    </row>
    <row r="1602" spans="1:14" x14ac:dyDescent="0.35">
      <c r="A1602">
        <v>2550</v>
      </c>
      <c r="B1602" s="4" t="s">
        <v>468</v>
      </c>
      <c r="C1602" s="4" t="s">
        <v>493</v>
      </c>
      <c r="D1602" s="4" t="s">
        <v>34</v>
      </c>
      <c r="E1602">
        <v>-1</v>
      </c>
      <c r="F1602" s="3">
        <v>1463.64</v>
      </c>
      <c r="G1602" s="2">
        <v>0.640290322580646</v>
      </c>
      <c r="H1602" s="3">
        <v>0</v>
      </c>
      <c r="I1602" s="1">
        <v>45777</v>
      </c>
      <c r="J1602" s="4" t="s">
        <v>23</v>
      </c>
      <c r="K1602" s="4" t="s">
        <v>8</v>
      </c>
      <c r="L1602" s="3">
        <v>1667.2</v>
      </c>
      <c r="M1602" s="4" t="s">
        <v>1255</v>
      </c>
      <c r="N1602" s="3">
        <v>-1463.64</v>
      </c>
    </row>
    <row r="1603" spans="1:14" x14ac:dyDescent="0.35">
      <c r="A1603">
        <v>2551</v>
      </c>
      <c r="B1603" s="4" t="s">
        <v>60</v>
      </c>
      <c r="C1603" s="4" t="s">
        <v>194</v>
      </c>
      <c r="D1603" s="4" t="s">
        <v>19</v>
      </c>
      <c r="E1603">
        <v>6</v>
      </c>
      <c r="F1603" s="3">
        <v>4776.97</v>
      </c>
      <c r="G1603" s="2">
        <v>0.640290322580646</v>
      </c>
      <c r="H1603" s="3">
        <v>0</v>
      </c>
      <c r="I1603" s="1">
        <v>45777</v>
      </c>
      <c r="J1603" s="4" t="s">
        <v>9</v>
      </c>
      <c r="K1603" s="4" t="s">
        <v>12</v>
      </c>
      <c r="L1603" s="3">
        <v>727.96</v>
      </c>
      <c r="M1603" s="4" t="s">
        <v>1255</v>
      </c>
      <c r="N1603" s="3">
        <v>28661.82</v>
      </c>
    </row>
    <row r="1604" spans="1:14" x14ac:dyDescent="0.35">
      <c r="A1604">
        <v>2552</v>
      </c>
      <c r="B1604" s="4" t="s">
        <v>286</v>
      </c>
      <c r="C1604" s="4" t="s">
        <v>499</v>
      </c>
      <c r="D1604" s="4" t="s">
        <v>17</v>
      </c>
      <c r="E1604">
        <v>0</v>
      </c>
      <c r="F1604" s="3">
        <v>3617.02</v>
      </c>
      <c r="G1604" s="2">
        <v>0.640290322580646</v>
      </c>
      <c r="H1604" s="3">
        <v>0</v>
      </c>
      <c r="I1604" s="1">
        <v>45644</v>
      </c>
      <c r="J1604" s="4" t="s">
        <v>23</v>
      </c>
      <c r="K1604" s="4" t="s">
        <v>8</v>
      </c>
      <c r="L1604" s="3">
        <v>2692.48</v>
      </c>
      <c r="M1604" s="4" t="s">
        <v>1255</v>
      </c>
      <c r="N1604" s="3">
        <v>0</v>
      </c>
    </row>
    <row r="1605" spans="1:14" x14ac:dyDescent="0.35">
      <c r="A1605">
        <v>2553</v>
      </c>
      <c r="B1605" s="4" t="s">
        <v>466</v>
      </c>
      <c r="C1605" s="4" t="s">
        <v>731</v>
      </c>
      <c r="D1605" s="4" t="s">
        <v>24</v>
      </c>
      <c r="E1605">
        <v>0</v>
      </c>
      <c r="F1605" s="3">
        <v>3347.39</v>
      </c>
      <c r="G1605" s="2">
        <v>0.640290322580646</v>
      </c>
      <c r="H1605" s="3">
        <v>0</v>
      </c>
      <c r="I1605" s="1">
        <v>45193</v>
      </c>
      <c r="J1605" s="4" t="s">
        <v>11</v>
      </c>
      <c r="K1605" s="4" t="s">
        <v>12</v>
      </c>
      <c r="L1605" s="3">
        <v>441.13</v>
      </c>
      <c r="M1605" s="4" t="s">
        <v>1255</v>
      </c>
      <c r="N1605" s="3">
        <v>0</v>
      </c>
    </row>
    <row r="1606" spans="1:14" hidden="1" x14ac:dyDescent="0.35">
      <c r="A1606">
        <v>2554</v>
      </c>
      <c r="B1606" s="4" t="s">
        <v>259</v>
      </c>
      <c r="C1606" s="4" t="s">
        <v>1064</v>
      </c>
      <c r="D1606" s="4" t="s">
        <v>22</v>
      </c>
      <c r="E1606">
        <v>0</v>
      </c>
      <c r="F1606" s="3">
        <v>2433.4699999999998</v>
      </c>
      <c r="G1606" s="2">
        <v>0.640290322580646</v>
      </c>
      <c r="H1606" s="3">
        <v>0</v>
      </c>
      <c r="I1606" s="1">
        <v>45551</v>
      </c>
      <c r="J1606" s="4" t="s">
        <v>23</v>
      </c>
      <c r="K1606" s="4" t="s">
        <v>40</v>
      </c>
      <c r="L1606" s="3">
        <v>796.37</v>
      </c>
      <c r="M1606" s="4" t="s">
        <v>1255</v>
      </c>
      <c r="N1606" s="3">
        <v>0</v>
      </c>
    </row>
    <row r="1607" spans="1:14" x14ac:dyDescent="0.35">
      <c r="A1607">
        <v>2555</v>
      </c>
      <c r="B1607" s="4" t="s">
        <v>226</v>
      </c>
      <c r="C1607" s="4" t="s">
        <v>151</v>
      </c>
      <c r="D1607" s="4" t="s">
        <v>6</v>
      </c>
      <c r="E1607">
        <v>0</v>
      </c>
      <c r="F1607" s="3">
        <v>3633.07</v>
      </c>
      <c r="G1607" s="2">
        <v>0.22</v>
      </c>
      <c r="H1607" s="3">
        <v>0</v>
      </c>
      <c r="I1607" s="1">
        <v>45313</v>
      </c>
      <c r="J1607" s="4" t="s">
        <v>20</v>
      </c>
      <c r="K1607" s="4" t="s">
        <v>12</v>
      </c>
      <c r="L1607" s="3">
        <v>826.86</v>
      </c>
      <c r="M1607" s="4" t="s">
        <v>1255</v>
      </c>
      <c r="N1607" s="3">
        <v>0</v>
      </c>
    </row>
    <row r="1608" spans="1:14" hidden="1" x14ac:dyDescent="0.35">
      <c r="A1608">
        <v>2556</v>
      </c>
      <c r="B1608" s="4" t="s">
        <v>91</v>
      </c>
      <c r="C1608" s="4" t="s">
        <v>92</v>
      </c>
      <c r="D1608" s="4" t="s">
        <v>10</v>
      </c>
      <c r="E1608">
        <v>2</v>
      </c>
      <c r="F1608" s="3">
        <v>2068.88</v>
      </c>
      <c r="G1608" s="2">
        <v>0.64165048543689396</v>
      </c>
      <c r="H1608" s="3">
        <v>0</v>
      </c>
      <c r="I1608" s="1">
        <v>45313</v>
      </c>
      <c r="J1608" s="4" t="s">
        <v>18</v>
      </c>
      <c r="K1608" s="4" t="s">
        <v>40</v>
      </c>
      <c r="L1608" s="3">
        <v>-9.99</v>
      </c>
      <c r="M1608" s="4" t="s">
        <v>1255</v>
      </c>
      <c r="N1608" s="3">
        <v>4137.76</v>
      </c>
    </row>
    <row r="1609" spans="1:14" x14ac:dyDescent="0.35">
      <c r="A1609">
        <v>2557</v>
      </c>
      <c r="B1609" s="4" t="s">
        <v>89</v>
      </c>
      <c r="C1609" s="4" t="s">
        <v>268</v>
      </c>
      <c r="D1609" s="4" t="s">
        <v>19</v>
      </c>
      <c r="E1609">
        <v>-1</v>
      </c>
      <c r="F1609" s="3">
        <v>4626.4399999999996</v>
      </c>
      <c r="G1609" s="2">
        <v>1.1000000000000001</v>
      </c>
      <c r="H1609" s="3">
        <v>462.64</v>
      </c>
      <c r="I1609" s="1">
        <v>45780</v>
      </c>
      <c r="J1609" s="4" t="s">
        <v>9</v>
      </c>
      <c r="K1609" s="4" t="s">
        <v>12</v>
      </c>
      <c r="L1609" s="3">
        <v>1942.23</v>
      </c>
      <c r="M1609" s="4" t="s">
        <v>1256</v>
      </c>
      <c r="N1609" s="3">
        <v>-4626.4399999999996</v>
      </c>
    </row>
    <row r="1610" spans="1:14" x14ac:dyDescent="0.35">
      <c r="A1610">
        <v>2558</v>
      </c>
      <c r="B1610" s="4" t="s">
        <v>1065</v>
      </c>
      <c r="C1610" s="4" t="s">
        <v>104</v>
      </c>
      <c r="D1610" s="4" t="s">
        <v>19</v>
      </c>
      <c r="E1610">
        <v>0</v>
      </c>
      <c r="F1610" s="3">
        <v>1175.25</v>
      </c>
      <c r="G1610" s="2">
        <v>0.64016233766233799</v>
      </c>
      <c r="H1610" s="3">
        <v>0</v>
      </c>
      <c r="I1610" s="1">
        <v>45780</v>
      </c>
      <c r="J1610" s="4" t="s">
        <v>11</v>
      </c>
      <c r="K1610" s="4" t="s">
        <v>12</v>
      </c>
      <c r="L1610" s="3">
        <v>854.14</v>
      </c>
      <c r="M1610" s="4" t="s">
        <v>1255</v>
      </c>
      <c r="N1610" s="3">
        <v>0</v>
      </c>
    </row>
    <row r="1611" spans="1:14" hidden="1" x14ac:dyDescent="0.35">
      <c r="A1611">
        <v>2559</v>
      </c>
      <c r="B1611" s="4" t="s">
        <v>1066</v>
      </c>
      <c r="C1611" s="4" t="s">
        <v>391</v>
      </c>
      <c r="D1611" s="4" t="s">
        <v>33</v>
      </c>
      <c r="E1611">
        <v>0</v>
      </c>
      <c r="F1611" s="3">
        <v>2752.4484000000002</v>
      </c>
      <c r="G1611" s="2">
        <v>0.3</v>
      </c>
      <c r="H1611" s="3">
        <v>0</v>
      </c>
      <c r="I1611" s="1">
        <v>45780</v>
      </c>
      <c r="J1611" s="4" t="s">
        <v>20</v>
      </c>
      <c r="K1611" s="4" t="s">
        <v>40</v>
      </c>
      <c r="L1611" s="3">
        <v>-882.81</v>
      </c>
      <c r="M1611" s="4" t="s">
        <v>1255</v>
      </c>
      <c r="N1611" s="3">
        <v>0</v>
      </c>
    </row>
    <row r="1612" spans="1:14" x14ac:dyDescent="0.35">
      <c r="A1612">
        <v>2560</v>
      </c>
      <c r="B1612" s="4" t="s">
        <v>351</v>
      </c>
      <c r="C1612" s="4" t="s">
        <v>412</v>
      </c>
      <c r="D1612" s="4" t="s">
        <v>13</v>
      </c>
      <c r="E1612">
        <v>-1</v>
      </c>
      <c r="F1612" s="3">
        <v>4699.66</v>
      </c>
      <c r="G1612" s="2">
        <v>0.64127035830618895</v>
      </c>
      <c r="H1612" s="3">
        <v>0</v>
      </c>
      <c r="I1612" s="1">
        <v>45780</v>
      </c>
      <c r="J1612" s="4" t="s">
        <v>11</v>
      </c>
      <c r="K1612" s="4" t="s">
        <v>8</v>
      </c>
      <c r="L1612" s="3">
        <v>2759.92</v>
      </c>
      <c r="M1612" s="4" t="s">
        <v>1255</v>
      </c>
      <c r="N1612" s="3">
        <v>-4699.66</v>
      </c>
    </row>
    <row r="1613" spans="1:14" x14ac:dyDescent="0.35">
      <c r="A1613">
        <v>2561</v>
      </c>
      <c r="B1613" s="4" t="s">
        <v>366</v>
      </c>
      <c r="C1613" s="4" t="s">
        <v>1067</v>
      </c>
      <c r="D1613" s="4" t="s">
        <v>10</v>
      </c>
      <c r="E1613">
        <v>5</v>
      </c>
      <c r="F1613" s="3">
        <v>2755.8402999999998</v>
      </c>
      <c r="G1613" s="2">
        <v>0.64127035830618895</v>
      </c>
      <c r="H1613" s="3">
        <v>0</v>
      </c>
      <c r="I1613" s="1">
        <v>45780</v>
      </c>
      <c r="J1613" s="4" t="s">
        <v>9</v>
      </c>
      <c r="K1613" s="4" t="s">
        <v>12</v>
      </c>
      <c r="L1613" s="3">
        <v>559.97</v>
      </c>
      <c r="M1613" s="4" t="s">
        <v>1255</v>
      </c>
      <c r="N1613" s="3">
        <v>13779.201499999999</v>
      </c>
    </row>
    <row r="1614" spans="1:14" x14ac:dyDescent="0.35">
      <c r="A1614">
        <v>2563</v>
      </c>
      <c r="B1614" s="4" t="s">
        <v>121</v>
      </c>
      <c r="C1614" s="4" t="s">
        <v>364</v>
      </c>
      <c r="D1614" s="4" t="s">
        <v>19</v>
      </c>
      <c r="E1614">
        <v>0</v>
      </c>
      <c r="F1614" s="3">
        <v>2751.6509999999998</v>
      </c>
      <c r="G1614" s="2">
        <v>0.41</v>
      </c>
      <c r="H1614" s="3">
        <v>0</v>
      </c>
      <c r="I1614" s="1">
        <v>45789</v>
      </c>
      <c r="J1614" s="4" t="s">
        <v>23</v>
      </c>
      <c r="K1614" s="4" t="s">
        <v>8</v>
      </c>
      <c r="L1614" s="3">
        <v>891.43</v>
      </c>
      <c r="M1614" s="4" t="s">
        <v>1255</v>
      </c>
      <c r="N1614" s="3">
        <v>0</v>
      </c>
    </row>
    <row r="1615" spans="1:14" x14ac:dyDescent="0.35">
      <c r="A1615">
        <v>2564</v>
      </c>
      <c r="B1615" s="4" t="s">
        <v>91</v>
      </c>
      <c r="C1615" s="4" t="s">
        <v>450</v>
      </c>
      <c r="D1615" s="4" t="s">
        <v>34</v>
      </c>
      <c r="E1615">
        <v>-1</v>
      </c>
      <c r="F1615" s="3">
        <v>2755.9596999999999</v>
      </c>
      <c r="G1615" s="2">
        <v>0.64202614379084999</v>
      </c>
      <c r="H1615" s="3">
        <v>0</v>
      </c>
      <c r="I1615" s="1">
        <v>45290</v>
      </c>
      <c r="J1615" s="4" t="s">
        <v>11</v>
      </c>
      <c r="K1615" s="4" t="s">
        <v>8</v>
      </c>
      <c r="L1615" s="3">
        <v>-479.17</v>
      </c>
      <c r="M1615" s="4" t="s">
        <v>1255</v>
      </c>
      <c r="N1615" s="3">
        <v>-2755.9596999999999</v>
      </c>
    </row>
    <row r="1616" spans="1:14" x14ac:dyDescent="0.35">
      <c r="A1616">
        <v>2565</v>
      </c>
      <c r="B1616" s="4" t="s">
        <v>116</v>
      </c>
      <c r="C1616" s="4" t="s">
        <v>545</v>
      </c>
      <c r="D1616" s="4" t="s">
        <v>22</v>
      </c>
      <c r="E1616">
        <v>0</v>
      </c>
      <c r="F1616" s="3">
        <v>2755.9596999999999</v>
      </c>
      <c r="G1616" s="2">
        <v>0.64202614379084999</v>
      </c>
      <c r="H1616" s="3">
        <v>0</v>
      </c>
      <c r="I1616" s="1">
        <v>45290</v>
      </c>
      <c r="J1616" s="4" t="s">
        <v>20</v>
      </c>
      <c r="K1616" s="4" t="s">
        <v>12</v>
      </c>
      <c r="L1616" s="3">
        <v>415.71</v>
      </c>
      <c r="M1616" s="4" t="s">
        <v>1255</v>
      </c>
      <c r="N1616" s="3">
        <v>0</v>
      </c>
    </row>
    <row r="1617" spans="1:14" hidden="1" x14ac:dyDescent="0.35">
      <c r="A1617">
        <v>2566</v>
      </c>
      <c r="B1617" s="4" t="s">
        <v>73</v>
      </c>
      <c r="C1617" s="4" t="s">
        <v>996</v>
      </c>
      <c r="D1617" s="4" t="s">
        <v>15</v>
      </c>
      <c r="E1617">
        <v>1</v>
      </c>
      <c r="F1617" s="3">
        <v>4482.08</v>
      </c>
      <c r="G1617" s="2">
        <v>0.64202614379084999</v>
      </c>
      <c r="H1617" s="3">
        <v>0</v>
      </c>
      <c r="I1617" s="1">
        <v>45508</v>
      </c>
      <c r="J1617" s="4" t="s">
        <v>18</v>
      </c>
      <c r="K1617" s="4" t="s">
        <v>40</v>
      </c>
      <c r="L1617" s="3">
        <v>464.92</v>
      </c>
      <c r="M1617" s="4" t="s">
        <v>1255</v>
      </c>
      <c r="N1617" s="3">
        <v>4482.08</v>
      </c>
    </row>
    <row r="1618" spans="1:14" hidden="1" x14ac:dyDescent="0.35">
      <c r="A1618">
        <v>2567</v>
      </c>
      <c r="B1618" s="4" t="s">
        <v>139</v>
      </c>
      <c r="C1618" s="4" t="s">
        <v>440</v>
      </c>
      <c r="D1618" s="4" t="s">
        <v>28</v>
      </c>
      <c r="E1618">
        <v>4</v>
      </c>
      <c r="F1618" s="3">
        <v>2755.9596999999999</v>
      </c>
      <c r="G1618" s="2">
        <v>0.35</v>
      </c>
      <c r="H1618" s="3">
        <v>0</v>
      </c>
      <c r="I1618" s="1">
        <v>45643</v>
      </c>
      <c r="J1618" s="4" t="s">
        <v>7</v>
      </c>
      <c r="K1618" s="4" t="s">
        <v>40</v>
      </c>
      <c r="L1618" s="3">
        <v>2962.69</v>
      </c>
      <c r="M1618" s="4" t="s">
        <v>1255</v>
      </c>
      <c r="N1618" s="3">
        <v>11023.8388</v>
      </c>
    </row>
    <row r="1619" spans="1:14" x14ac:dyDescent="0.35">
      <c r="A1619">
        <v>2569</v>
      </c>
      <c r="B1619" s="4" t="s">
        <v>192</v>
      </c>
      <c r="C1619" s="4" t="s">
        <v>883</v>
      </c>
      <c r="D1619" s="4" t="s">
        <v>34</v>
      </c>
      <c r="E1619">
        <v>0</v>
      </c>
      <c r="F1619" s="3">
        <v>1263.8399999999999</v>
      </c>
      <c r="G1619" s="2">
        <v>0.64298360655737696</v>
      </c>
      <c r="H1619" s="3">
        <v>0</v>
      </c>
      <c r="I1619" s="1">
        <v>45694</v>
      </c>
      <c r="J1619" s="4" t="s">
        <v>23</v>
      </c>
      <c r="K1619" s="4" t="s">
        <v>12</v>
      </c>
      <c r="L1619" s="3">
        <v>2520.08</v>
      </c>
      <c r="M1619" s="4" t="s">
        <v>1255</v>
      </c>
      <c r="N1619" s="3">
        <v>0</v>
      </c>
    </row>
    <row r="1620" spans="1:14" x14ac:dyDescent="0.35">
      <c r="A1620">
        <v>2570</v>
      </c>
      <c r="B1620" s="4" t="s">
        <v>172</v>
      </c>
      <c r="C1620" s="4" t="s">
        <v>293</v>
      </c>
      <c r="D1620" s="4" t="s">
        <v>30</v>
      </c>
      <c r="E1620">
        <v>-1</v>
      </c>
      <c r="F1620" s="3">
        <v>2753.0844999999999</v>
      </c>
      <c r="G1620" s="2">
        <v>0.78</v>
      </c>
      <c r="H1620" s="3">
        <v>0</v>
      </c>
      <c r="I1620" s="1">
        <v>45763</v>
      </c>
      <c r="J1620" s="4" t="s">
        <v>23</v>
      </c>
      <c r="K1620" s="4" t="s">
        <v>12</v>
      </c>
      <c r="L1620" s="3">
        <v>1668.49</v>
      </c>
      <c r="M1620" s="4" t="s">
        <v>1255</v>
      </c>
      <c r="N1620" s="3">
        <v>-2753.0844999999999</v>
      </c>
    </row>
    <row r="1621" spans="1:14" hidden="1" x14ac:dyDescent="0.35">
      <c r="A1621">
        <v>2571</v>
      </c>
      <c r="B1621" s="4" t="s">
        <v>143</v>
      </c>
      <c r="C1621" s="4" t="s">
        <v>352</v>
      </c>
      <c r="D1621" s="4" t="s">
        <v>25</v>
      </c>
      <c r="E1621">
        <v>-2</v>
      </c>
      <c r="F1621" s="3">
        <v>3061.98</v>
      </c>
      <c r="G1621" s="2">
        <v>0.64253289473684205</v>
      </c>
      <c r="H1621" s="3">
        <v>0</v>
      </c>
      <c r="I1621" s="1">
        <v>45843</v>
      </c>
      <c r="J1621" s="4" t="s">
        <v>9</v>
      </c>
      <c r="K1621" s="4" t="s">
        <v>40</v>
      </c>
      <c r="L1621" s="3">
        <v>2553.09</v>
      </c>
      <c r="M1621" s="4" t="s">
        <v>1255</v>
      </c>
      <c r="N1621" s="3">
        <v>-6123.96</v>
      </c>
    </row>
    <row r="1622" spans="1:14" x14ac:dyDescent="0.35">
      <c r="A1622">
        <v>2572</v>
      </c>
      <c r="B1622" s="4" t="s">
        <v>170</v>
      </c>
      <c r="C1622" s="4" t="s">
        <v>188</v>
      </c>
      <c r="D1622" s="4" t="s">
        <v>37</v>
      </c>
      <c r="E1622">
        <v>0</v>
      </c>
      <c r="F1622" s="3">
        <v>2756.3220000000001</v>
      </c>
      <c r="G1622" s="2">
        <v>0.64253289473684205</v>
      </c>
      <c r="H1622" s="3">
        <v>0</v>
      </c>
      <c r="I1622" s="1">
        <v>45698</v>
      </c>
      <c r="J1622" s="4" t="s">
        <v>20</v>
      </c>
      <c r="K1622" s="4" t="s">
        <v>12</v>
      </c>
      <c r="L1622" s="3">
        <v>-305.72000000000003</v>
      </c>
      <c r="M1622" s="4" t="s">
        <v>1255</v>
      </c>
      <c r="N1622" s="3">
        <v>0</v>
      </c>
    </row>
    <row r="1623" spans="1:14" hidden="1" x14ac:dyDescent="0.35">
      <c r="A1623">
        <v>2573</v>
      </c>
      <c r="B1623" s="4" t="s">
        <v>50</v>
      </c>
      <c r="C1623" s="4" t="s">
        <v>926</v>
      </c>
      <c r="D1623" s="4" t="s">
        <v>34</v>
      </c>
      <c r="E1623">
        <v>0</v>
      </c>
      <c r="F1623" s="3">
        <v>2755.6561000000002</v>
      </c>
      <c r="G1623" s="2">
        <v>0.64253289473684205</v>
      </c>
      <c r="H1623" s="3">
        <v>0</v>
      </c>
      <c r="I1623" s="1">
        <v>45303</v>
      </c>
      <c r="J1623" s="4" t="s">
        <v>9</v>
      </c>
      <c r="K1623" s="4" t="s">
        <v>40</v>
      </c>
      <c r="L1623" s="3">
        <v>-215</v>
      </c>
      <c r="M1623" s="4" t="s">
        <v>1255</v>
      </c>
      <c r="N1623" s="3">
        <v>0</v>
      </c>
    </row>
    <row r="1624" spans="1:14" x14ac:dyDescent="0.35">
      <c r="A1624">
        <v>2574</v>
      </c>
      <c r="B1624" s="4" t="s">
        <v>121</v>
      </c>
      <c r="C1624" s="4" t="s">
        <v>1036</v>
      </c>
      <c r="D1624" s="4" t="s">
        <v>25</v>
      </c>
      <c r="E1624">
        <v>-2</v>
      </c>
      <c r="F1624" s="3">
        <v>2755.6561000000002</v>
      </c>
      <c r="G1624" s="2">
        <v>0.64253289473684205</v>
      </c>
      <c r="H1624" s="3">
        <v>0</v>
      </c>
      <c r="I1624" s="1">
        <v>45602</v>
      </c>
      <c r="J1624" s="4" t="s">
        <v>20</v>
      </c>
      <c r="K1624" s="4" t="s">
        <v>12</v>
      </c>
      <c r="L1624" s="3">
        <v>-39.299999999999997</v>
      </c>
      <c r="M1624" s="4" t="s">
        <v>1255</v>
      </c>
      <c r="N1624" s="3">
        <v>-5511.3122000000003</v>
      </c>
    </row>
    <row r="1625" spans="1:14" x14ac:dyDescent="0.35">
      <c r="A1625">
        <v>2575</v>
      </c>
      <c r="B1625" s="4" t="s">
        <v>122</v>
      </c>
      <c r="C1625" s="4" t="s">
        <v>44</v>
      </c>
      <c r="D1625" s="4" t="s">
        <v>22</v>
      </c>
      <c r="E1625">
        <v>-2</v>
      </c>
      <c r="F1625" s="3">
        <v>2714.78</v>
      </c>
      <c r="G1625" s="2">
        <v>0.42</v>
      </c>
      <c r="H1625" s="3">
        <v>-3149.14</v>
      </c>
      <c r="I1625" s="1">
        <v>45785</v>
      </c>
      <c r="J1625" s="4" t="s">
        <v>9</v>
      </c>
      <c r="K1625" s="4" t="s">
        <v>12</v>
      </c>
      <c r="L1625" s="3">
        <v>1220.49</v>
      </c>
      <c r="M1625" s="4" t="s">
        <v>1255</v>
      </c>
      <c r="N1625" s="3">
        <v>-5429.56</v>
      </c>
    </row>
    <row r="1626" spans="1:14" x14ac:dyDescent="0.35">
      <c r="A1626">
        <v>2576</v>
      </c>
      <c r="B1626" s="4" t="s">
        <v>54</v>
      </c>
      <c r="C1626" s="4" t="s">
        <v>1068</v>
      </c>
      <c r="D1626" s="4" t="s">
        <v>21</v>
      </c>
      <c r="E1626">
        <v>0</v>
      </c>
      <c r="F1626" s="3">
        <v>2755.6561000000002</v>
      </c>
      <c r="G1626" s="2">
        <v>0.56000000000000005</v>
      </c>
      <c r="H1626" s="3">
        <v>0</v>
      </c>
      <c r="I1626" s="1">
        <v>45851</v>
      </c>
      <c r="J1626" s="4" t="s">
        <v>11</v>
      </c>
      <c r="K1626" s="4" t="s">
        <v>8</v>
      </c>
      <c r="L1626" s="3">
        <v>515.36</v>
      </c>
      <c r="M1626" s="4" t="s">
        <v>1255</v>
      </c>
      <c r="N1626" s="3">
        <v>0</v>
      </c>
    </row>
    <row r="1627" spans="1:14" x14ac:dyDescent="0.35">
      <c r="A1627">
        <v>2577</v>
      </c>
      <c r="B1627" s="4" t="s">
        <v>43</v>
      </c>
      <c r="C1627" s="4" t="s">
        <v>429</v>
      </c>
      <c r="D1627" s="4" t="s">
        <v>21</v>
      </c>
      <c r="E1627">
        <v>1</v>
      </c>
      <c r="F1627" s="3">
        <v>609.05999999999995</v>
      </c>
      <c r="G1627" s="2">
        <v>0.17</v>
      </c>
      <c r="H1627" s="3">
        <v>505.52</v>
      </c>
      <c r="I1627" s="1">
        <v>45597</v>
      </c>
      <c r="J1627" s="4" t="s">
        <v>9</v>
      </c>
      <c r="K1627" s="4" t="s">
        <v>8</v>
      </c>
      <c r="L1627" s="3">
        <v>110.23</v>
      </c>
      <c r="M1627" s="4" t="s">
        <v>1256</v>
      </c>
      <c r="N1627" s="3">
        <v>609.05999999999995</v>
      </c>
    </row>
    <row r="1628" spans="1:14" hidden="1" x14ac:dyDescent="0.35">
      <c r="A1628">
        <v>2578</v>
      </c>
      <c r="B1628" s="4" t="s">
        <v>49</v>
      </c>
      <c r="C1628" s="4" t="s">
        <v>518</v>
      </c>
      <c r="D1628" s="4" t="s">
        <v>28</v>
      </c>
      <c r="E1628">
        <v>0</v>
      </c>
      <c r="F1628" s="3">
        <v>2755.7453</v>
      </c>
      <c r="G1628" s="2">
        <v>0.87</v>
      </c>
      <c r="H1628" s="3">
        <v>0</v>
      </c>
      <c r="I1628" s="1">
        <v>45597</v>
      </c>
      <c r="J1628" s="4" t="s">
        <v>23</v>
      </c>
      <c r="K1628" s="4" t="s">
        <v>40</v>
      </c>
      <c r="L1628" s="3">
        <v>2826.66</v>
      </c>
      <c r="M1628" s="4" t="s">
        <v>1255</v>
      </c>
      <c r="N1628" s="3">
        <v>0</v>
      </c>
    </row>
    <row r="1629" spans="1:14" x14ac:dyDescent="0.35">
      <c r="A1629">
        <v>2580</v>
      </c>
      <c r="B1629" s="4" t="s">
        <v>145</v>
      </c>
      <c r="C1629" s="4" t="s">
        <v>293</v>
      </c>
      <c r="D1629" s="4" t="s">
        <v>13</v>
      </c>
      <c r="E1629">
        <v>0</v>
      </c>
      <c r="F1629" s="3">
        <v>2760.4427000000001</v>
      </c>
      <c r="G1629" s="2">
        <v>0.64518394648829502</v>
      </c>
      <c r="H1629" s="3">
        <v>0</v>
      </c>
      <c r="I1629" s="1">
        <v>45383</v>
      </c>
      <c r="J1629" s="4" t="s">
        <v>23</v>
      </c>
      <c r="K1629" s="4" t="s">
        <v>8</v>
      </c>
      <c r="L1629" s="3">
        <v>2076.5300000000002</v>
      </c>
      <c r="M1629" s="4" t="s">
        <v>1255</v>
      </c>
      <c r="N1629" s="3">
        <v>0</v>
      </c>
    </row>
    <row r="1630" spans="1:14" hidden="1" x14ac:dyDescent="0.35">
      <c r="A1630">
        <v>2581</v>
      </c>
      <c r="B1630" s="4" t="s">
        <v>351</v>
      </c>
      <c r="C1630" s="4" t="s">
        <v>80</v>
      </c>
      <c r="D1630" s="4" t="s">
        <v>27</v>
      </c>
      <c r="E1630">
        <v>0</v>
      </c>
      <c r="F1630" s="3">
        <v>3895.43</v>
      </c>
      <c r="G1630" s="2">
        <v>0.64518394648829502</v>
      </c>
      <c r="H1630" s="3">
        <v>0</v>
      </c>
      <c r="I1630" s="1">
        <v>45611</v>
      </c>
      <c r="J1630" s="4" t="s">
        <v>18</v>
      </c>
      <c r="K1630" s="4" t="s">
        <v>40</v>
      </c>
      <c r="L1630" s="3">
        <v>1316.66</v>
      </c>
      <c r="M1630" s="4" t="s">
        <v>1255</v>
      </c>
      <c r="N1630" s="3">
        <v>0</v>
      </c>
    </row>
    <row r="1631" spans="1:14" x14ac:dyDescent="0.35">
      <c r="A1631">
        <v>2582</v>
      </c>
      <c r="B1631" s="4" t="s">
        <v>388</v>
      </c>
      <c r="C1631" s="4" t="s">
        <v>640</v>
      </c>
      <c r="D1631" s="4" t="s">
        <v>37</v>
      </c>
      <c r="E1631">
        <v>0</v>
      </c>
      <c r="F1631" s="3">
        <v>4154.55</v>
      </c>
      <c r="G1631" s="2">
        <v>0.95</v>
      </c>
      <c r="H1631" s="3">
        <v>0</v>
      </c>
      <c r="I1631" s="1">
        <v>45551</v>
      </c>
      <c r="J1631" s="4" t="s">
        <v>20</v>
      </c>
      <c r="K1631" s="4" t="s">
        <v>12</v>
      </c>
      <c r="L1631" s="3">
        <v>-247.99</v>
      </c>
      <c r="M1631" s="4" t="s">
        <v>1255</v>
      </c>
      <c r="N1631" s="3">
        <v>0</v>
      </c>
    </row>
    <row r="1632" spans="1:14" x14ac:dyDescent="0.35">
      <c r="A1632">
        <v>2584</v>
      </c>
      <c r="B1632" s="4" t="s">
        <v>167</v>
      </c>
      <c r="C1632" s="4" t="s">
        <v>980</v>
      </c>
      <c r="D1632" s="4" t="s">
        <v>35</v>
      </c>
      <c r="E1632">
        <v>3</v>
      </c>
      <c r="F1632" s="3">
        <v>1276.26</v>
      </c>
      <c r="G1632" s="2">
        <v>0.69</v>
      </c>
      <c r="H1632" s="3">
        <v>1186.92</v>
      </c>
      <c r="I1632" s="1">
        <v>45392</v>
      </c>
      <c r="J1632" s="4" t="s">
        <v>11</v>
      </c>
      <c r="K1632" s="4" t="s">
        <v>8</v>
      </c>
      <c r="L1632" s="3">
        <v>2446.6999999999998</v>
      </c>
      <c r="M1632" s="4" t="s">
        <v>1256</v>
      </c>
      <c r="N1632" s="3">
        <v>3828.78</v>
      </c>
    </row>
    <row r="1633" spans="1:14" x14ac:dyDescent="0.35">
      <c r="A1633">
        <v>2585</v>
      </c>
      <c r="B1633" s="4" t="s">
        <v>189</v>
      </c>
      <c r="C1633" s="4" t="s">
        <v>1069</v>
      </c>
      <c r="D1633" s="4" t="s">
        <v>17</v>
      </c>
      <c r="E1633">
        <v>0</v>
      </c>
      <c r="F1633" s="3">
        <v>2755.9009999999998</v>
      </c>
      <c r="G1633" s="2">
        <v>0.64400673400673403</v>
      </c>
      <c r="H1633" s="3">
        <v>0</v>
      </c>
      <c r="I1633" s="1">
        <v>45624</v>
      </c>
      <c r="J1633" s="4" t="s">
        <v>23</v>
      </c>
      <c r="K1633" s="4" t="s">
        <v>8</v>
      </c>
      <c r="L1633" s="3">
        <v>1123.27</v>
      </c>
      <c r="M1633" s="4" t="s">
        <v>1255</v>
      </c>
      <c r="N1633" s="3">
        <v>0</v>
      </c>
    </row>
    <row r="1634" spans="1:14" x14ac:dyDescent="0.35">
      <c r="A1634">
        <v>2586</v>
      </c>
      <c r="B1634" s="4" t="s">
        <v>517</v>
      </c>
      <c r="C1634" s="4" t="s">
        <v>95</v>
      </c>
      <c r="D1634" s="4" t="s">
        <v>6</v>
      </c>
      <c r="E1634">
        <v>0</v>
      </c>
      <c r="F1634" s="3">
        <v>789.21</v>
      </c>
      <c r="G1634" s="2">
        <v>0.64400673400673403</v>
      </c>
      <c r="H1634" s="3">
        <v>0</v>
      </c>
      <c r="I1634" s="1">
        <v>45672</v>
      </c>
      <c r="J1634" s="4" t="s">
        <v>9</v>
      </c>
      <c r="K1634" s="4" t="s">
        <v>8</v>
      </c>
      <c r="L1634" s="3">
        <v>1565.56</v>
      </c>
      <c r="M1634" s="4" t="s">
        <v>1255</v>
      </c>
      <c r="N1634" s="3">
        <v>0</v>
      </c>
    </row>
    <row r="1635" spans="1:14" x14ac:dyDescent="0.35">
      <c r="A1635">
        <v>2587</v>
      </c>
      <c r="B1635" s="4" t="s">
        <v>208</v>
      </c>
      <c r="C1635" s="4" t="s">
        <v>1070</v>
      </c>
      <c r="D1635" s="4" t="s">
        <v>26</v>
      </c>
      <c r="E1635">
        <v>5</v>
      </c>
      <c r="F1635" s="3">
        <v>3463.37</v>
      </c>
      <c r="G1635" s="2">
        <v>0.1</v>
      </c>
      <c r="H1635" s="3">
        <v>15585.16</v>
      </c>
      <c r="I1635" s="1">
        <v>45672</v>
      </c>
      <c r="J1635" s="4" t="s">
        <v>18</v>
      </c>
      <c r="K1635" s="4" t="s">
        <v>12</v>
      </c>
      <c r="L1635" s="3">
        <v>-957.03</v>
      </c>
      <c r="M1635" s="4" t="s">
        <v>1256</v>
      </c>
      <c r="N1635" s="3">
        <v>17316.849999999999</v>
      </c>
    </row>
    <row r="1636" spans="1:14" hidden="1" x14ac:dyDescent="0.35">
      <c r="A1636">
        <v>2588</v>
      </c>
      <c r="B1636" s="4" t="s">
        <v>54</v>
      </c>
      <c r="C1636" s="4" t="s">
        <v>904</v>
      </c>
      <c r="D1636" s="4" t="s">
        <v>19</v>
      </c>
      <c r="E1636">
        <v>0</v>
      </c>
      <c r="F1636" s="3">
        <v>2763.5255999999999</v>
      </c>
      <c r="G1636" s="2">
        <v>1.07</v>
      </c>
      <c r="H1636" s="3">
        <v>0</v>
      </c>
      <c r="I1636" s="1">
        <v>45650</v>
      </c>
      <c r="J1636" s="4" t="s">
        <v>23</v>
      </c>
      <c r="K1636" s="4" t="s">
        <v>40</v>
      </c>
      <c r="L1636" s="3">
        <v>-927.74</v>
      </c>
      <c r="M1636" s="4" t="s">
        <v>1255</v>
      </c>
      <c r="N1636" s="3">
        <v>0</v>
      </c>
    </row>
    <row r="1637" spans="1:14" hidden="1" x14ac:dyDescent="0.35">
      <c r="A1637">
        <v>2589</v>
      </c>
      <c r="B1637" s="4" t="s">
        <v>1071</v>
      </c>
      <c r="C1637" s="4" t="s">
        <v>82</v>
      </c>
      <c r="D1637" s="4" t="s">
        <v>38</v>
      </c>
      <c r="E1637">
        <v>0</v>
      </c>
      <c r="F1637" s="3">
        <v>3256.31</v>
      </c>
      <c r="G1637" s="2">
        <v>0.644406779661017</v>
      </c>
      <c r="H1637" s="3">
        <v>0</v>
      </c>
      <c r="I1637" s="1">
        <v>45695</v>
      </c>
      <c r="J1637" s="4" t="s">
        <v>7</v>
      </c>
      <c r="K1637" s="4" t="s">
        <v>40</v>
      </c>
      <c r="L1637" s="3">
        <v>2266.79</v>
      </c>
      <c r="M1637" s="4" t="s">
        <v>1255</v>
      </c>
      <c r="N1637" s="3">
        <v>0</v>
      </c>
    </row>
    <row r="1638" spans="1:14" x14ac:dyDescent="0.35">
      <c r="A1638">
        <v>2590</v>
      </c>
      <c r="B1638" s="4" t="s">
        <v>846</v>
      </c>
      <c r="C1638" s="4" t="s">
        <v>843</v>
      </c>
      <c r="D1638" s="4" t="s">
        <v>38</v>
      </c>
      <c r="E1638">
        <v>0</v>
      </c>
      <c r="F1638" s="3">
        <v>2761.9738000000002</v>
      </c>
      <c r="G1638" s="2">
        <v>0.54</v>
      </c>
      <c r="H1638" s="3">
        <v>0</v>
      </c>
      <c r="I1638" s="1">
        <v>45542</v>
      </c>
      <c r="J1638" s="4" t="s">
        <v>7</v>
      </c>
      <c r="K1638" s="4" t="s">
        <v>12</v>
      </c>
      <c r="L1638" s="3">
        <v>1613.88</v>
      </c>
      <c r="M1638" s="4" t="s">
        <v>1255</v>
      </c>
      <c r="N1638" s="3">
        <v>0</v>
      </c>
    </row>
    <row r="1639" spans="1:14" x14ac:dyDescent="0.35">
      <c r="A1639">
        <v>2591</v>
      </c>
      <c r="B1639" s="4" t="s">
        <v>363</v>
      </c>
      <c r="C1639" s="4" t="s">
        <v>558</v>
      </c>
      <c r="D1639" s="4" t="s">
        <v>30</v>
      </c>
      <c r="E1639">
        <v>0</v>
      </c>
      <c r="F1639" s="3">
        <v>4784.03</v>
      </c>
      <c r="G1639" s="2">
        <v>0.64476190476190498</v>
      </c>
      <c r="H1639" s="3">
        <v>0</v>
      </c>
      <c r="I1639" s="1">
        <v>45624</v>
      </c>
      <c r="J1639" s="4" t="s">
        <v>23</v>
      </c>
      <c r="K1639" s="4" t="s">
        <v>8</v>
      </c>
      <c r="L1639" s="3">
        <v>176.96</v>
      </c>
      <c r="M1639" s="4" t="s">
        <v>1255</v>
      </c>
      <c r="N1639" s="3">
        <v>0</v>
      </c>
    </row>
    <row r="1640" spans="1:14" x14ac:dyDescent="0.35">
      <c r="A1640">
        <v>2592</v>
      </c>
      <c r="B1640" s="4" t="s">
        <v>568</v>
      </c>
      <c r="C1640" s="4" t="s">
        <v>418</v>
      </c>
      <c r="D1640" s="4" t="s">
        <v>15</v>
      </c>
      <c r="E1640">
        <v>2</v>
      </c>
      <c r="F1640" s="3">
        <v>4965.93</v>
      </c>
      <c r="G1640" s="2">
        <v>0.64476190476190498</v>
      </c>
      <c r="H1640" s="3">
        <v>0</v>
      </c>
      <c r="I1640" s="1">
        <v>45624</v>
      </c>
      <c r="J1640" s="4" t="s">
        <v>20</v>
      </c>
      <c r="K1640" s="4" t="s">
        <v>8</v>
      </c>
      <c r="L1640" s="3">
        <v>1406.72</v>
      </c>
      <c r="M1640" s="4" t="s">
        <v>1255</v>
      </c>
      <c r="N1640" s="3">
        <v>9931.86</v>
      </c>
    </row>
    <row r="1641" spans="1:14" hidden="1" x14ac:dyDescent="0.35">
      <c r="A1641">
        <v>2593</v>
      </c>
      <c r="B1641" s="4" t="s">
        <v>172</v>
      </c>
      <c r="C1641" s="4" t="s">
        <v>122</v>
      </c>
      <c r="D1641" s="4" t="s">
        <v>24</v>
      </c>
      <c r="E1641">
        <v>4</v>
      </c>
      <c r="F1641" s="3">
        <v>736.36</v>
      </c>
      <c r="G1641" s="2">
        <v>0.83</v>
      </c>
      <c r="H1641" s="3">
        <v>500.72</v>
      </c>
      <c r="I1641" s="1">
        <v>45624</v>
      </c>
      <c r="J1641" s="4" t="s">
        <v>11</v>
      </c>
      <c r="K1641" s="4" t="s">
        <v>40</v>
      </c>
      <c r="L1641" s="3">
        <v>2463.6799999999998</v>
      </c>
      <c r="M1641" s="4" t="s">
        <v>1256</v>
      </c>
      <c r="N1641" s="3">
        <v>2945.44</v>
      </c>
    </row>
    <row r="1642" spans="1:14" x14ac:dyDescent="0.35">
      <c r="A1642">
        <v>2594</v>
      </c>
      <c r="B1642" s="4" t="s">
        <v>121</v>
      </c>
      <c r="C1642" s="4" t="s">
        <v>826</v>
      </c>
      <c r="D1642" s="4" t="s">
        <v>21</v>
      </c>
      <c r="E1642">
        <v>0</v>
      </c>
      <c r="F1642" s="3">
        <v>2751.4373000000001</v>
      </c>
      <c r="G1642" s="2">
        <v>0.37</v>
      </c>
      <c r="H1642" s="3">
        <v>0</v>
      </c>
      <c r="I1642" s="1">
        <v>45624</v>
      </c>
      <c r="J1642" s="4" t="s">
        <v>20</v>
      </c>
      <c r="K1642" s="4" t="s">
        <v>8</v>
      </c>
      <c r="L1642" s="3">
        <v>580.23</v>
      </c>
      <c r="M1642" s="4" t="s">
        <v>1255</v>
      </c>
      <c r="N1642" s="3">
        <v>0</v>
      </c>
    </row>
    <row r="1643" spans="1:14" x14ac:dyDescent="0.35">
      <c r="A1643">
        <v>2595</v>
      </c>
      <c r="B1643" s="4" t="s">
        <v>524</v>
      </c>
      <c r="C1643" s="4" t="s">
        <v>80</v>
      </c>
      <c r="D1643" s="4" t="s">
        <v>24</v>
      </c>
      <c r="E1643">
        <v>0</v>
      </c>
      <c r="F1643" s="3">
        <v>2469.67</v>
      </c>
      <c r="G1643" s="2">
        <v>1.07</v>
      </c>
      <c r="H1643" s="3">
        <v>0</v>
      </c>
      <c r="I1643" s="1">
        <v>45535</v>
      </c>
      <c r="J1643" s="4" t="s">
        <v>11</v>
      </c>
      <c r="K1643" s="4" t="s">
        <v>12</v>
      </c>
      <c r="L1643" s="3">
        <v>802.05</v>
      </c>
      <c r="M1643" s="4" t="s">
        <v>1255</v>
      </c>
      <c r="N1643" s="3">
        <v>0</v>
      </c>
    </row>
    <row r="1644" spans="1:14" x14ac:dyDescent="0.35">
      <c r="A1644">
        <v>2596</v>
      </c>
      <c r="B1644" s="4" t="s">
        <v>494</v>
      </c>
      <c r="C1644" s="4" t="s">
        <v>950</v>
      </c>
      <c r="D1644" s="4" t="s">
        <v>6</v>
      </c>
      <c r="E1644">
        <v>0</v>
      </c>
      <c r="F1644" s="3">
        <v>2538.5700000000002</v>
      </c>
      <c r="G1644" s="2">
        <v>0.64360824742268097</v>
      </c>
      <c r="H1644" s="3">
        <v>0</v>
      </c>
      <c r="I1644" s="1">
        <v>45807</v>
      </c>
      <c r="J1644" s="4" t="s">
        <v>23</v>
      </c>
      <c r="K1644" s="4" t="s">
        <v>8</v>
      </c>
      <c r="L1644" s="3">
        <v>342.21</v>
      </c>
      <c r="M1644" s="4" t="s">
        <v>1255</v>
      </c>
      <c r="N1644" s="3">
        <v>0</v>
      </c>
    </row>
    <row r="1645" spans="1:14" x14ac:dyDescent="0.35">
      <c r="A1645">
        <v>2597</v>
      </c>
      <c r="B1645" s="4" t="s">
        <v>107</v>
      </c>
      <c r="C1645" s="4" t="s">
        <v>747</v>
      </c>
      <c r="D1645" s="4" t="s">
        <v>10</v>
      </c>
      <c r="E1645">
        <v>0</v>
      </c>
      <c r="F1645" s="3">
        <v>2756.5871999999999</v>
      </c>
      <c r="G1645" s="2">
        <v>0.64360824742268097</v>
      </c>
      <c r="H1645" s="3">
        <v>0</v>
      </c>
      <c r="I1645" s="1">
        <v>45807</v>
      </c>
      <c r="J1645" s="4" t="s">
        <v>18</v>
      </c>
      <c r="K1645" s="4" t="s">
        <v>12</v>
      </c>
      <c r="L1645" s="3">
        <v>538.11</v>
      </c>
      <c r="M1645" s="4" t="s">
        <v>1255</v>
      </c>
      <c r="N1645" s="3">
        <v>0</v>
      </c>
    </row>
    <row r="1646" spans="1:14" x14ac:dyDescent="0.35">
      <c r="A1646">
        <v>2598</v>
      </c>
      <c r="B1646" s="4" t="s">
        <v>65</v>
      </c>
      <c r="C1646" s="4" t="s">
        <v>80</v>
      </c>
      <c r="D1646" s="4" t="s">
        <v>30</v>
      </c>
      <c r="E1646">
        <v>-2</v>
      </c>
      <c r="F1646" s="3">
        <v>4412.21</v>
      </c>
      <c r="G1646" s="2">
        <v>0.64360824742268097</v>
      </c>
      <c r="H1646" s="3">
        <v>0</v>
      </c>
      <c r="I1646" s="1">
        <v>45807</v>
      </c>
      <c r="J1646" s="4" t="s">
        <v>18</v>
      </c>
      <c r="K1646" s="4" t="s">
        <v>8</v>
      </c>
      <c r="L1646" s="3">
        <v>2917.18</v>
      </c>
      <c r="M1646" s="4" t="s">
        <v>1255</v>
      </c>
      <c r="N1646" s="3">
        <v>-8824.42</v>
      </c>
    </row>
    <row r="1647" spans="1:14" hidden="1" x14ac:dyDescent="0.35">
      <c r="A1647">
        <v>2599</v>
      </c>
      <c r="B1647" s="4" t="s">
        <v>141</v>
      </c>
      <c r="C1647" s="4" t="s">
        <v>1072</v>
      </c>
      <c r="D1647" s="4" t="s">
        <v>22</v>
      </c>
      <c r="E1647">
        <v>0</v>
      </c>
      <c r="F1647" s="3">
        <v>2757.0771</v>
      </c>
      <c r="G1647" s="2">
        <v>0.23</v>
      </c>
      <c r="H1647" s="3">
        <v>0</v>
      </c>
      <c r="I1647" s="1">
        <v>45559</v>
      </c>
      <c r="J1647" s="4" t="s">
        <v>23</v>
      </c>
      <c r="K1647" s="4" t="s">
        <v>40</v>
      </c>
      <c r="L1647" s="3">
        <v>2293.29</v>
      </c>
      <c r="M1647" s="4" t="s">
        <v>1255</v>
      </c>
      <c r="N1647" s="3">
        <v>0</v>
      </c>
    </row>
    <row r="1648" spans="1:14" x14ac:dyDescent="0.35">
      <c r="A1648">
        <v>2600</v>
      </c>
      <c r="B1648" s="4" t="s">
        <v>1073</v>
      </c>
      <c r="C1648" s="4" t="s">
        <v>61</v>
      </c>
      <c r="D1648" s="4" t="s">
        <v>29</v>
      </c>
      <c r="E1648">
        <v>5</v>
      </c>
      <c r="F1648" s="3">
        <v>4832.16</v>
      </c>
      <c r="G1648" s="2">
        <v>0.64503448275862096</v>
      </c>
      <c r="H1648" s="3">
        <v>0</v>
      </c>
      <c r="I1648" s="1">
        <v>45555</v>
      </c>
      <c r="J1648" s="4" t="s">
        <v>20</v>
      </c>
      <c r="K1648" s="4" t="s">
        <v>12</v>
      </c>
      <c r="L1648" s="3">
        <v>1707.66</v>
      </c>
      <c r="M1648" s="4" t="s">
        <v>1255</v>
      </c>
      <c r="N1648" s="3">
        <v>24160.799999999999</v>
      </c>
    </row>
    <row r="1649" spans="1:14" x14ac:dyDescent="0.35">
      <c r="A1649">
        <v>2601</v>
      </c>
      <c r="B1649" s="4" t="s">
        <v>141</v>
      </c>
      <c r="C1649" s="4" t="s">
        <v>438</v>
      </c>
      <c r="D1649" s="4" t="s">
        <v>32</v>
      </c>
      <c r="E1649">
        <v>1</v>
      </c>
      <c r="F1649" s="3">
        <v>2753.3494000000001</v>
      </c>
      <c r="G1649" s="2">
        <v>0.28000000000000003</v>
      </c>
      <c r="H1649" s="3">
        <v>0</v>
      </c>
      <c r="I1649" s="1">
        <v>45508</v>
      </c>
      <c r="J1649" s="4" t="s">
        <v>18</v>
      </c>
      <c r="K1649" s="4" t="s">
        <v>12</v>
      </c>
      <c r="L1649" s="3">
        <v>2556.02</v>
      </c>
      <c r="M1649" s="4" t="s">
        <v>1255</v>
      </c>
      <c r="N1649" s="3">
        <v>2753.3494000000001</v>
      </c>
    </row>
    <row r="1650" spans="1:14" x14ac:dyDescent="0.35">
      <c r="A1650">
        <v>2603</v>
      </c>
      <c r="B1650" s="4" t="s">
        <v>1074</v>
      </c>
      <c r="C1650" s="4" t="s">
        <v>429</v>
      </c>
      <c r="D1650" s="4" t="s">
        <v>15</v>
      </c>
      <c r="E1650">
        <v>5</v>
      </c>
      <c r="F1650" s="3">
        <v>4403.84</v>
      </c>
      <c r="G1650" s="2">
        <v>0.64629757785467201</v>
      </c>
      <c r="H1650" s="3">
        <v>0</v>
      </c>
      <c r="I1650" s="1">
        <v>45729</v>
      </c>
      <c r="J1650" s="4" t="s">
        <v>11</v>
      </c>
      <c r="K1650" s="4" t="s">
        <v>8</v>
      </c>
      <c r="L1650" s="3">
        <v>-513.19000000000005</v>
      </c>
      <c r="M1650" s="4" t="s">
        <v>1255</v>
      </c>
      <c r="N1650" s="3">
        <v>22019.200000000001</v>
      </c>
    </row>
    <row r="1651" spans="1:14" x14ac:dyDescent="0.35">
      <c r="A1651">
        <v>2604</v>
      </c>
      <c r="B1651" s="4" t="s">
        <v>274</v>
      </c>
      <c r="C1651" s="4" t="s">
        <v>523</v>
      </c>
      <c r="D1651" s="4" t="s">
        <v>29</v>
      </c>
      <c r="E1651">
        <v>-1</v>
      </c>
      <c r="F1651" s="3">
        <v>2171.2199999999998</v>
      </c>
      <c r="G1651" s="2">
        <v>0.64629757785467201</v>
      </c>
      <c r="H1651" s="3">
        <v>0</v>
      </c>
      <c r="I1651" s="1">
        <v>45806</v>
      </c>
      <c r="J1651" s="4" t="s">
        <v>18</v>
      </c>
      <c r="K1651" s="4" t="s">
        <v>12</v>
      </c>
      <c r="L1651" s="3">
        <v>2595.2199999999998</v>
      </c>
      <c r="M1651" s="4" t="s">
        <v>1255</v>
      </c>
      <c r="N1651" s="3">
        <v>-2171.2199999999998</v>
      </c>
    </row>
    <row r="1652" spans="1:14" hidden="1" x14ac:dyDescent="0.35">
      <c r="A1652">
        <v>2605</v>
      </c>
      <c r="B1652" s="4" t="s">
        <v>327</v>
      </c>
      <c r="C1652" s="4" t="s">
        <v>589</v>
      </c>
      <c r="D1652" s="4" t="s">
        <v>17</v>
      </c>
      <c r="E1652">
        <v>1</v>
      </c>
      <c r="F1652" s="3">
        <v>1636.26</v>
      </c>
      <c r="G1652" s="2">
        <v>0.94</v>
      </c>
      <c r="H1652" s="3">
        <v>98.18</v>
      </c>
      <c r="I1652" s="1">
        <v>45667</v>
      </c>
      <c r="J1652" s="4" t="s">
        <v>23</v>
      </c>
      <c r="K1652" s="4" t="s">
        <v>40</v>
      </c>
      <c r="L1652" s="3">
        <v>615.80999999999995</v>
      </c>
      <c r="M1652" s="4" t="s">
        <v>1256</v>
      </c>
      <c r="N1652" s="3">
        <v>1636.26</v>
      </c>
    </row>
    <row r="1653" spans="1:14" hidden="1" x14ac:dyDescent="0.35">
      <c r="A1653">
        <v>2606</v>
      </c>
      <c r="B1653" s="4" t="s">
        <v>482</v>
      </c>
      <c r="C1653" s="4" t="s">
        <v>1075</v>
      </c>
      <c r="D1653" s="4" t="s">
        <v>21</v>
      </c>
      <c r="E1653">
        <v>0</v>
      </c>
      <c r="F1653" s="3">
        <v>806.81</v>
      </c>
      <c r="G1653" s="2">
        <v>0.11</v>
      </c>
      <c r="H1653" s="3">
        <v>0</v>
      </c>
      <c r="I1653" s="1">
        <v>45442</v>
      </c>
      <c r="J1653" s="4" t="s">
        <v>20</v>
      </c>
      <c r="K1653" s="4" t="s">
        <v>40</v>
      </c>
      <c r="L1653" s="3">
        <v>634.66</v>
      </c>
      <c r="M1653" s="4" t="s">
        <v>1255</v>
      </c>
      <c r="N1653" s="3">
        <v>0</v>
      </c>
    </row>
    <row r="1654" spans="1:14" x14ac:dyDescent="0.35">
      <c r="A1654">
        <v>2607</v>
      </c>
      <c r="B1654" s="4" t="s">
        <v>121</v>
      </c>
      <c r="C1654" s="4" t="s">
        <v>176</v>
      </c>
      <c r="D1654" s="4" t="s">
        <v>10</v>
      </c>
      <c r="E1654">
        <v>0</v>
      </c>
      <c r="F1654" s="3">
        <v>2289.9299999999998</v>
      </c>
      <c r="G1654" s="2">
        <v>1.2</v>
      </c>
      <c r="H1654" s="3">
        <v>0</v>
      </c>
      <c r="I1654" s="1">
        <v>45593</v>
      </c>
      <c r="J1654" s="4" t="s">
        <v>18</v>
      </c>
      <c r="K1654" s="4" t="s">
        <v>12</v>
      </c>
      <c r="L1654" s="3">
        <v>183.34</v>
      </c>
      <c r="M1654" s="4" t="s">
        <v>1255</v>
      </c>
      <c r="N1654" s="3">
        <v>0</v>
      </c>
    </row>
    <row r="1655" spans="1:14" x14ac:dyDescent="0.35">
      <c r="A1655">
        <v>2608</v>
      </c>
      <c r="B1655" s="4" t="s">
        <v>122</v>
      </c>
      <c r="C1655" s="4" t="s">
        <v>420</v>
      </c>
      <c r="D1655" s="4" t="s">
        <v>10</v>
      </c>
      <c r="E1655">
        <v>0</v>
      </c>
      <c r="F1655" s="3">
        <v>3352.88</v>
      </c>
      <c r="G1655" s="2">
        <v>0.64520979020978997</v>
      </c>
      <c r="H1655" s="3">
        <v>0</v>
      </c>
      <c r="I1655" s="1">
        <v>45464</v>
      </c>
      <c r="J1655" s="4" t="s">
        <v>11</v>
      </c>
      <c r="K1655" s="4" t="s">
        <v>12</v>
      </c>
      <c r="L1655" s="3">
        <v>2684.88</v>
      </c>
      <c r="M1655" s="4" t="s">
        <v>1255</v>
      </c>
      <c r="N1655" s="3">
        <v>0</v>
      </c>
    </row>
    <row r="1656" spans="1:14" x14ac:dyDescent="0.35">
      <c r="A1656">
        <v>2609</v>
      </c>
      <c r="B1656" s="4" t="s">
        <v>183</v>
      </c>
      <c r="C1656" s="4" t="s">
        <v>625</v>
      </c>
      <c r="D1656" s="4" t="s">
        <v>10</v>
      </c>
      <c r="E1656">
        <v>0</v>
      </c>
      <c r="F1656" s="3">
        <v>2754.2166999999999</v>
      </c>
      <c r="G1656" s="2">
        <v>0.64520979020978997</v>
      </c>
      <c r="H1656" s="3">
        <v>0</v>
      </c>
      <c r="I1656" s="1">
        <v>45464</v>
      </c>
      <c r="J1656" s="4" t="s">
        <v>7</v>
      </c>
      <c r="K1656" s="4" t="s">
        <v>8</v>
      </c>
      <c r="L1656" s="3">
        <v>641.89</v>
      </c>
      <c r="M1656" s="4" t="s">
        <v>1255</v>
      </c>
      <c r="N1656" s="3">
        <v>0</v>
      </c>
    </row>
    <row r="1657" spans="1:14" x14ac:dyDescent="0.35">
      <c r="A1657">
        <v>2610</v>
      </c>
      <c r="B1657" s="4" t="s">
        <v>125</v>
      </c>
      <c r="C1657" s="4" t="s">
        <v>1076</v>
      </c>
      <c r="D1657" s="4" t="s">
        <v>37</v>
      </c>
      <c r="E1657">
        <v>5</v>
      </c>
      <c r="F1657" s="3">
        <v>1606.99</v>
      </c>
      <c r="G1657" s="2">
        <v>0.64520979020978997</v>
      </c>
      <c r="H1657" s="3">
        <v>0</v>
      </c>
      <c r="I1657" s="1">
        <v>45283</v>
      </c>
      <c r="J1657" s="4" t="s">
        <v>9</v>
      </c>
      <c r="K1657" s="4" t="s">
        <v>8</v>
      </c>
      <c r="L1657" s="3">
        <v>1743.11</v>
      </c>
      <c r="M1657" s="4" t="s">
        <v>1255</v>
      </c>
      <c r="N1657" s="3">
        <v>8034.95</v>
      </c>
    </row>
    <row r="1658" spans="1:14" x14ac:dyDescent="0.35">
      <c r="A1658">
        <v>2611</v>
      </c>
      <c r="B1658" s="4" t="s">
        <v>572</v>
      </c>
      <c r="C1658" s="4" t="s">
        <v>44</v>
      </c>
      <c r="D1658" s="4" t="s">
        <v>25</v>
      </c>
      <c r="E1658">
        <v>-2</v>
      </c>
      <c r="F1658" s="3">
        <v>2752.8467000000001</v>
      </c>
      <c r="G1658" s="2">
        <v>1.05</v>
      </c>
      <c r="H1658" s="3">
        <v>0</v>
      </c>
      <c r="I1658" s="1">
        <v>45665</v>
      </c>
      <c r="J1658" s="4" t="s">
        <v>20</v>
      </c>
      <c r="K1658" s="4" t="s">
        <v>12</v>
      </c>
      <c r="L1658" s="3">
        <v>2391.6999999999998</v>
      </c>
      <c r="M1658" s="4" t="s">
        <v>1255</v>
      </c>
      <c r="N1658" s="3">
        <v>-5505.6934000000001</v>
      </c>
    </row>
    <row r="1659" spans="1:14" x14ac:dyDescent="0.35">
      <c r="A1659">
        <v>2612</v>
      </c>
      <c r="B1659" s="4" t="s">
        <v>1077</v>
      </c>
      <c r="C1659" s="4" t="s">
        <v>749</v>
      </c>
      <c r="D1659" s="4" t="s">
        <v>33</v>
      </c>
      <c r="E1659">
        <v>0</v>
      </c>
      <c r="F1659" s="3">
        <v>2672.64</v>
      </c>
      <c r="G1659" s="2">
        <v>0.64378947368421102</v>
      </c>
      <c r="H1659" s="3">
        <v>0</v>
      </c>
      <c r="I1659" s="1">
        <v>45402</v>
      </c>
      <c r="J1659" s="4" t="s">
        <v>18</v>
      </c>
      <c r="K1659" s="4" t="s">
        <v>12</v>
      </c>
      <c r="L1659" s="3">
        <v>1142.44</v>
      </c>
      <c r="M1659" s="4" t="s">
        <v>1255</v>
      </c>
      <c r="N1659" s="3">
        <v>0</v>
      </c>
    </row>
    <row r="1660" spans="1:14" x14ac:dyDescent="0.35">
      <c r="A1660">
        <v>2613</v>
      </c>
      <c r="B1660" s="4" t="s">
        <v>256</v>
      </c>
      <c r="C1660" s="4" t="s">
        <v>188</v>
      </c>
      <c r="D1660" s="4" t="s">
        <v>28</v>
      </c>
      <c r="E1660">
        <v>0</v>
      </c>
      <c r="F1660" s="3">
        <v>2438.16</v>
      </c>
      <c r="G1660" s="2">
        <v>0.64378947368421102</v>
      </c>
      <c r="H1660" s="3">
        <v>0</v>
      </c>
      <c r="I1660" s="1">
        <v>45352</v>
      </c>
      <c r="J1660" s="4" t="s">
        <v>20</v>
      </c>
      <c r="K1660" s="4" t="s">
        <v>12</v>
      </c>
      <c r="L1660" s="3">
        <v>161.35</v>
      </c>
      <c r="M1660" s="4" t="s">
        <v>1255</v>
      </c>
      <c r="N1660" s="3">
        <v>0</v>
      </c>
    </row>
    <row r="1661" spans="1:14" x14ac:dyDescent="0.35">
      <c r="A1661">
        <v>2614</v>
      </c>
      <c r="B1661" s="4" t="s">
        <v>978</v>
      </c>
      <c r="C1661" s="4" t="s">
        <v>108</v>
      </c>
      <c r="D1661" s="4" t="s">
        <v>22</v>
      </c>
      <c r="E1661">
        <v>0</v>
      </c>
      <c r="F1661" s="3">
        <v>4530.28</v>
      </c>
      <c r="G1661" s="2">
        <v>0.67</v>
      </c>
      <c r="H1661" s="3">
        <v>0</v>
      </c>
      <c r="I1661" s="1">
        <v>45648</v>
      </c>
      <c r="J1661" s="4" t="s">
        <v>9</v>
      </c>
      <c r="K1661" s="4" t="s">
        <v>12</v>
      </c>
      <c r="L1661" s="3">
        <v>2891.77</v>
      </c>
      <c r="M1661" s="4" t="s">
        <v>1255</v>
      </c>
      <c r="N1661" s="3">
        <v>0</v>
      </c>
    </row>
    <row r="1662" spans="1:14" x14ac:dyDescent="0.35">
      <c r="A1662">
        <v>2615</v>
      </c>
      <c r="B1662" s="4" t="s">
        <v>56</v>
      </c>
      <c r="C1662" s="4" t="s">
        <v>769</v>
      </c>
      <c r="D1662" s="4" t="s">
        <v>26</v>
      </c>
      <c r="E1662">
        <v>0</v>
      </c>
      <c r="F1662" s="3">
        <v>2756.3968</v>
      </c>
      <c r="G1662" s="2">
        <v>0.64369718309859203</v>
      </c>
      <c r="H1662" s="3">
        <v>0</v>
      </c>
      <c r="I1662" s="1">
        <v>45267</v>
      </c>
      <c r="J1662" s="4" t="s">
        <v>11</v>
      </c>
      <c r="K1662" s="4" t="s">
        <v>12</v>
      </c>
      <c r="L1662" s="3">
        <v>1644.18</v>
      </c>
      <c r="M1662" s="4" t="s">
        <v>1255</v>
      </c>
      <c r="N1662" s="3">
        <v>0</v>
      </c>
    </row>
    <row r="1663" spans="1:14" x14ac:dyDescent="0.35">
      <c r="A1663">
        <v>2616</v>
      </c>
      <c r="B1663" s="4" t="s">
        <v>655</v>
      </c>
      <c r="C1663" s="4" t="s">
        <v>920</v>
      </c>
      <c r="D1663" s="4" t="s">
        <v>28</v>
      </c>
      <c r="E1663">
        <v>5</v>
      </c>
      <c r="F1663" s="3">
        <v>2752.3000999999999</v>
      </c>
      <c r="G1663" s="2">
        <v>0.24</v>
      </c>
      <c r="H1663" s="3">
        <v>0</v>
      </c>
      <c r="I1663" s="1">
        <v>45795</v>
      </c>
      <c r="J1663" s="4" t="s">
        <v>20</v>
      </c>
      <c r="K1663" s="4" t="s">
        <v>12</v>
      </c>
      <c r="L1663" s="3">
        <v>2858.08</v>
      </c>
      <c r="M1663" s="4" t="s">
        <v>1255</v>
      </c>
      <c r="N1663" s="3">
        <v>13761.5005</v>
      </c>
    </row>
    <row r="1664" spans="1:14" hidden="1" x14ac:dyDescent="0.35">
      <c r="A1664">
        <v>2617</v>
      </c>
      <c r="B1664" s="4" t="s">
        <v>71</v>
      </c>
      <c r="C1664" s="4" t="s">
        <v>505</v>
      </c>
      <c r="D1664" s="4" t="s">
        <v>24</v>
      </c>
      <c r="E1664">
        <v>0</v>
      </c>
      <c r="F1664" s="3">
        <v>2752.3000999999999</v>
      </c>
      <c r="G1664" s="2">
        <v>0.645123674911661</v>
      </c>
      <c r="H1664" s="3">
        <v>0</v>
      </c>
      <c r="I1664" s="1">
        <v>45746</v>
      </c>
      <c r="J1664" s="4" t="s">
        <v>11</v>
      </c>
      <c r="K1664" s="4" t="s">
        <v>40</v>
      </c>
      <c r="L1664" s="3">
        <v>-151.75</v>
      </c>
      <c r="M1664" s="4" t="s">
        <v>1255</v>
      </c>
      <c r="N1664" s="3">
        <v>0</v>
      </c>
    </row>
    <row r="1665" spans="1:14" hidden="1" x14ac:dyDescent="0.35">
      <c r="A1665">
        <v>2618</v>
      </c>
      <c r="B1665" s="4" t="s">
        <v>654</v>
      </c>
      <c r="C1665" s="4" t="s">
        <v>734</v>
      </c>
      <c r="D1665" s="4" t="s">
        <v>29</v>
      </c>
      <c r="E1665">
        <v>0</v>
      </c>
      <c r="F1665" s="3">
        <v>2752.3000999999999</v>
      </c>
      <c r="G1665" s="2">
        <v>0.95</v>
      </c>
      <c r="H1665" s="3">
        <v>0</v>
      </c>
      <c r="I1665" s="1">
        <v>45541</v>
      </c>
      <c r="J1665" s="4" t="s">
        <v>9</v>
      </c>
      <c r="K1665" s="4" t="s">
        <v>40</v>
      </c>
      <c r="L1665" s="3">
        <v>-850.68</v>
      </c>
      <c r="M1665" s="4" t="s">
        <v>1255</v>
      </c>
      <c r="N1665" s="3">
        <v>0</v>
      </c>
    </row>
    <row r="1666" spans="1:14" x14ac:dyDescent="0.35">
      <c r="A1666">
        <v>2619</v>
      </c>
      <c r="B1666" s="4" t="s">
        <v>213</v>
      </c>
      <c r="C1666" s="4" t="s">
        <v>1067</v>
      </c>
      <c r="D1666" s="4" t="s">
        <v>21</v>
      </c>
      <c r="E1666">
        <v>0</v>
      </c>
      <c r="F1666" s="3">
        <v>2752.3000999999999</v>
      </c>
      <c r="G1666" s="2">
        <v>0.64404255319148995</v>
      </c>
      <c r="H1666" s="3">
        <v>0</v>
      </c>
      <c r="I1666" s="1">
        <v>45541</v>
      </c>
      <c r="J1666" s="4" t="s">
        <v>9</v>
      </c>
      <c r="K1666" s="4" t="s">
        <v>8</v>
      </c>
      <c r="L1666" s="3">
        <v>1443.87</v>
      </c>
      <c r="M1666" s="4" t="s">
        <v>1255</v>
      </c>
      <c r="N1666" s="3">
        <v>0</v>
      </c>
    </row>
    <row r="1667" spans="1:14" x14ac:dyDescent="0.35">
      <c r="A1667">
        <v>2620</v>
      </c>
      <c r="B1667" s="4" t="s">
        <v>559</v>
      </c>
      <c r="C1667" s="4" t="s">
        <v>648</v>
      </c>
      <c r="D1667" s="4" t="s">
        <v>13</v>
      </c>
      <c r="E1667">
        <v>0</v>
      </c>
      <c r="F1667" s="3">
        <v>3415.9</v>
      </c>
      <c r="G1667" s="2">
        <v>0.64404255319148995</v>
      </c>
      <c r="H1667" s="3">
        <v>0</v>
      </c>
      <c r="I1667" s="1">
        <v>45526</v>
      </c>
      <c r="J1667" s="4" t="s">
        <v>11</v>
      </c>
      <c r="K1667" s="4" t="s">
        <v>8</v>
      </c>
      <c r="L1667" s="3">
        <v>25.83</v>
      </c>
      <c r="M1667" s="4" t="s">
        <v>1255</v>
      </c>
      <c r="N1667" s="3">
        <v>0</v>
      </c>
    </row>
    <row r="1668" spans="1:14" x14ac:dyDescent="0.35">
      <c r="A1668">
        <v>2621</v>
      </c>
      <c r="B1668" s="4" t="s">
        <v>849</v>
      </c>
      <c r="C1668" s="4" t="s">
        <v>446</v>
      </c>
      <c r="D1668" s="4" t="s">
        <v>13</v>
      </c>
      <c r="E1668">
        <v>4</v>
      </c>
      <c r="F1668" s="3">
        <v>2752.3000999999999</v>
      </c>
      <c r="G1668" s="2">
        <v>1.1399999999999999</v>
      </c>
      <c r="H1668" s="3">
        <v>0</v>
      </c>
      <c r="I1668" s="1">
        <v>45283</v>
      </c>
      <c r="J1668" s="4" t="s">
        <v>7</v>
      </c>
      <c r="K1668" s="4" t="s">
        <v>12</v>
      </c>
      <c r="L1668" s="3">
        <v>2237.85</v>
      </c>
      <c r="M1668" s="4" t="s">
        <v>1255</v>
      </c>
      <c r="N1668" s="3">
        <v>11009.2004</v>
      </c>
    </row>
    <row r="1669" spans="1:14" hidden="1" x14ac:dyDescent="0.35">
      <c r="A1669">
        <v>2622</v>
      </c>
      <c r="B1669" s="4" t="s">
        <v>262</v>
      </c>
      <c r="C1669" s="4" t="s">
        <v>757</v>
      </c>
      <c r="D1669" s="4" t="s">
        <v>37</v>
      </c>
      <c r="E1669">
        <v>0</v>
      </c>
      <c r="F1669" s="3">
        <v>2705.13</v>
      </c>
      <c r="G1669" s="2">
        <v>0.64227758007117397</v>
      </c>
      <c r="H1669" s="3">
        <v>0</v>
      </c>
      <c r="I1669" s="1">
        <v>45537</v>
      </c>
      <c r="J1669" s="4" t="s">
        <v>7</v>
      </c>
      <c r="K1669" s="4" t="s">
        <v>40</v>
      </c>
      <c r="L1669" s="3">
        <v>1133.53</v>
      </c>
      <c r="M1669" s="4" t="s">
        <v>1255</v>
      </c>
      <c r="N1669" s="3">
        <v>0</v>
      </c>
    </row>
    <row r="1670" spans="1:14" hidden="1" x14ac:dyDescent="0.35">
      <c r="A1670">
        <v>2624</v>
      </c>
      <c r="B1670" s="4" t="s">
        <v>214</v>
      </c>
      <c r="C1670" s="4" t="s">
        <v>360</v>
      </c>
      <c r="D1670" s="4" t="s">
        <v>35</v>
      </c>
      <c r="E1670">
        <v>-1</v>
      </c>
      <c r="F1670" s="3">
        <v>2750.8699000000001</v>
      </c>
      <c r="G1670" s="2">
        <v>0.99</v>
      </c>
      <c r="H1670" s="3">
        <v>0</v>
      </c>
      <c r="I1670" s="1">
        <v>45632</v>
      </c>
      <c r="J1670" s="4" t="s">
        <v>9</v>
      </c>
      <c r="K1670" s="4" t="s">
        <v>40</v>
      </c>
      <c r="L1670" s="3">
        <v>559.1</v>
      </c>
      <c r="M1670" s="4" t="s">
        <v>1255</v>
      </c>
      <c r="N1670" s="3">
        <v>-2750.8699000000001</v>
      </c>
    </row>
    <row r="1671" spans="1:14" x14ac:dyDescent="0.35">
      <c r="A1671">
        <v>2625</v>
      </c>
      <c r="B1671" s="4" t="s">
        <v>122</v>
      </c>
      <c r="C1671" s="4" t="s">
        <v>1078</v>
      </c>
      <c r="D1671" s="4" t="s">
        <v>24</v>
      </c>
      <c r="E1671">
        <v>0</v>
      </c>
      <c r="F1671" s="3">
        <v>2750.8699000000001</v>
      </c>
      <c r="G1671" s="2">
        <v>0.64103571428571404</v>
      </c>
      <c r="H1671" s="3">
        <v>0</v>
      </c>
      <c r="I1671" s="1">
        <v>45210</v>
      </c>
      <c r="J1671" s="4" t="s">
        <v>11</v>
      </c>
      <c r="K1671" s="4" t="s">
        <v>12</v>
      </c>
      <c r="L1671" s="3">
        <v>1271.1199999999999</v>
      </c>
      <c r="M1671" s="4" t="s">
        <v>1255</v>
      </c>
      <c r="N1671" s="3">
        <v>0</v>
      </c>
    </row>
    <row r="1672" spans="1:14" hidden="1" x14ac:dyDescent="0.35">
      <c r="A1672">
        <v>2626</v>
      </c>
      <c r="B1672" s="4" t="s">
        <v>56</v>
      </c>
      <c r="C1672" s="4" t="s">
        <v>280</v>
      </c>
      <c r="D1672" s="4" t="s">
        <v>15</v>
      </c>
      <c r="E1672">
        <v>0</v>
      </c>
      <c r="F1672" s="3">
        <v>4932.25</v>
      </c>
      <c r="G1672" s="2">
        <v>0.64103571428571404</v>
      </c>
      <c r="H1672" s="3">
        <v>0</v>
      </c>
      <c r="I1672" s="1">
        <v>45793</v>
      </c>
      <c r="J1672" s="4" t="s">
        <v>18</v>
      </c>
      <c r="K1672" s="4" t="s">
        <v>40</v>
      </c>
      <c r="L1672" s="3">
        <v>742.42</v>
      </c>
      <c r="M1672" s="4" t="s">
        <v>1255</v>
      </c>
      <c r="N1672" s="3">
        <v>0</v>
      </c>
    </row>
    <row r="1673" spans="1:14" hidden="1" x14ac:dyDescent="0.35">
      <c r="A1673">
        <v>2627</v>
      </c>
      <c r="B1673" s="4" t="s">
        <v>762</v>
      </c>
      <c r="C1673" s="4" t="s">
        <v>442</v>
      </c>
      <c r="D1673" s="4" t="s">
        <v>25</v>
      </c>
      <c r="E1673">
        <v>-2</v>
      </c>
      <c r="F1673" s="3">
        <v>2750.8699000000001</v>
      </c>
      <c r="G1673" s="2">
        <v>0.64103571428571404</v>
      </c>
      <c r="H1673" s="3">
        <v>0</v>
      </c>
      <c r="I1673" s="1">
        <v>45604</v>
      </c>
      <c r="J1673" s="4" t="s">
        <v>11</v>
      </c>
      <c r="K1673" s="4" t="s">
        <v>40</v>
      </c>
      <c r="L1673" s="3">
        <v>87.54</v>
      </c>
      <c r="M1673" s="4" t="s">
        <v>1255</v>
      </c>
      <c r="N1673" s="3">
        <v>-5501.7398000000003</v>
      </c>
    </row>
    <row r="1674" spans="1:14" x14ac:dyDescent="0.35">
      <c r="A1674">
        <v>2628</v>
      </c>
      <c r="B1674" s="4" t="s">
        <v>540</v>
      </c>
      <c r="C1674" s="4" t="s">
        <v>78</v>
      </c>
      <c r="D1674" s="4" t="s">
        <v>21</v>
      </c>
      <c r="E1674">
        <v>0</v>
      </c>
      <c r="F1674" s="3">
        <v>2745.7968999999998</v>
      </c>
      <c r="G1674" s="2">
        <v>0.64103571428571404</v>
      </c>
      <c r="H1674" s="3">
        <v>0</v>
      </c>
      <c r="I1674" s="1">
        <v>45302</v>
      </c>
      <c r="J1674" s="4" t="s">
        <v>7</v>
      </c>
      <c r="K1674" s="4" t="s">
        <v>12</v>
      </c>
      <c r="L1674" s="3">
        <v>2466.4299999999998</v>
      </c>
      <c r="M1674" s="4" t="s">
        <v>1255</v>
      </c>
      <c r="N1674" s="3">
        <v>0</v>
      </c>
    </row>
    <row r="1675" spans="1:14" hidden="1" x14ac:dyDescent="0.35">
      <c r="A1675">
        <v>2629</v>
      </c>
      <c r="B1675" s="4" t="s">
        <v>121</v>
      </c>
      <c r="C1675" s="4" t="s">
        <v>418</v>
      </c>
      <c r="D1675" s="4" t="s">
        <v>31</v>
      </c>
      <c r="E1675">
        <v>0</v>
      </c>
      <c r="F1675" s="3">
        <v>2745.7968999999998</v>
      </c>
      <c r="G1675" s="2">
        <v>0.64103571428571404</v>
      </c>
      <c r="H1675" s="3">
        <v>0</v>
      </c>
      <c r="I1675" s="1">
        <v>45721</v>
      </c>
      <c r="J1675" s="4" t="s">
        <v>23</v>
      </c>
      <c r="K1675" s="4" t="s">
        <v>40</v>
      </c>
      <c r="L1675" s="3">
        <v>1765.52</v>
      </c>
      <c r="M1675" s="4" t="s">
        <v>1255</v>
      </c>
      <c r="N1675" s="3">
        <v>0</v>
      </c>
    </row>
    <row r="1676" spans="1:14" x14ac:dyDescent="0.35">
      <c r="A1676">
        <v>2630</v>
      </c>
      <c r="B1676" s="4" t="s">
        <v>219</v>
      </c>
      <c r="C1676" s="4" t="s">
        <v>176</v>
      </c>
      <c r="D1676" s="4" t="s">
        <v>13</v>
      </c>
      <c r="E1676">
        <v>0</v>
      </c>
      <c r="F1676" s="3">
        <v>856.83</v>
      </c>
      <c r="G1676" s="2">
        <v>0.64103571428571404</v>
      </c>
      <c r="H1676" s="3">
        <v>0</v>
      </c>
      <c r="I1676" s="1">
        <v>45777</v>
      </c>
      <c r="J1676" s="4" t="s">
        <v>9</v>
      </c>
      <c r="K1676" s="4" t="s">
        <v>8</v>
      </c>
      <c r="L1676" s="3">
        <v>1369.89</v>
      </c>
      <c r="M1676" s="4" t="s">
        <v>1255</v>
      </c>
      <c r="N1676" s="3">
        <v>0</v>
      </c>
    </row>
    <row r="1677" spans="1:14" hidden="1" x14ac:dyDescent="0.35">
      <c r="A1677">
        <v>2631</v>
      </c>
      <c r="B1677" s="4" t="s">
        <v>122</v>
      </c>
      <c r="C1677" s="4" t="s">
        <v>1079</v>
      </c>
      <c r="D1677" s="4" t="s">
        <v>33</v>
      </c>
      <c r="E1677">
        <v>2</v>
      </c>
      <c r="F1677" s="3">
        <v>1753.02</v>
      </c>
      <c r="G1677" s="2">
        <v>0.23</v>
      </c>
      <c r="H1677" s="3">
        <v>2699.65</v>
      </c>
      <c r="I1677" s="1">
        <v>45677</v>
      </c>
      <c r="J1677" s="4" t="s">
        <v>20</v>
      </c>
      <c r="K1677" s="4" t="s">
        <v>40</v>
      </c>
      <c r="L1677" s="3">
        <v>-766.47</v>
      </c>
      <c r="M1677" s="4" t="s">
        <v>1256</v>
      </c>
      <c r="N1677" s="3">
        <v>3506.04</v>
      </c>
    </row>
    <row r="1678" spans="1:14" x14ac:dyDescent="0.35">
      <c r="A1678">
        <v>2632</v>
      </c>
      <c r="B1678" s="4" t="s">
        <v>388</v>
      </c>
      <c r="C1678" s="4" t="s">
        <v>958</v>
      </c>
      <c r="D1678" s="4" t="s">
        <v>13</v>
      </c>
      <c r="E1678">
        <v>3</v>
      </c>
      <c r="F1678" s="3">
        <v>4127.32</v>
      </c>
      <c r="G1678" s="2">
        <v>0.64250896057347695</v>
      </c>
      <c r="H1678" s="3">
        <v>0</v>
      </c>
      <c r="I1678" s="1">
        <v>45677</v>
      </c>
      <c r="J1678" s="4" t="s">
        <v>20</v>
      </c>
      <c r="K1678" s="4" t="s">
        <v>12</v>
      </c>
      <c r="L1678" s="3">
        <v>989.17</v>
      </c>
      <c r="M1678" s="4" t="s">
        <v>1255</v>
      </c>
      <c r="N1678" s="3">
        <v>12381.96</v>
      </c>
    </row>
    <row r="1679" spans="1:14" x14ac:dyDescent="0.35">
      <c r="A1679">
        <v>2633</v>
      </c>
      <c r="B1679" s="4" t="s">
        <v>254</v>
      </c>
      <c r="C1679" s="4" t="s">
        <v>357</v>
      </c>
      <c r="D1679" s="4" t="s">
        <v>35</v>
      </c>
      <c r="E1679">
        <v>-1</v>
      </c>
      <c r="F1679" s="3">
        <v>2752.53</v>
      </c>
      <c r="G1679" s="2">
        <v>0.87</v>
      </c>
      <c r="H1679" s="3">
        <v>0</v>
      </c>
      <c r="I1679" s="1">
        <v>45221</v>
      </c>
      <c r="J1679" s="4" t="s">
        <v>20</v>
      </c>
      <c r="K1679" s="4" t="s">
        <v>12</v>
      </c>
      <c r="L1679" s="3">
        <v>300.47000000000003</v>
      </c>
      <c r="M1679" s="4" t="s">
        <v>1255</v>
      </c>
      <c r="N1679" s="3">
        <v>-2752.53</v>
      </c>
    </row>
    <row r="1680" spans="1:14" x14ac:dyDescent="0.35">
      <c r="A1680">
        <v>2634</v>
      </c>
      <c r="B1680" s="4" t="s">
        <v>262</v>
      </c>
      <c r="C1680" s="4" t="s">
        <v>423</v>
      </c>
      <c r="D1680" s="4" t="s">
        <v>33</v>
      </c>
      <c r="E1680">
        <v>-2</v>
      </c>
      <c r="F1680" s="3">
        <v>2749.3103000000001</v>
      </c>
      <c r="G1680" s="2">
        <v>0.96</v>
      </c>
      <c r="H1680" s="3">
        <v>0</v>
      </c>
      <c r="I1680" s="1">
        <v>45221</v>
      </c>
      <c r="J1680" s="4" t="s">
        <v>23</v>
      </c>
      <c r="K1680" s="4" t="s">
        <v>12</v>
      </c>
      <c r="L1680" s="3">
        <v>2065.7399999999998</v>
      </c>
      <c r="M1680" s="4" t="s">
        <v>1255</v>
      </c>
      <c r="N1680" s="3">
        <v>-5498.6206000000002</v>
      </c>
    </row>
    <row r="1681" spans="1:14" x14ac:dyDescent="0.35">
      <c r="A1681">
        <v>2635</v>
      </c>
      <c r="B1681" s="4" t="s">
        <v>292</v>
      </c>
      <c r="C1681" s="4" t="s">
        <v>323</v>
      </c>
      <c r="D1681" s="4" t="s">
        <v>29</v>
      </c>
      <c r="E1681">
        <v>2</v>
      </c>
      <c r="F1681" s="3">
        <v>2749.3103000000001</v>
      </c>
      <c r="G1681" s="2">
        <v>0.64054151624548805</v>
      </c>
      <c r="H1681" s="3">
        <v>0</v>
      </c>
      <c r="I1681" s="1">
        <v>45691</v>
      </c>
      <c r="J1681" s="4" t="s">
        <v>20</v>
      </c>
      <c r="K1681" s="4" t="s">
        <v>8</v>
      </c>
      <c r="L1681" s="3">
        <v>461.83</v>
      </c>
      <c r="M1681" s="4" t="s">
        <v>1255</v>
      </c>
      <c r="N1681" s="3">
        <v>5498.6206000000002</v>
      </c>
    </row>
    <row r="1682" spans="1:14" x14ac:dyDescent="0.35">
      <c r="A1682">
        <v>2636</v>
      </c>
      <c r="B1682" s="4" t="s">
        <v>145</v>
      </c>
      <c r="C1682" s="4" t="s">
        <v>993</v>
      </c>
      <c r="D1682" s="4" t="s">
        <v>25</v>
      </c>
      <c r="E1682">
        <v>3</v>
      </c>
      <c r="F1682" s="3">
        <v>1006.98</v>
      </c>
      <c r="G1682" s="2">
        <v>0.64054151624548805</v>
      </c>
      <c r="H1682" s="3">
        <v>0</v>
      </c>
      <c r="I1682" s="1">
        <v>45151</v>
      </c>
      <c r="J1682" s="4" t="s">
        <v>11</v>
      </c>
      <c r="K1682" s="4" t="s">
        <v>12</v>
      </c>
      <c r="L1682" s="3">
        <v>1576.71</v>
      </c>
      <c r="M1682" s="4" t="s">
        <v>1255</v>
      </c>
      <c r="N1682" s="3">
        <v>3020.94</v>
      </c>
    </row>
    <row r="1683" spans="1:14" x14ac:dyDescent="0.35">
      <c r="A1683">
        <v>2637</v>
      </c>
      <c r="B1683" s="4" t="s">
        <v>880</v>
      </c>
      <c r="C1683" s="4" t="s">
        <v>878</v>
      </c>
      <c r="D1683" s="4" t="s">
        <v>34</v>
      </c>
      <c r="E1683">
        <v>0</v>
      </c>
      <c r="F1683" s="3">
        <v>2749.3103000000001</v>
      </c>
      <c r="G1683" s="2">
        <v>0.72</v>
      </c>
      <c r="H1683" s="3">
        <v>0</v>
      </c>
      <c r="I1683" s="1">
        <v>45151</v>
      </c>
      <c r="J1683" s="4" t="s">
        <v>7</v>
      </c>
      <c r="K1683" s="4" t="s">
        <v>12</v>
      </c>
      <c r="L1683" s="3">
        <v>1326.41</v>
      </c>
      <c r="M1683" s="4" t="s">
        <v>1255</v>
      </c>
      <c r="N1683" s="3">
        <v>0</v>
      </c>
    </row>
    <row r="1684" spans="1:14" x14ac:dyDescent="0.35">
      <c r="A1684">
        <v>2638</v>
      </c>
      <c r="B1684" s="4" t="s">
        <v>170</v>
      </c>
      <c r="C1684" s="4" t="s">
        <v>173</v>
      </c>
      <c r="D1684" s="4" t="s">
        <v>34</v>
      </c>
      <c r="E1684">
        <v>6</v>
      </c>
      <c r="F1684" s="3">
        <v>2012.14</v>
      </c>
      <c r="G1684" s="2">
        <v>0.64025362318840595</v>
      </c>
      <c r="H1684" s="3">
        <v>0</v>
      </c>
      <c r="I1684" s="1">
        <v>45643</v>
      </c>
      <c r="J1684" s="4" t="s">
        <v>7</v>
      </c>
      <c r="K1684" s="4" t="s">
        <v>12</v>
      </c>
      <c r="L1684" s="3">
        <v>3.53</v>
      </c>
      <c r="M1684" s="4" t="s">
        <v>1255</v>
      </c>
      <c r="N1684" s="3">
        <v>12072.84</v>
      </c>
    </row>
    <row r="1685" spans="1:14" x14ac:dyDescent="0.35">
      <c r="A1685">
        <v>2639</v>
      </c>
      <c r="B1685" s="4" t="s">
        <v>569</v>
      </c>
      <c r="C1685" s="4" t="s">
        <v>329</v>
      </c>
      <c r="D1685" s="4" t="s">
        <v>22</v>
      </c>
      <c r="E1685">
        <v>-1</v>
      </c>
      <c r="F1685" s="3">
        <v>4947.96</v>
      </c>
      <c r="G1685" s="2">
        <v>0.64025362318840595</v>
      </c>
      <c r="H1685" s="3">
        <v>0</v>
      </c>
      <c r="I1685" s="1">
        <v>45643</v>
      </c>
      <c r="J1685" s="4" t="s">
        <v>20</v>
      </c>
      <c r="K1685" s="4" t="s">
        <v>8</v>
      </c>
      <c r="L1685" s="3">
        <v>1245.6099999999999</v>
      </c>
      <c r="M1685" s="4" t="s">
        <v>1255</v>
      </c>
      <c r="N1685" s="3">
        <v>-4947.96</v>
      </c>
    </row>
    <row r="1686" spans="1:14" x14ac:dyDescent="0.35">
      <c r="A1686">
        <v>2640</v>
      </c>
      <c r="B1686" s="4" t="s">
        <v>139</v>
      </c>
      <c r="C1686" s="4" t="s">
        <v>374</v>
      </c>
      <c r="D1686" s="4" t="s">
        <v>34</v>
      </c>
      <c r="E1686">
        <v>6</v>
      </c>
      <c r="F1686" s="3">
        <v>4720.2299999999996</v>
      </c>
      <c r="G1686" s="2">
        <v>0.69</v>
      </c>
      <c r="H1686" s="3">
        <v>8779.6299999999992</v>
      </c>
      <c r="I1686" s="1">
        <v>45289</v>
      </c>
      <c r="J1686" s="4" t="s">
        <v>9</v>
      </c>
      <c r="K1686" s="4" t="s">
        <v>12</v>
      </c>
      <c r="L1686" s="3">
        <v>2243.09</v>
      </c>
      <c r="M1686" s="4" t="s">
        <v>1256</v>
      </c>
      <c r="N1686" s="3">
        <v>28321.38</v>
      </c>
    </row>
    <row r="1687" spans="1:14" x14ac:dyDescent="0.35">
      <c r="A1687">
        <v>2641</v>
      </c>
      <c r="B1687" s="4" t="s">
        <v>757</v>
      </c>
      <c r="C1687" s="4" t="s">
        <v>169</v>
      </c>
      <c r="D1687" s="4" t="s">
        <v>31</v>
      </c>
      <c r="E1687">
        <v>6</v>
      </c>
      <c r="F1687" s="3">
        <v>2749.9726999999998</v>
      </c>
      <c r="G1687" s="2">
        <v>0.64007272727272801</v>
      </c>
      <c r="H1687" s="3">
        <v>0</v>
      </c>
      <c r="I1687" s="1">
        <v>45824</v>
      </c>
      <c r="J1687" s="4" t="s">
        <v>7</v>
      </c>
      <c r="K1687" s="4" t="s">
        <v>12</v>
      </c>
      <c r="L1687" s="3">
        <v>-151.61000000000001</v>
      </c>
      <c r="M1687" s="4" t="s">
        <v>1255</v>
      </c>
      <c r="N1687" s="3">
        <v>16499.836200000002</v>
      </c>
    </row>
    <row r="1688" spans="1:14" x14ac:dyDescent="0.35">
      <c r="A1688">
        <v>2642</v>
      </c>
      <c r="B1688" s="4" t="s">
        <v>79</v>
      </c>
      <c r="C1688" s="4" t="s">
        <v>188</v>
      </c>
      <c r="D1688" s="4" t="s">
        <v>27</v>
      </c>
      <c r="E1688">
        <v>-1</v>
      </c>
      <c r="F1688" s="3">
        <v>1043.58</v>
      </c>
      <c r="G1688" s="2">
        <v>0.64007272727272801</v>
      </c>
      <c r="H1688" s="3">
        <v>0</v>
      </c>
      <c r="I1688" s="1">
        <v>45846</v>
      </c>
      <c r="J1688" s="4" t="s">
        <v>23</v>
      </c>
      <c r="K1688" s="4" t="s">
        <v>12</v>
      </c>
      <c r="L1688" s="3">
        <v>1206.72</v>
      </c>
      <c r="M1688" s="4" t="s">
        <v>1255</v>
      </c>
      <c r="N1688" s="3">
        <v>-1043.58</v>
      </c>
    </row>
    <row r="1689" spans="1:14" x14ac:dyDescent="0.35">
      <c r="A1689">
        <v>2643</v>
      </c>
      <c r="B1689" s="4" t="s">
        <v>219</v>
      </c>
      <c r="C1689" s="4" t="s">
        <v>444</v>
      </c>
      <c r="D1689" s="4" t="s">
        <v>27</v>
      </c>
      <c r="E1689">
        <v>0</v>
      </c>
      <c r="F1689" s="3">
        <v>2745.3148999999999</v>
      </c>
      <c r="G1689" s="2">
        <v>0.53</v>
      </c>
      <c r="H1689" s="3">
        <v>0</v>
      </c>
      <c r="I1689" s="1">
        <v>45517</v>
      </c>
      <c r="J1689" s="4" t="s">
        <v>18</v>
      </c>
      <c r="K1689" s="4" t="s">
        <v>12</v>
      </c>
      <c r="L1689" s="3">
        <v>2911.37</v>
      </c>
      <c r="M1689" s="4" t="s">
        <v>1255</v>
      </c>
      <c r="N1689" s="3">
        <v>0</v>
      </c>
    </row>
    <row r="1690" spans="1:14" hidden="1" x14ac:dyDescent="0.35">
      <c r="A1690">
        <v>2644</v>
      </c>
      <c r="B1690" s="4" t="s">
        <v>559</v>
      </c>
      <c r="C1690" s="4" t="s">
        <v>669</v>
      </c>
      <c r="D1690" s="4" t="s">
        <v>6</v>
      </c>
      <c r="E1690">
        <v>0</v>
      </c>
      <c r="F1690" s="3">
        <v>2749.3474000000001</v>
      </c>
      <c r="G1690" s="2">
        <v>0.640474452554745</v>
      </c>
      <c r="H1690" s="3">
        <v>0</v>
      </c>
      <c r="I1690" s="1">
        <v>45325</v>
      </c>
      <c r="J1690" s="4" t="s">
        <v>11</v>
      </c>
      <c r="K1690" s="4" t="s">
        <v>40</v>
      </c>
      <c r="L1690" s="3">
        <v>2044.35</v>
      </c>
      <c r="M1690" s="4" t="s">
        <v>1255</v>
      </c>
      <c r="N1690" s="3">
        <v>0</v>
      </c>
    </row>
    <row r="1691" spans="1:14" x14ac:dyDescent="0.35">
      <c r="A1691">
        <v>2645</v>
      </c>
      <c r="B1691" s="4" t="s">
        <v>313</v>
      </c>
      <c r="C1691" s="4" t="s">
        <v>1080</v>
      </c>
      <c r="D1691" s="4" t="s">
        <v>19</v>
      </c>
      <c r="E1691">
        <v>0</v>
      </c>
      <c r="F1691" s="3">
        <v>2749.3474000000001</v>
      </c>
      <c r="G1691" s="2">
        <v>0.98</v>
      </c>
      <c r="H1691" s="3">
        <v>0</v>
      </c>
      <c r="I1691" s="1">
        <v>45761</v>
      </c>
      <c r="J1691" s="4" t="s">
        <v>9</v>
      </c>
      <c r="K1691" s="4" t="s">
        <v>12</v>
      </c>
      <c r="L1691" s="3">
        <v>1141.67</v>
      </c>
      <c r="M1691" s="4" t="s">
        <v>1255</v>
      </c>
      <c r="N1691" s="3">
        <v>0</v>
      </c>
    </row>
    <row r="1692" spans="1:14" hidden="1" x14ac:dyDescent="0.35">
      <c r="A1692">
        <v>2646</v>
      </c>
      <c r="B1692" s="4" t="s">
        <v>1081</v>
      </c>
      <c r="C1692" s="4" t="s">
        <v>44</v>
      </c>
      <c r="D1692" s="4" t="s">
        <v>16</v>
      </c>
      <c r="E1692">
        <v>6</v>
      </c>
      <c r="F1692" s="3">
        <v>2749.3474000000001</v>
      </c>
      <c r="G1692" s="2">
        <v>0.63923076923076905</v>
      </c>
      <c r="H1692" s="3">
        <v>0</v>
      </c>
      <c r="I1692" s="1">
        <v>45661</v>
      </c>
      <c r="J1692" s="4" t="s">
        <v>7</v>
      </c>
      <c r="K1692" s="4" t="s">
        <v>40</v>
      </c>
      <c r="L1692" s="3">
        <v>2299.84</v>
      </c>
      <c r="M1692" s="4" t="s">
        <v>1255</v>
      </c>
      <c r="N1692" s="3">
        <v>16496.0844</v>
      </c>
    </row>
    <row r="1693" spans="1:14" x14ac:dyDescent="0.35">
      <c r="A1693">
        <v>2647</v>
      </c>
      <c r="B1693" s="4" t="s">
        <v>805</v>
      </c>
      <c r="C1693" s="4" t="s">
        <v>604</v>
      </c>
      <c r="D1693" s="4" t="s">
        <v>14</v>
      </c>
      <c r="E1693">
        <v>5</v>
      </c>
      <c r="F1693" s="3">
        <v>2749.3474000000001</v>
      </c>
      <c r="G1693" s="2">
        <v>0.63923076923076905</v>
      </c>
      <c r="H1693" s="3">
        <v>0</v>
      </c>
      <c r="I1693" s="1">
        <v>45497</v>
      </c>
      <c r="J1693" s="4" t="s">
        <v>23</v>
      </c>
      <c r="K1693" s="4" t="s">
        <v>12</v>
      </c>
      <c r="L1693" s="3">
        <v>-102.81</v>
      </c>
      <c r="M1693" s="4" t="s">
        <v>1255</v>
      </c>
      <c r="N1693" s="3">
        <v>13746.736999999999</v>
      </c>
    </row>
    <row r="1694" spans="1:14" x14ac:dyDescent="0.35">
      <c r="A1694">
        <v>2648</v>
      </c>
      <c r="B1694" s="4" t="s">
        <v>246</v>
      </c>
      <c r="C1694" s="4" t="s">
        <v>992</v>
      </c>
      <c r="D1694" s="4" t="s">
        <v>21</v>
      </c>
      <c r="E1694">
        <v>0</v>
      </c>
      <c r="F1694" s="3">
        <v>4899.84</v>
      </c>
      <c r="G1694" s="2">
        <v>0.63923076923076905</v>
      </c>
      <c r="H1694" s="3">
        <v>0</v>
      </c>
      <c r="I1694" s="1">
        <v>45671</v>
      </c>
      <c r="J1694" s="4" t="s">
        <v>9</v>
      </c>
      <c r="K1694" s="4" t="s">
        <v>8</v>
      </c>
      <c r="L1694" s="3">
        <v>1775.2</v>
      </c>
      <c r="M1694" s="4" t="s">
        <v>1255</v>
      </c>
      <c r="N1694" s="3">
        <v>0</v>
      </c>
    </row>
    <row r="1695" spans="1:14" x14ac:dyDescent="0.35">
      <c r="A1695">
        <v>2649</v>
      </c>
      <c r="B1695" s="4" t="s">
        <v>359</v>
      </c>
      <c r="C1695" s="4" t="s">
        <v>917</v>
      </c>
      <c r="D1695" s="4" t="s">
        <v>19</v>
      </c>
      <c r="E1695">
        <v>3</v>
      </c>
      <c r="F1695" s="3">
        <v>3838.55</v>
      </c>
      <c r="G1695" s="2">
        <v>0.91</v>
      </c>
      <c r="H1695" s="3">
        <v>1036.4100000000001</v>
      </c>
      <c r="I1695" s="1">
        <v>45504</v>
      </c>
      <c r="J1695" s="4" t="s">
        <v>20</v>
      </c>
      <c r="K1695" s="4" t="s">
        <v>8</v>
      </c>
      <c r="L1695" s="3">
        <v>2380.44</v>
      </c>
      <c r="M1695" s="4" t="s">
        <v>1256</v>
      </c>
      <c r="N1695" s="3">
        <v>11515.65</v>
      </c>
    </row>
    <row r="1696" spans="1:14" x14ac:dyDescent="0.35">
      <c r="A1696">
        <v>2650</v>
      </c>
      <c r="B1696" s="4" t="s">
        <v>590</v>
      </c>
      <c r="C1696" s="4" t="s">
        <v>836</v>
      </c>
      <c r="D1696" s="4" t="s">
        <v>38</v>
      </c>
      <c r="E1696">
        <v>0</v>
      </c>
      <c r="F1696" s="3">
        <v>2744.2393999999999</v>
      </c>
      <c r="G1696" s="2">
        <v>0.63823529411764701</v>
      </c>
      <c r="H1696" s="3">
        <v>0</v>
      </c>
      <c r="I1696" s="1">
        <v>45700</v>
      </c>
      <c r="J1696" s="4" t="s">
        <v>18</v>
      </c>
      <c r="K1696" s="4" t="s">
        <v>8</v>
      </c>
      <c r="L1696" s="3">
        <v>2003.15</v>
      </c>
      <c r="M1696" s="4" t="s">
        <v>1255</v>
      </c>
      <c r="N1696" s="3">
        <v>0</v>
      </c>
    </row>
    <row r="1697" spans="1:14" x14ac:dyDescent="0.35">
      <c r="A1697">
        <v>2652</v>
      </c>
      <c r="B1697" s="4" t="s">
        <v>1082</v>
      </c>
      <c r="C1697" s="4" t="s">
        <v>1083</v>
      </c>
      <c r="D1697" s="4" t="s">
        <v>16</v>
      </c>
      <c r="E1697">
        <v>0</v>
      </c>
      <c r="F1697" s="3">
        <v>2741.6338999999998</v>
      </c>
      <c r="G1697" s="2">
        <v>0.63823529411764701</v>
      </c>
      <c r="H1697" s="3">
        <v>0</v>
      </c>
      <c r="I1697" s="1">
        <v>45747</v>
      </c>
      <c r="J1697" s="4" t="s">
        <v>9</v>
      </c>
      <c r="K1697" s="4" t="s">
        <v>8</v>
      </c>
      <c r="L1697" s="3">
        <v>1472.41</v>
      </c>
      <c r="M1697" s="4" t="s">
        <v>1255</v>
      </c>
      <c r="N1697" s="3">
        <v>0</v>
      </c>
    </row>
    <row r="1698" spans="1:14" x14ac:dyDescent="0.35">
      <c r="A1698">
        <v>2653</v>
      </c>
      <c r="B1698" s="4" t="s">
        <v>944</v>
      </c>
      <c r="C1698" s="4" t="s">
        <v>1084</v>
      </c>
      <c r="D1698" s="4" t="s">
        <v>37</v>
      </c>
      <c r="E1698">
        <v>0</v>
      </c>
      <c r="F1698" s="3">
        <v>2744.2629999999999</v>
      </c>
      <c r="G1698" s="2">
        <v>0.03</v>
      </c>
      <c r="H1698" s="3">
        <v>0</v>
      </c>
      <c r="I1698" s="1">
        <v>45529</v>
      </c>
      <c r="J1698" s="4" t="s">
        <v>20</v>
      </c>
      <c r="K1698" s="4" t="s">
        <v>12</v>
      </c>
      <c r="L1698" s="3">
        <v>-327.41000000000003</v>
      </c>
      <c r="M1698" s="4" t="s">
        <v>1255</v>
      </c>
      <c r="N1698" s="3">
        <v>0</v>
      </c>
    </row>
    <row r="1699" spans="1:14" x14ac:dyDescent="0.35">
      <c r="A1699">
        <v>2654</v>
      </c>
      <c r="B1699" s="4" t="s">
        <v>85</v>
      </c>
      <c r="C1699" s="4" t="s">
        <v>1026</v>
      </c>
      <c r="D1699" s="4" t="s">
        <v>38</v>
      </c>
      <c r="E1699">
        <v>6</v>
      </c>
      <c r="F1699" s="3">
        <v>2744.2629999999999</v>
      </c>
      <c r="G1699" s="2">
        <v>0.31</v>
      </c>
      <c r="H1699" s="3">
        <v>0</v>
      </c>
      <c r="I1699" s="1">
        <v>45692</v>
      </c>
      <c r="J1699" s="4" t="s">
        <v>23</v>
      </c>
      <c r="K1699" s="4" t="s">
        <v>12</v>
      </c>
      <c r="L1699" s="3">
        <v>250.85</v>
      </c>
      <c r="M1699" s="4" t="s">
        <v>1255</v>
      </c>
      <c r="N1699" s="3">
        <v>16465.578000000001</v>
      </c>
    </row>
    <row r="1700" spans="1:14" hidden="1" x14ac:dyDescent="0.35">
      <c r="A1700">
        <v>2655</v>
      </c>
      <c r="B1700" s="4" t="s">
        <v>93</v>
      </c>
      <c r="C1700" s="4" t="s">
        <v>217</v>
      </c>
      <c r="D1700" s="4" t="s">
        <v>35</v>
      </c>
      <c r="E1700">
        <v>4</v>
      </c>
      <c r="F1700" s="3">
        <v>2744.2629999999999</v>
      </c>
      <c r="G1700" s="2">
        <v>0.641703703703704</v>
      </c>
      <c r="H1700" s="3">
        <v>0</v>
      </c>
      <c r="I1700" s="1">
        <v>45692</v>
      </c>
      <c r="J1700" s="4" t="s">
        <v>7</v>
      </c>
      <c r="K1700" s="4" t="s">
        <v>40</v>
      </c>
      <c r="L1700" s="3">
        <v>-630.72</v>
      </c>
      <c r="M1700" s="4" t="s">
        <v>1255</v>
      </c>
      <c r="N1700" s="3">
        <v>10977.052</v>
      </c>
    </row>
    <row r="1701" spans="1:14" hidden="1" x14ac:dyDescent="0.35">
      <c r="A1701">
        <v>2656</v>
      </c>
      <c r="B1701" s="4" t="s">
        <v>192</v>
      </c>
      <c r="C1701" s="4" t="s">
        <v>74</v>
      </c>
      <c r="D1701" s="4" t="s">
        <v>22</v>
      </c>
      <c r="E1701">
        <v>0</v>
      </c>
      <c r="F1701" s="3">
        <v>2744.2629999999999</v>
      </c>
      <c r="G1701" s="2">
        <v>0.641703703703704</v>
      </c>
      <c r="H1701" s="3">
        <v>0</v>
      </c>
      <c r="I1701" s="1">
        <v>45757</v>
      </c>
      <c r="J1701" s="4" t="s">
        <v>9</v>
      </c>
      <c r="K1701" s="4" t="s">
        <v>40</v>
      </c>
      <c r="L1701" s="3">
        <v>1096.6099999999999</v>
      </c>
      <c r="M1701" s="4" t="s">
        <v>1255</v>
      </c>
      <c r="N1701" s="3">
        <v>0</v>
      </c>
    </row>
    <row r="1702" spans="1:14" x14ac:dyDescent="0.35">
      <c r="A1702">
        <v>2658</v>
      </c>
      <c r="B1702" s="4" t="s">
        <v>93</v>
      </c>
      <c r="C1702" s="4" t="s">
        <v>597</v>
      </c>
      <c r="D1702" s="4" t="s">
        <v>32</v>
      </c>
      <c r="E1702">
        <v>0</v>
      </c>
      <c r="F1702" s="3">
        <v>3726.31</v>
      </c>
      <c r="G1702" s="2">
        <v>0.64074349442379197</v>
      </c>
      <c r="H1702" s="3">
        <v>0</v>
      </c>
      <c r="I1702" s="1">
        <v>45757</v>
      </c>
      <c r="J1702" s="4" t="s">
        <v>11</v>
      </c>
      <c r="K1702" s="4" t="s">
        <v>8</v>
      </c>
      <c r="L1702" s="3">
        <v>1524.78</v>
      </c>
      <c r="M1702" s="4" t="s">
        <v>1255</v>
      </c>
      <c r="N1702" s="3">
        <v>0</v>
      </c>
    </row>
    <row r="1703" spans="1:14" x14ac:dyDescent="0.35">
      <c r="A1703">
        <v>2659</v>
      </c>
      <c r="B1703" s="4" t="s">
        <v>942</v>
      </c>
      <c r="C1703" s="4" t="s">
        <v>996</v>
      </c>
      <c r="D1703" s="4" t="s">
        <v>26</v>
      </c>
      <c r="E1703">
        <v>0</v>
      </c>
      <c r="F1703" s="3">
        <v>1059.0899999999999</v>
      </c>
      <c r="G1703" s="2">
        <v>1.24</v>
      </c>
      <c r="H1703" s="3">
        <v>0</v>
      </c>
      <c r="I1703" s="1">
        <v>45856</v>
      </c>
      <c r="J1703" s="4" t="s">
        <v>7</v>
      </c>
      <c r="K1703" s="4" t="s">
        <v>8</v>
      </c>
      <c r="L1703" s="3">
        <v>-521.41</v>
      </c>
      <c r="M1703" s="4" t="s">
        <v>1255</v>
      </c>
      <c r="N1703" s="3">
        <v>0</v>
      </c>
    </row>
    <row r="1704" spans="1:14" hidden="1" x14ac:dyDescent="0.35">
      <c r="A1704">
        <v>2660</v>
      </c>
      <c r="B1704" s="4" t="s">
        <v>228</v>
      </c>
      <c r="C1704" s="4" t="s">
        <v>1085</v>
      </c>
      <c r="D1704" s="4" t="s">
        <v>28</v>
      </c>
      <c r="E1704">
        <v>0</v>
      </c>
      <c r="F1704" s="3">
        <v>2739.2228</v>
      </c>
      <c r="G1704" s="2">
        <v>0.638507462686567</v>
      </c>
      <c r="H1704" s="3">
        <v>0</v>
      </c>
      <c r="I1704" s="1">
        <v>45856</v>
      </c>
      <c r="J1704" s="4" t="s">
        <v>23</v>
      </c>
      <c r="K1704" s="4" t="s">
        <v>40</v>
      </c>
      <c r="L1704" s="3">
        <v>1006.1</v>
      </c>
      <c r="M1704" s="4" t="s">
        <v>1255</v>
      </c>
      <c r="N1704" s="3">
        <v>0</v>
      </c>
    </row>
    <row r="1705" spans="1:14" x14ac:dyDescent="0.35">
      <c r="A1705">
        <v>2661</v>
      </c>
      <c r="B1705" s="4" t="s">
        <v>903</v>
      </c>
      <c r="C1705" s="4" t="s">
        <v>151</v>
      </c>
      <c r="D1705" s="4" t="s">
        <v>17</v>
      </c>
      <c r="E1705">
        <v>0</v>
      </c>
      <c r="F1705" s="3">
        <v>2743.2615999999998</v>
      </c>
      <c r="G1705" s="2">
        <v>0.638507462686567</v>
      </c>
      <c r="H1705" s="3">
        <v>0</v>
      </c>
      <c r="I1705" s="1">
        <v>45765</v>
      </c>
      <c r="J1705" s="4" t="s">
        <v>9</v>
      </c>
      <c r="K1705" s="4" t="s">
        <v>12</v>
      </c>
      <c r="L1705" s="3">
        <v>1249.5899999999999</v>
      </c>
      <c r="M1705" s="4" t="s">
        <v>1255</v>
      </c>
      <c r="N1705" s="3">
        <v>0</v>
      </c>
    </row>
    <row r="1706" spans="1:14" x14ac:dyDescent="0.35">
      <c r="A1706">
        <v>2662</v>
      </c>
      <c r="B1706" s="4" t="s">
        <v>134</v>
      </c>
      <c r="C1706" s="4" t="s">
        <v>872</v>
      </c>
      <c r="D1706" s="4" t="s">
        <v>15</v>
      </c>
      <c r="E1706">
        <v>-1</v>
      </c>
      <c r="F1706" s="3">
        <v>2718.51</v>
      </c>
      <c r="G1706" s="2">
        <v>0.638507462686567</v>
      </c>
      <c r="H1706" s="3">
        <v>0</v>
      </c>
      <c r="I1706" s="1">
        <v>45841</v>
      </c>
      <c r="J1706" s="4" t="s">
        <v>20</v>
      </c>
      <c r="K1706" s="4" t="s">
        <v>8</v>
      </c>
      <c r="L1706" s="3">
        <v>903.59</v>
      </c>
      <c r="M1706" s="4" t="s">
        <v>1255</v>
      </c>
      <c r="N1706" s="3">
        <v>-2718.51</v>
      </c>
    </row>
    <row r="1707" spans="1:14" x14ac:dyDescent="0.35">
      <c r="A1707">
        <v>2663</v>
      </c>
      <c r="B1707" s="4" t="s">
        <v>52</v>
      </c>
      <c r="C1707" s="4" t="s">
        <v>733</v>
      </c>
      <c r="D1707" s="4" t="s">
        <v>19</v>
      </c>
      <c r="E1707">
        <v>-2</v>
      </c>
      <c r="F1707" s="3">
        <v>2212.25</v>
      </c>
      <c r="G1707" s="2">
        <v>0.35</v>
      </c>
      <c r="H1707" s="3">
        <v>-2875.93</v>
      </c>
      <c r="I1707" s="1">
        <v>45602</v>
      </c>
      <c r="J1707" s="4" t="s">
        <v>11</v>
      </c>
      <c r="K1707" s="4" t="s">
        <v>8</v>
      </c>
      <c r="L1707" s="3">
        <v>2992.12</v>
      </c>
      <c r="M1707" s="4" t="s">
        <v>1255</v>
      </c>
      <c r="N1707" s="3">
        <v>-4424.5</v>
      </c>
    </row>
    <row r="1708" spans="1:14" x14ac:dyDescent="0.35">
      <c r="A1708">
        <v>2664</v>
      </c>
      <c r="B1708" s="4" t="s">
        <v>1086</v>
      </c>
      <c r="C1708" s="4" t="s">
        <v>924</v>
      </c>
      <c r="D1708" s="4" t="s">
        <v>29</v>
      </c>
      <c r="E1708">
        <v>2</v>
      </c>
      <c r="F1708" s="3">
        <v>2743.3213000000001</v>
      </c>
      <c r="G1708" s="2">
        <v>0.63958801498127404</v>
      </c>
      <c r="H1708" s="3">
        <v>0</v>
      </c>
      <c r="I1708" s="1">
        <v>45382</v>
      </c>
      <c r="J1708" s="4" t="s">
        <v>23</v>
      </c>
      <c r="K1708" s="4" t="s">
        <v>8</v>
      </c>
      <c r="L1708" s="3">
        <v>-338.97</v>
      </c>
      <c r="M1708" s="4" t="s">
        <v>1255</v>
      </c>
      <c r="N1708" s="3">
        <v>5486.6426000000001</v>
      </c>
    </row>
    <row r="1709" spans="1:14" x14ac:dyDescent="0.35">
      <c r="A1709">
        <v>2665</v>
      </c>
      <c r="B1709" s="4" t="s">
        <v>1087</v>
      </c>
      <c r="C1709" s="4" t="s">
        <v>968</v>
      </c>
      <c r="D1709" s="4" t="s">
        <v>30</v>
      </c>
      <c r="E1709">
        <v>3</v>
      </c>
      <c r="F1709" s="3">
        <v>2744.6039999999998</v>
      </c>
      <c r="G1709" s="2">
        <v>0.63958801498127404</v>
      </c>
      <c r="H1709" s="3">
        <v>0</v>
      </c>
      <c r="I1709" s="1">
        <v>45827</v>
      </c>
      <c r="J1709" s="4" t="s">
        <v>20</v>
      </c>
      <c r="K1709" s="4" t="s">
        <v>8</v>
      </c>
      <c r="L1709" s="3">
        <v>122</v>
      </c>
      <c r="M1709" s="4" t="s">
        <v>1255</v>
      </c>
      <c r="N1709" s="3">
        <v>8233.8119999999999</v>
      </c>
    </row>
    <row r="1710" spans="1:14" x14ac:dyDescent="0.35">
      <c r="A1710">
        <v>2666</v>
      </c>
      <c r="B1710" s="4" t="s">
        <v>132</v>
      </c>
      <c r="C1710" s="4" t="s">
        <v>320</v>
      </c>
      <c r="D1710" s="4" t="s">
        <v>25</v>
      </c>
      <c r="E1710">
        <v>0</v>
      </c>
      <c r="F1710" s="3">
        <v>2744.6039999999998</v>
      </c>
      <c r="G1710" s="2">
        <v>0.63958801498127404</v>
      </c>
      <c r="H1710" s="3">
        <v>0</v>
      </c>
      <c r="I1710" s="1">
        <v>45827</v>
      </c>
      <c r="J1710" s="4" t="s">
        <v>20</v>
      </c>
      <c r="K1710" s="4" t="s">
        <v>12</v>
      </c>
      <c r="L1710" s="3">
        <v>1989.64</v>
      </c>
      <c r="M1710" s="4" t="s">
        <v>1255</v>
      </c>
      <c r="N1710" s="3">
        <v>0</v>
      </c>
    </row>
    <row r="1711" spans="1:14" x14ac:dyDescent="0.35">
      <c r="A1711">
        <v>2667</v>
      </c>
      <c r="B1711" s="4" t="s">
        <v>264</v>
      </c>
      <c r="C1711" s="4" t="s">
        <v>61</v>
      </c>
      <c r="D1711" s="4" t="s">
        <v>28</v>
      </c>
      <c r="E1711">
        <v>1</v>
      </c>
      <c r="F1711" s="3">
        <v>4710.7700000000004</v>
      </c>
      <c r="G1711" s="2">
        <v>0.63958801498127404</v>
      </c>
      <c r="H1711" s="3">
        <v>0</v>
      </c>
      <c r="I1711" s="1">
        <v>45827</v>
      </c>
      <c r="J1711" s="4" t="s">
        <v>9</v>
      </c>
      <c r="K1711" s="4" t="s">
        <v>12</v>
      </c>
      <c r="L1711" s="3">
        <v>2520.0500000000002</v>
      </c>
      <c r="M1711" s="4" t="s">
        <v>1255</v>
      </c>
      <c r="N1711" s="3">
        <v>4710.7700000000004</v>
      </c>
    </row>
    <row r="1712" spans="1:14" x14ac:dyDescent="0.35">
      <c r="A1712">
        <v>2668</v>
      </c>
      <c r="B1712" s="4" t="s">
        <v>849</v>
      </c>
      <c r="C1712" s="4" t="s">
        <v>831</v>
      </c>
      <c r="D1712" s="4" t="s">
        <v>26</v>
      </c>
      <c r="E1712">
        <v>1</v>
      </c>
      <c r="F1712" s="3">
        <v>2744.6039999999998</v>
      </c>
      <c r="G1712" s="2">
        <v>0.64</v>
      </c>
      <c r="H1712" s="3">
        <v>0</v>
      </c>
      <c r="I1712" s="1">
        <v>45282</v>
      </c>
      <c r="J1712" s="4" t="s">
        <v>9</v>
      </c>
      <c r="K1712" s="4" t="s">
        <v>8</v>
      </c>
      <c r="L1712" s="3">
        <v>-3.95</v>
      </c>
      <c r="M1712" s="4" t="s">
        <v>1255</v>
      </c>
      <c r="N1712" s="3">
        <v>2744.6039999999998</v>
      </c>
    </row>
    <row r="1713" spans="1:14" hidden="1" x14ac:dyDescent="0.35">
      <c r="A1713">
        <v>2669</v>
      </c>
      <c r="B1713" s="4" t="s">
        <v>239</v>
      </c>
      <c r="C1713" s="4" t="s">
        <v>285</v>
      </c>
      <c r="D1713" s="4" t="s">
        <v>28</v>
      </c>
      <c r="E1713">
        <v>-1</v>
      </c>
      <c r="F1713" s="3">
        <v>2739.8433</v>
      </c>
      <c r="G1713" s="2">
        <v>0.63958646616541404</v>
      </c>
      <c r="H1713" s="3">
        <v>0</v>
      </c>
      <c r="I1713" s="1">
        <v>45749</v>
      </c>
      <c r="J1713" s="4" t="s">
        <v>20</v>
      </c>
      <c r="K1713" s="4" t="s">
        <v>40</v>
      </c>
      <c r="L1713" s="3">
        <v>-760.17</v>
      </c>
      <c r="M1713" s="4" t="s">
        <v>1255</v>
      </c>
      <c r="N1713" s="3">
        <v>-2739.8433</v>
      </c>
    </row>
    <row r="1714" spans="1:14" x14ac:dyDescent="0.35">
      <c r="A1714">
        <v>2670</v>
      </c>
      <c r="B1714" s="4" t="s">
        <v>274</v>
      </c>
      <c r="C1714" s="4" t="s">
        <v>1088</v>
      </c>
      <c r="D1714" s="4" t="s">
        <v>28</v>
      </c>
      <c r="E1714">
        <v>0</v>
      </c>
      <c r="F1714" s="3">
        <v>2739.8433</v>
      </c>
      <c r="G1714" s="2">
        <v>0.63958646616541404</v>
      </c>
      <c r="H1714" s="3">
        <v>0</v>
      </c>
      <c r="I1714" s="1">
        <v>45561</v>
      </c>
      <c r="J1714" s="4" t="s">
        <v>20</v>
      </c>
      <c r="K1714" s="4" t="s">
        <v>8</v>
      </c>
      <c r="L1714" s="3">
        <v>775.45</v>
      </c>
      <c r="M1714" s="4" t="s">
        <v>1255</v>
      </c>
      <c r="N1714" s="3">
        <v>0</v>
      </c>
    </row>
    <row r="1715" spans="1:14" x14ac:dyDescent="0.35">
      <c r="A1715">
        <v>2671</v>
      </c>
      <c r="B1715" s="4" t="s">
        <v>117</v>
      </c>
      <c r="C1715" s="4" t="s">
        <v>1089</v>
      </c>
      <c r="D1715" s="4" t="s">
        <v>35</v>
      </c>
      <c r="E1715">
        <v>0</v>
      </c>
      <c r="F1715" s="3">
        <v>2377.81</v>
      </c>
      <c r="G1715" s="2">
        <v>0.56999999999999995</v>
      </c>
      <c r="H1715" s="3">
        <v>0</v>
      </c>
      <c r="I1715" s="1">
        <v>45561</v>
      </c>
      <c r="J1715" s="4" t="s">
        <v>11</v>
      </c>
      <c r="K1715" s="4" t="s">
        <v>12</v>
      </c>
      <c r="L1715" s="3">
        <v>1967.3</v>
      </c>
      <c r="M1715" s="4" t="s">
        <v>1255</v>
      </c>
      <c r="N1715" s="3">
        <v>0</v>
      </c>
    </row>
    <row r="1716" spans="1:14" x14ac:dyDescent="0.35">
      <c r="A1716">
        <v>2673</v>
      </c>
      <c r="B1716" s="4" t="s">
        <v>125</v>
      </c>
      <c r="C1716" s="4" t="s">
        <v>493</v>
      </c>
      <c r="D1716" s="4" t="s">
        <v>14</v>
      </c>
      <c r="E1716">
        <v>0</v>
      </c>
      <c r="F1716" s="3">
        <v>2740.7221</v>
      </c>
      <c r="G1716" s="2">
        <v>0.639849056603774</v>
      </c>
      <c r="H1716" s="3">
        <v>0</v>
      </c>
      <c r="I1716" s="1">
        <v>45457</v>
      </c>
      <c r="J1716" s="4" t="s">
        <v>18</v>
      </c>
      <c r="K1716" s="4" t="s">
        <v>12</v>
      </c>
      <c r="L1716" s="3">
        <v>2493.87</v>
      </c>
      <c r="M1716" s="4" t="s">
        <v>1255</v>
      </c>
      <c r="N1716" s="3">
        <v>0</v>
      </c>
    </row>
    <row r="1717" spans="1:14" x14ac:dyDescent="0.35">
      <c r="A1717">
        <v>2674</v>
      </c>
      <c r="B1717" s="4" t="s">
        <v>421</v>
      </c>
      <c r="C1717" s="4" t="s">
        <v>1090</v>
      </c>
      <c r="D1717" s="4" t="s">
        <v>26</v>
      </c>
      <c r="E1717">
        <v>0</v>
      </c>
      <c r="F1717" s="3">
        <v>1261.5899999999999</v>
      </c>
      <c r="G1717" s="2">
        <v>0.639849056603774</v>
      </c>
      <c r="H1717" s="3">
        <v>0</v>
      </c>
      <c r="I1717" s="1">
        <v>45542</v>
      </c>
      <c r="J1717" s="4" t="s">
        <v>11</v>
      </c>
      <c r="K1717" s="4" t="s">
        <v>12</v>
      </c>
      <c r="L1717" s="3">
        <v>534.09</v>
      </c>
      <c r="M1717" s="4" t="s">
        <v>1255</v>
      </c>
      <c r="N1717" s="3">
        <v>0</v>
      </c>
    </row>
    <row r="1718" spans="1:14" x14ac:dyDescent="0.35">
      <c r="A1718">
        <v>2675</v>
      </c>
      <c r="B1718" s="4" t="s">
        <v>439</v>
      </c>
      <c r="C1718" s="4" t="s">
        <v>1068</v>
      </c>
      <c r="D1718" s="4" t="s">
        <v>13</v>
      </c>
      <c r="E1718">
        <v>1</v>
      </c>
      <c r="F1718" s="3">
        <v>2740.7221</v>
      </c>
      <c r="G1718" s="2">
        <v>0.83</v>
      </c>
      <c r="H1718" s="3">
        <v>0</v>
      </c>
      <c r="I1718" s="1">
        <v>45504</v>
      </c>
      <c r="J1718" s="4" t="s">
        <v>11</v>
      </c>
      <c r="K1718" s="4" t="s">
        <v>8</v>
      </c>
      <c r="L1718" s="3">
        <v>2164.08</v>
      </c>
      <c r="M1718" s="4" t="s">
        <v>1255</v>
      </c>
      <c r="N1718" s="3">
        <v>2740.7221</v>
      </c>
    </row>
    <row r="1719" spans="1:14" x14ac:dyDescent="0.35">
      <c r="A1719">
        <v>2677</v>
      </c>
      <c r="B1719" s="4" t="s">
        <v>469</v>
      </c>
      <c r="C1719" s="4" t="s">
        <v>1062</v>
      </c>
      <c r="D1719" s="4" t="s">
        <v>38</v>
      </c>
      <c r="E1719">
        <v>5</v>
      </c>
      <c r="F1719" s="3">
        <v>1727.66</v>
      </c>
      <c r="G1719" s="2">
        <v>1.24</v>
      </c>
      <c r="H1719" s="3">
        <v>-2073.19</v>
      </c>
      <c r="I1719" s="1">
        <v>45776</v>
      </c>
      <c r="J1719" s="4" t="s">
        <v>20</v>
      </c>
      <c r="K1719" s="4" t="s">
        <v>12</v>
      </c>
      <c r="L1719" s="3">
        <v>-546.05999999999995</v>
      </c>
      <c r="M1719" s="4" t="s">
        <v>1255</v>
      </c>
      <c r="N1719" s="3">
        <v>8638.2999999999993</v>
      </c>
    </row>
    <row r="1720" spans="1:14" x14ac:dyDescent="0.35">
      <c r="A1720">
        <v>2678</v>
      </c>
      <c r="B1720" s="4" t="s">
        <v>210</v>
      </c>
      <c r="C1720" s="4" t="s">
        <v>492</v>
      </c>
      <c r="D1720" s="4" t="s">
        <v>25</v>
      </c>
      <c r="E1720">
        <v>-2</v>
      </c>
      <c r="F1720" s="3">
        <v>2744.3209000000002</v>
      </c>
      <c r="G1720" s="2">
        <v>0.51</v>
      </c>
      <c r="H1720" s="3">
        <v>0</v>
      </c>
      <c r="I1720" s="1">
        <v>45741</v>
      </c>
      <c r="J1720" s="4" t="s">
        <v>23</v>
      </c>
      <c r="K1720" s="4" t="s">
        <v>8</v>
      </c>
      <c r="L1720" s="3">
        <v>-333.97</v>
      </c>
      <c r="M1720" s="4" t="s">
        <v>1255</v>
      </c>
      <c r="N1720" s="3">
        <v>-5488.6418000000003</v>
      </c>
    </row>
    <row r="1721" spans="1:14" hidden="1" x14ac:dyDescent="0.35">
      <c r="A1721">
        <v>2679</v>
      </c>
      <c r="B1721" s="4" t="s">
        <v>193</v>
      </c>
      <c r="C1721" s="4" t="s">
        <v>133</v>
      </c>
      <c r="D1721" s="4" t="s">
        <v>33</v>
      </c>
      <c r="E1721">
        <v>0</v>
      </c>
      <c r="F1721" s="3">
        <v>2514.6999999999998</v>
      </c>
      <c r="G1721" s="2">
        <v>0.63732824427480905</v>
      </c>
      <c r="H1721" s="3">
        <v>0</v>
      </c>
      <c r="I1721" s="1">
        <v>45564</v>
      </c>
      <c r="J1721" s="4" t="s">
        <v>23</v>
      </c>
      <c r="K1721" s="4" t="s">
        <v>40</v>
      </c>
      <c r="L1721" s="3">
        <v>2652.58</v>
      </c>
      <c r="M1721" s="4" t="s">
        <v>1255</v>
      </c>
      <c r="N1721" s="3">
        <v>0</v>
      </c>
    </row>
    <row r="1722" spans="1:14" hidden="1" x14ac:dyDescent="0.35">
      <c r="A1722">
        <v>2680</v>
      </c>
      <c r="B1722" s="4" t="s">
        <v>398</v>
      </c>
      <c r="C1722" s="4" t="s">
        <v>76</v>
      </c>
      <c r="D1722" s="4" t="s">
        <v>38</v>
      </c>
      <c r="E1722">
        <v>6</v>
      </c>
      <c r="F1722" s="3">
        <v>2746.8006</v>
      </c>
      <c r="G1722" s="2">
        <v>0.63732824427480905</v>
      </c>
      <c r="H1722" s="3">
        <v>0</v>
      </c>
      <c r="I1722" s="1">
        <v>45564</v>
      </c>
      <c r="J1722" s="4" t="s">
        <v>7</v>
      </c>
      <c r="K1722" s="4" t="s">
        <v>40</v>
      </c>
      <c r="L1722" s="3">
        <v>-963.81</v>
      </c>
      <c r="M1722" s="4" t="s">
        <v>1255</v>
      </c>
      <c r="N1722" s="3">
        <v>16480.803599999999</v>
      </c>
    </row>
    <row r="1723" spans="1:14" x14ac:dyDescent="0.35">
      <c r="A1723">
        <v>2681</v>
      </c>
      <c r="B1723" s="4" t="s">
        <v>262</v>
      </c>
      <c r="C1723" s="4" t="s">
        <v>186</v>
      </c>
      <c r="D1723" s="4" t="s">
        <v>30</v>
      </c>
      <c r="E1723">
        <v>-1</v>
      </c>
      <c r="F1723" s="3">
        <v>4770.92</v>
      </c>
      <c r="G1723" s="2">
        <v>0.63732824427480905</v>
      </c>
      <c r="H1723" s="3">
        <v>0</v>
      </c>
      <c r="I1723" s="1">
        <v>45223</v>
      </c>
      <c r="J1723" s="4" t="s">
        <v>20</v>
      </c>
      <c r="K1723" s="4" t="s">
        <v>12</v>
      </c>
      <c r="L1723" s="3">
        <v>433.04</v>
      </c>
      <c r="M1723" s="4" t="s">
        <v>1255</v>
      </c>
      <c r="N1723" s="3">
        <v>-4770.92</v>
      </c>
    </row>
    <row r="1724" spans="1:14" hidden="1" x14ac:dyDescent="0.35">
      <c r="A1724">
        <v>2682</v>
      </c>
      <c r="B1724" s="4" t="s">
        <v>89</v>
      </c>
      <c r="C1724" s="4" t="s">
        <v>553</v>
      </c>
      <c r="D1724" s="4" t="s">
        <v>28</v>
      </c>
      <c r="E1724">
        <v>0</v>
      </c>
      <c r="F1724" s="3">
        <v>4784.55</v>
      </c>
      <c r="G1724" s="2">
        <v>0.63732824427480905</v>
      </c>
      <c r="H1724" s="3">
        <v>0</v>
      </c>
      <c r="I1724" s="1">
        <v>45622</v>
      </c>
      <c r="J1724" s="4" t="s">
        <v>18</v>
      </c>
      <c r="K1724" s="4" t="s">
        <v>40</v>
      </c>
      <c r="L1724" s="3">
        <v>2034.52</v>
      </c>
      <c r="M1724" s="4" t="s">
        <v>1255</v>
      </c>
      <c r="N1724" s="3">
        <v>0</v>
      </c>
    </row>
    <row r="1725" spans="1:14" x14ac:dyDescent="0.35">
      <c r="A1725">
        <v>2683</v>
      </c>
      <c r="B1725" s="4" t="s">
        <v>1091</v>
      </c>
      <c r="C1725" s="4" t="s">
        <v>962</v>
      </c>
      <c r="D1725" s="4" t="s">
        <v>10</v>
      </c>
      <c r="E1725">
        <v>5</v>
      </c>
      <c r="F1725" s="3">
        <v>3163.97</v>
      </c>
      <c r="G1725" s="2">
        <v>0.63732824427480905</v>
      </c>
      <c r="H1725" s="3">
        <v>0</v>
      </c>
      <c r="I1725" s="1">
        <v>45622</v>
      </c>
      <c r="J1725" s="4" t="s">
        <v>7</v>
      </c>
      <c r="K1725" s="4" t="s">
        <v>12</v>
      </c>
      <c r="L1725" s="3">
        <v>1411.27</v>
      </c>
      <c r="M1725" s="4" t="s">
        <v>1255</v>
      </c>
      <c r="N1725" s="3">
        <v>15819.85</v>
      </c>
    </row>
    <row r="1726" spans="1:14" x14ac:dyDescent="0.35">
      <c r="A1726">
        <v>2684</v>
      </c>
      <c r="B1726" s="4" t="s">
        <v>477</v>
      </c>
      <c r="C1726" s="4" t="s">
        <v>224</v>
      </c>
      <c r="D1726" s="4" t="s">
        <v>29</v>
      </c>
      <c r="E1726">
        <v>0</v>
      </c>
      <c r="F1726" s="3">
        <v>794.81</v>
      </c>
      <c r="G1726" s="2">
        <v>1.1200000000000001</v>
      </c>
      <c r="H1726" s="3">
        <v>0</v>
      </c>
      <c r="I1726" s="1">
        <v>45483</v>
      </c>
      <c r="J1726" s="4" t="s">
        <v>18</v>
      </c>
      <c r="K1726" s="4" t="s">
        <v>12</v>
      </c>
      <c r="L1726" s="3">
        <v>-391.38</v>
      </c>
      <c r="M1726" s="4" t="s">
        <v>1255</v>
      </c>
      <c r="N1726" s="3">
        <v>0</v>
      </c>
    </row>
    <row r="1727" spans="1:14" x14ac:dyDescent="0.35">
      <c r="A1727">
        <v>2685</v>
      </c>
      <c r="B1727" s="4" t="s">
        <v>193</v>
      </c>
      <c r="C1727" s="4" t="s">
        <v>692</v>
      </c>
      <c r="D1727" s="4" t="s">
        <v>22</v>
      </c>
      <c r="E1727">
        <v>0</v>
      </c>
      <c r="F1727" s="3">
        <v>1804.59</v>
      </c>
      <c r="G1727" s="2">
        <v>0.63547892720306498</v>
      </c>
      <c r="H1727" s="3">
        <v>0</v>
      </c>
      <c r="I1727" s="1">
        <v>45839</v>
      </c>
      <c r="J1727" s="4" t="s">
        <v>9</v>
      </c>
      <c r="K1727" s="4" t="s">
        <v>12</v>
      </c>
      <c r="L1727" s="3">
        <v>-208.79</v>
      </c>
      <c r="M1727" s="4" t="s">
        <v>1255</v>
      </c>
      <c r="N1727" s="3">
        <v>0</v>
      </c>
    </row>
    <row r="1728" spans="1:14" hidden="1" x14ac:dyDescent="0.35">
      <c r="A1728">
        <v>2686</v>
      </c>
      <c r="B1728" s="4" t="s">
        <v>65</v>
      </c>
      <c r="C1728" s="4" t="s">
        <v>1046</v>
      </c>
      <c r="D1728" s="4" t="s">
        <v>35</v>
      </c>
      <c r="E1728">
        <v>0</v>
      </c>
      <c r="F1728" s="3">
        <v>2741.134</v>
      </c>
      <c r="G1728" s="2">
        <v>0.49</v>
      </c>
      <c r="H1728" s="3">
        <v>0</v>
      </c>
      <c r="I1728" s="1">
        <v>45839</v>
      </c>
      <c r="J1728" s="4" t="s">
        <v>20</v>
      </c>
      <c r="K1728" s="4" t="s">
        <v>40</v>
      </c>
      <c r="L1728" s="3">
        <v>2957.49</v>
      </c>
      <c r="M1728" s="4" t="s">
        <v>1255</v>
      </c>
      <c r="N1728" s="3">
        <v>0</v>
      </c>
    </row>
    <row r="1729" spans="1:14" x14ac:dyDescent="0.35">
      <c r="A1729">
        <v>2687</v>
      </c>
      <c r="B1729" s="4" t="s">
        <v>358</v>
      </c>
      <c r="C1729" s="4" t="s">
        <v>651</v>
      </c>
      <c r="D1729" s="4" t="s">
        <v>22</v>
      </c>
      <c r="E1729">
        <v>0</v>
      </c>
      <c r="F1729" s="3">
        <v>2743.4522000000002</v>
      </c>
      <c r="G1729" s="2">
        <v>0.636038461538461</v>
      </c>
      <c r="H1729" s="3">
        <v>0</v>
      </c>
      <c r="I1729" s="1">
        <v>45521</v>
      </c>
      <c r="J1729" s="4" t="s">
        <v>11</v>
      </c>
      <c r="K1729" s="4" t="s">
        <v>8</v>
      </c>
      <c r="L1729" s="3">
        <v>510.99</v>
      </c>
      <c r="M1729" s="4" t="s">
        <v>1255</v>
      </c>
      <c r="N1729" s="3">
        <v>0</v>
      </c>
    </row>
    <row r="1730" spans="1:14" x14ac:dyDescent="0.35">
      <c r="A1730">
        <v>2688</v>
      </c>
      <c r="B1730" s="4" t="s">
        <v>849</v>
      </c>
      <c r="C1730" s="4" t="s">
        <v>61</v>
      </c>
      <c r="D1730" s="4" t="s">
        <v>15</v>
      </c>
      <c r="E1730">
        <v>0</v>
      </c>
      <c r="F1730" s="3">
        <v>2743.4522000000002</v>
      </c>
      <c r="G1730" s="2">
        <v>0.11</v>
      </c>
      <c r="H1730" s="3">
        <v>0</v>
      </c>
      <c r="I1730" s="1">
        <v>45521</v>
      </c>
      <c r="J1730" s="4" t="s">
        <v>23</v>
      </c>
      <c r="K1730" s="4" t="s">
        <v>8</v>
      </c>
      <c r="L1730" s="3">
        <v>161.9</v>
      </c>
      <c r="M1730" s="4" t="s">
        <v>1255</v>
      </c>
      <c r="N1730" s="3">
        <v>0</v>
      </c>
    </row>
    <row r="1731" spans="1:14" hidden="1" x14ac:dyDescent="0.35">
      <c r="A1731">
        <v>2689</v>
      </c>
      <c r="B1731" s="4" t="s">
        <v>807</v>
      </c>
      <c r="C1731" s="4" t="s">
        <v>122</v>
      </c>
      <c r="D1731" s="4" t="s">
        <v>35</v>
      </c>
      <c r="E1731">
        <v>4</v>
      </c>
      <c r="F1731" s="3">
        <v>4777.51</v>
      </c>
      <c r="G1731" s="2">
        <v>0.63806949806949798</v>
      </c>
      <c r="H1731" s="3">
        <v>0</v>
      </c>
      <c r="I1731" s="1">
        <v>45609</v>
      </c>
      <c r="J1731" s="4" t="s">
        <v>23</v>
      </c>
      <c r="K1731" s="4" t="s">
        <v>40</v>
      </c>
      <c r="L1731" s="3">
        <v>-204.04</v>
      </c>
      <c r="M1731" s="4" t="s">
        <v>1255</v>
      </c>
      <c r="N1731" s="3">
        <v>19110.04</v>
      </c>
    </row>
    <row r="1732" spans="1:14" hidden="1" x14ac:dyDescent="0.35">
      <c r="A1732">
        <v>2690</v>
      </c>
      <c r="B1732" s="4" t="s">
        <v>1092</v>
      </c>
      <c r="C1732" s="4" t="s">
        <v>149</v>
      </c>
      <c r="D1732" s="4" t="s">
        <v>32</v>
      </c>
      <c r="E1732">
        <v>0</v>
      </c>
      <c r="F1732" s="3">
        <v>2862.03</v>
      </c>
      <c r="G1732" s="2">
        <v>0.63806949806949798</v>
      </c>
      <c r="H1732" s="3">
        <v>0</v>
      </c>
      <c r="I1732" s="1">
        <v>45277</v>
      </c>
      <c r="J1732" s="4" t="s">
        <v>11</v>
      </c>
      <c r="K1732" s="4" t="s">
        <v>40</v>
      </c>
      <c r="L1732" s="3">
        <v>115.86</v>
      </c>
      <c r="M1732" s="4" t="s">
        <v>1255</v>
      </c>
      <c r="N1732" s="3">
        <v>0</v>
      </c>
    </row>
    <row r="1733" spans="1:14" hidden="1" x14ac:dyDescent="0.35">
      <c r="A1733">
        <v>2691</v>
      </c>
      <c r="B1733" s="4" t="s">
        <v>217</v>
      </c>
      <c r="C1733" s="4" t="s">
        <v>1093</v>
      </c>
      <c r="D1733" s="4" t="s">
        <v>15</v>
      </c>
      <c r="E1733">
        <v>1</v>
      </c>
      <c r="F1733" s="3">
        <v>2738.4049</v>
      </c>
      <c r="G1733" s="2">
        <v>0.5</v>
      </c>
      <c r="H1733" s="3">
        <v>0</v>
      </c>
      <c r="I1733" s="1">
        <v>45411</v>
      </c>
      <c r="J1733" s="4" t="s">
        <v>18</v>
      </c>
      <c r="K1733" s="4" t="s">
        <v>40</v>
      </c>
      <c r="L1733" s="3">
        <v>-182.86</v>
      </c>
      <c r="M1733" s="4" t="s">
        <v>1255</v>
      </c>
      <c r="N1733" s="3">
        <v>2738.4049</v>
      </c>
    </row>
    <row r="1734" spans="1:14" hidden="1" x14ac:dyDescent="0.35">
      <c r="A1734">
        <v>2692</v>
      </c>
      <c r="B1734" s="4" t="s">
        <v>328</v>
      </c>
      <c r="C1734" s="4" t="s">
        <v>565</v>
      </c>
      <c r="D1734" s="4" t="s">
        <v>31</v>
      </c>
      <c r="E1734">
        <v>0</v>
      </c>
      <c r="F1734" s="3">
        <v>2738.0974000000001</v>
      </c>
      <c r="G1734" s="2">
        <v>0.63860465116278997</v>
      </c>
      <c r="H1734" s="3">
        <v>0</v>
      </c>
      <c r="I1734" s="1">
        <v>45762</v>
      </c>
      <c r="J1734" s="4" t="s">
        <v>11</v>
      </c>
      <c r="K1734" s="4" t="s">
        <v>40</v>
      </c>
      <c r="L1734" s="3">
        <v>-364.29</v>
      </c>
      <c r="M1734" s="4" t="s">
        <v>1255</v>
      </c>
      <c r="N1734" s="3">
        <v>0</v>
      </c>
    </row>
    <row r="1735" spans="1:14" hidden="1" x14ac:dyDescent="0.35">
      <c r="A1735">
        <v>2693</v>
      </c>
      <c r="B1735" s="4" t="s">
        <v>85</v>
      </c>
      <c r="C1735" s="4" t="s">
        <v>682</v>
      </c>
      <c r="D1735" s="4" t="s">
        <v>16</v>
      </c>
      <c r="E1735">
        <v>4</v>
      </c>
      <c r="F1735" s="3">
        <v>4366.3999999999996</v>
      </c>
      <c r="G1735" s="2">
        <v>0.63860465116278997</v>
      </c>
      <c r="H1735" s="3">
        <v>0</v>
      </c>
      <c r="I1735" s="1">
        <v>45762</v>
      </c>
      <c r="J1735" s="4" t="s">
        <v>23</v>
      </c>
      <c r="K1735" s="4" t="s">
        <v>40</v>
      </c>
      <c r="L1735" s="3">
        <v>-542.72</v>
      </c>
      <c r="M1735" s="4" t="s">
        <v>1255</v>
      </c>
      <c r="N1735" s="3">
        <v>17465.599999999999</v>
      </c>
    </row>
    <row r="1736" spans="1:14" hidden="1" x14ac:dyDescent="0.35">
      <c r="A1736">
        <v>2694</v>
      </c>
      <c r="B1736" s="4" t="s">
        <v>313</v>
      </c>
      <c r="C1736" s="4" t="s">
        <v>61</v>
      </c>
      <c r="D1736" s="4" t="s">
        <v>38</v>
      </c>
      <c r="E1736">
        <v>0</v>
      </c>
      <c r="F1736" s="3">
        <v>1617.83</v>
      </c>
      <c r="G1736" s="2">
        <v>1.18</v>
      </c>
      <c r="H1736" s="3">
        <v>0</v>
      </c>
      <c r="I1736" s="1">
        <v>45834</v>
      </c>
      <c r="J1736" s="4" t="s">
        <v>7</v>
      </c>
      <c r="K1736" s="4" t="s">
        <v>40</v>
      </c>
      <c r="L1736" s="3">
        <v>1532.93</v>
      </c>
      <c r="M1736" s="4" t="s">
        <v>1255</v>
      </c>
      <c r="N1736" s="3">
        <v>0</v>
      </c>
    </row>
    <row r="1737" spans="1:14" x14ac:dyDescent="0.35">
      <c r="A1737">
        <v>2695</v>
      </c>
      <c r="B1737" s="4" t="s">
        <v>319</v>
      </c>
      <c r="C1737" s="4" t="s">
        <v>507</v>
      </c>
      <c r="D1737" s="4" t="s">
        <v>16</v>
      </c>
      <c r="E1737">
        <v>0</v>
      </c>
      <c r="F1737" s="3">
        <v>4834.87</v>
      </c>
      <c r="G1737" s="2">
        <v>0.63649805447470797</v>
      </c>
      <c r="H1737" s="3">
        <v>0</v>
      </c>
      <c r="I1737" s="1">
        <v>45834</v>
      </c>
      <c r="J1737" s="4" t="s">
        <v>18</v>
      </c>
      <c r="K1737" s="4" t="s">
        <v>12</v>
      </c>
      <c r="L1737" s="3">
        <v>1655.07</v>
      </c>
      <c r="M1737" s="4" t="s">
        <v>1255</v>
      </c>
      <c r="N1737" s="3">
        <v>0</v>
      </c>
    </row>
    <row r="1738" spans="1:14" x14ac:dyDescent="0.35">
      <c r="A1738">
        <v>2696</v>
      </c>
      <c r="B1738" s="4" t="s">
        <v>1094</v>
      </c>
      <c r="C1738" s="4" t="s">
        <v>329</v>
      </c>
      <c r="D1738" s="4" t="s">
        <v>10</v>
      </c>
      <c r="E1738">
        <v>0</v>
      </c>
      <c r="F1738" s="3">
        <v>2579.8000000000002</v>
      </c>
      <c r="G1738" s="2">
        <v>1.26</v>
      </c>
      <c r="H1738" s="3">
        <v>0</v>
      </c>
      <c r="I1738" s="1">
        <v>45797</v>
      </c>
      <c r="J1738" s="4" t="s">
        <v>9</v>
      </c>
      <c r="K1738" s="4" t="s">
        <v>12</v>
      </c>
      <c r="L1738" s="3">
        <v>-804.09</v>
      </c>
      <c r="M1738" s="4" t="s">
        <v>1255</v>
      </c>
      <c r="N1738" s="3">
        <v>0</v>
      </c>
    </row>
    <row r="1739" spans="1:14" x14ac:dyDescent="0.35">
      <c r="A1739">
        <v>2697</v>
      </c>
      <c r="B1739" s="4" t="s">
        <v>1095</v>
      </c>
      <c r="C1739" s="4" t="s">
        <v>283</v>
      </c>
      <c r="D1739" s="4" t="s">
        <v>25</v>
      </c>
      <c r="E1739">
        <v>0</v>
      </c>
      <c r="F1739" s="3">
        <v>3300.82</v>
      </c>
      <c r="G1739" s="2">
        <v>0.63406249999999997</v>
      </c>
      <c r="H1739" s="3">
        <v>0</v>
      </c>
      <c r="I1739" s="1">
        <v>45796</v>
      </c>
      <c r="J1739" s="4" t="s">
        <v>9</v>
      </c>
      <c r="K1739" s="4" t="s">
        <v>12</v>
      </c>
      <c r="L1739" s="3">
        <v>394.83</v>
      </c>
      <c r="M1739" s="4" t="s">
        <v>1255</v>
      </c>
      <c r="N1739" s="3">
        <v>0</v>
      </c>
    </row>
    <row r="1740" spans="1:14" x14ac:dyDescent="0.35">
      <c r="A1740">
        <v>2698</v>
      </c>
      <c r="B1740" s="4" t="s">
        <v>522</v>
      </c>
      <c r="C1740" s="4" t="s">
        <v>822</v>
      </c>
      <c r="D1740" s="4" t="s">
        <v>27</v>
      </c>
      <c r="E1740">
        <v>0</v>
      </c>
      <c r="F1740" s="3">
        <v>1810.81</v>
      </c>
      <c r="G1740" s="2">
        <v>0.5</v>
      </c>
      <c r="H1740" s="3">
        <v>0</v>
      </c>
      <c r="I1740" s="1">
        <v>45796</v>
      </c>
      <c r="J1740" s="4" t="s">
        <v>20</v>
      </c>
      <c r="K1740" s="4" t="s">
        <v>8</v>
      </c>
      <c r="L1740" s="3">
        <v>1605.28</v>
      </c>
      <c r="M1740" s="4" t="s">
        <v>1255</v>
      </c>
      <c r="N1740" s="3">
        <v>0</v>
      </c>
    </row>
    <row r="1741" spans="1:14" x14ac:dyDescent="0.35">
      <c r="A1741">
        <v>2699</v>
      </c>
      <c r="B1741" s="4" t="s">
        <v>185</v>
      </c>
      <c r="C1741" s="4" t="s">
        <v>1096</v>
      </c>
      <c r="D1741" s="4" t="s">
        <v>21</v>
      </c>
      <c r="E1741">
        <v>6</v>
      </c>
      <c r="F1741" s="3">
        <v>2730.5174999999999</v>
      </c>
      <c r="G1741" s="2">
        <v>0.63458823529411801</v>
      </c>
      <c r="H1741" s="3">
        <v>0</v>
      </c>
      <c r="I1741" s="1">
        <v>45802</v>
      </c>
      <c r="J1741" s="4" t="s">
        <v>7</v>
      </c>
      <c r="K1741" s="4" t="s">
        <v>8</v>
      </c>
      <c r="L1741" s="3">
        <v>1068.6600000000001</v>
      </c>
      <c r="M1741" s="4" t="s">
        <v>1255</v>
      </c>
      <c r="N1741" s="3">
        <v>16383.105</v>
      </c>
    </row>
    <row r="1742" spans="1:14" hidden="1" x14ac:dyDescent="0.35">
      <c r="A1742">
        <v>2700</v>
      </c>
      <c r="B1742" s="4" t="s">
        <v>419</v>
      </c>
      <c r="C1742" s="4" t="s">
        <v>1097</v>
      </c>
      <c r="D1742" s="4" t="s">
        <v>29</v>
      </c>
      <c r="E1742">
        <v>0</v>
      </c>
      <c r="F1742" s="3">
        <v>2732.84</v>
      </c>
      <c r="G1742" s="2">
        <v>0.63458823529411801</v>
      </c>
      <c r="H1742" s="3">
        <v>0</v>
      </c>
      <c r="I1742" s="1">
        <v>45802</v>
      </c>
      <c r="J1742" s="4" t="s">
        <v>11</v>
      </c>
      <c r="K1742" s="4" t="s">
        <v>40</v>
      </c>
      <c r="L1742" s="3">
        <v>588.04</v>
      </c>
      <c r="M1742" s="4" t="s">
        <v>1255</v>
      </c>
      <c r="N1742" s="3">
        <v>0</v>
      </c>
    </row>
    <row r="1743" spans="1:14" x14ac:dyDescent="0.35">
      <c r="A1743">
        <v>2701</v>
      </c>
      <c r="B1743" s="4" t="s">
        <v>419</v>
      </c>
      <c r="C1743" s="4" t="s">
        <v>163</v>
      </c>
      <c r="D1743" s="4" t="s">
        <v>33</v>
      </c>
      <c r="E1743">
        <v>-1</v>
      </c>
      <c r="F1743" s="3">
        <v>2085.92</v>
      </c>
      <c r="G1743" s="2">
        <v>0.63458823529411801</v>
      </c>
      <c r="H1743" s="3">
        <v>0</v>
      </c>
      <c r="I1743" s="1">
        <v>45669</v>
      </c>
      <c r="J1743" s="4" t="s">
        <v>18</v>
      </c>
      <c r="K1743" s="4" t="s">
        <v>8</v>
      </c>
      <c r="L1743" s="3">
        <v>1301.3699999999999</v>
      </c>
      <c r="M1743" s="4" t="s">
        <v>1255</v>
      </c>
      <c r="N1743" s="3">
        <v>-2085.92</v>
      </c>
    </row>
    <row r="1744" spans="1:14" hidden="1" x14ac:dyDescent="0.35">
      <c r="A1744">
        <v>2702</v>
      </c>
      <c r="B1744" s="4" t="s">
        <v>646</v>
      </c>
      <c r="C1744" s="4" t="s">
        <v>302</v>
      </c>
      <c r="D1744" s="4" t="s">
        <v>28</v>
      </c>
      <c r="E1744">
        <v>-2</v>
      </c>
      <c r="F1744" s="3">
        <v>2732.84</v>
      </c>
      <c r="G1744" s="2">
        <v>0.63458823529411801</v>
      </c>
      <c r="H1744" s="3">
        <v>0</v>
      </c>
      <c r="I1744" s="1">
        <v>45537</v>
      </c>
      <c r="J1744" s="4" t="s">
        <v>23</v>
      </c>
      <c r="K1744" s="4" t="s">
        <v>40</v>
      </c>
      <c r="L1744" s="3">
        <v>606.51</v>
      </c>
      <c r="M1744" s="4" t="s">
        <v>1255</v>
      </c>
      <c r="N1744" s="3">
        <v>-5465.68</v>
      </c>
    </row>
    <row r="1745" spans="1:14" x14ac:dyDescent="0.35">
      <c r="A1745">
        <v>2703</v>
      </c>
      <c r="B1745" s="4" t="s">
        <v>600</v>
      </c>
      <c r="C1745" s="4" t="s">
        <v>624</v>
      </c>
      <c r="D1745" s="4" t="s">
        <v>14</v>
      </c>
      <c r="E1745">
        <v>-2</v>
      </c>
      <c r="F1745" s="3">
        <v>2734.4776999999999</v>
      </c>
      <c r="G1745" s="2">
        <v>0.63458823529411801</v>
      </c>
      <c r="H1745" s="3">
        <v>0</v>
      </c>
      <c r="I1745" s="1">
        <v>45784</v>
      </c>
      <c r="J1745" s="4" t="s">
        <v>23</v>
      </c>
      <c r="K1745" s="4" t="s">
        <v>8</v>
      </c>
      <c r="L1745" s="3">
        <v>2193.86</v>
      </c>
      <c r="M1745" s="4" t="s">
        <v>1255</v>
      </c>
      <c r="N1745" s="3">
        <v>-5468.9553999999998</v>
      </c>
    </row>
    <row r="1746" spans="1:14" x14ac:dyDescent="0.35">
      <c r="A1746">
        <v>2704</v>
      </c>
      <c r="B1746" s="4" t="s">
        <v>1060</v>
      </c>
      <c r="C1746" s="4" t="s">
        <v>61</v>
      </c>
      <c r="D1746" s="4" t="s">
        <v>27</v>
      </c>
      <c r="E1746">
        <v>1</v>
      </c>
      <c r="F1746" s="3">
        <v>2734.4776999999999</v>
      </c>
      <c r="G1746" s="2">
        <v>0.63458823529411801</v>
      </c>
      <c r="H1746" s="3">
        <v>0</v>
      </c>
      <c r="I1746" s="1">
        <v>45506</v>
      </c>
      <c r="J1746" s="4" t="s">
        <v>11</v>
      </c>
      <c r="K1746" s="4" t="s">
        <v>8</v>
      </c>
      <c r="L1746" s="3">
        <v>7.12</v>
      </c>
      <c r="M1746" s="4" t="s">
        <v>1255</v>
      </c>
      <c r="N1746" s="3">
        <v>2734.4776999999999</v>
      </c>
    </row>
    <row r="1747" spans="1:14" x14ac:dyDescent="0.35">
      <c r="A1747">
        <v>2705</v>
      </c>
      <c r="B1747" s="4" t="s">
        <v>573</v>
      </c>
      <c r="C1747" s="4" t="s">
        <v>78</v>
      </c>
      <c r="D1747" s="4" t="s">
        <v>17</v>
      </c>
      <c r="E1747">
        <v>0</v>
      </c>
      <c r="F1747" s="3">
        <v>4870.82</v>
      </c>
      <c r="G1747" s="2">
        <v>0.63458823529411801</v>
      </c>
      <c r="H1747" s="3">
        <v>0</v>
      </c>
      <c r="I1747" s="1">
        <v>45846</v>
      </c>
      <c r="J1747" s="4" t="s">
        <v>7</v>
      </c>
      <c r="K1747" s="4" t="s">
        <v>12</v>
      </c>
      <c r="L1747" s="3">
        <v>2833.18</v>
      </c>
      <c r="M1747" s="4" t="s">
        <v>1255</v>
      </c>
      <c r="N1747" s="3">
        <v>0</v>
      </c>
    </row>
    <row r="1748" spans="1:14" hidden="1" x14ac:dyDescent="0.35">
      <c r="A1748">
        <v>2706</v>
      </c>
      <c r="B1748" s="4" t="s">
        <v>162</v>
      </c>
      <c r="C1748" s="4" t="s">
        <v>635</v>
      </c>
      <c r="D1748" s="4" t="s">
        <v>26</v>
      </c>
      <c r="E1748">
        <v>6</v>
      </c>
      <c r="F1748" s="3">
        <v>2734.4776999999999</v>
      </c>
      <c r="G1748" s="2">
        <v>0.63458823529411801</v>
      </c>
      <c r="H1748" s="3">
        <v>0</v>
      </c>
      <c r="I1748" s="1">
        <v>45595</v>
      </c>
      <c r="J1748" s="4" t="s">
        <v>20</v>
      </c>
      <c r="K1748" s="4" t="s">
        <v>40</v>
      </c>
      <c r="L1748" s="3">
        <v>2379.5</v>
      </c>
      <c r="M1748" s="4" t="s">
        <v>1255</v>
      </c>
      <c r="N1748" s="3">
        <v>16406.8662</v>
      </c>
    </row>
    <row r="1749" spans="1:14" x14ac:dyDescent="0.35">
      <c r="A1749">
        <v>2707</v>
      </c>
      <c r="B1749" s="4" t="s">
        <v>1098</v>
      </c>
      <c r="C1749" s="4" t="s">
        <v>1099</v>
      </c>
      <c r="D1749" s="4" t="s">
        <v>10</v>
      </c>
      <c r="E1749">
        <v>5</v>
      </c>
      <c r="F1749" s="3">
        <v>2729.0556000000001</v>
      </c>
      <c r="G1749" s="2">
        <v>0.63458823529411801</v>
      </c>
      <c r="H1749" s="3">
        <v>0</v>
      </c>
      <c r="I1749" s="1">
        <v>45542</v>
      </c>
      <c r="J1749" s="4" t="s">
        <v>11</v>
      </c>
      <c r="K1749" s="4" t="s">
        <v>12</v>
      </c>
      <c r="L1749" s="3">
        <v>2763.02</v>
      </c>
      <c r="M1749" s="4" t="s">
        <v>1255</v>
      </c>
      <c r="N1749" s="3">
        <v>13645.278</v>
      </c>
    </row>
    <row r="1750" spans="1:14" x14ac:dyDescent="0.35">
      <c r="A1750">
        <v>2708</v>
      </c>
      <c r="B1750" s="4" t="s">
        <v>200</v>
      </c>
      <c r="C1750" s="4" t="s">
        <v>954</v>
      </c>
      <c r="D1750" s="4" t="s">
        <v>14</v>
      </c>
      <c r="E1750">
        <v>4</v>
      </c>
      <c r="F1750" s="3">
        <v>4882.6899999999996</v>
      </c>
      <c r="G1750" s="2">
        <v>0.63458823529411801</v>
      </c>
      <c r="H1750" s="3">
        <v>0</v>
      </c>
      <c r="I1750" s="1">
        <v>45656</v>
      </c>
      <c r="J1750" s="4" t="s">
        <v>11</v>
      </c>
      <c r="K1750" s="4" t="s">
        <v>12</v>
      </c>
      <c r="L1750" s="3">
        <v>2658.6</v>
      </c>
      <c r="M1750" s="4" t="s">
        <v>1255</v>
      </c>
      <c r="N1750" s="3">
        <v>19530.759999999998</v>
      </c>
    </row>
    <row r="1751" spans="1:14" hidden="1" x14ac:dyDescent="0.35">
      <c r="A1751">
        <v>2709</v>
      </c>
      <c r="B1751" s="4" t="s">
        <v>125</v>
      </c>
      <c r="C1751" s="4" t="s">
        <v>142</v>
      </c>
      <c r="D1751" s="4" t="s">
        <v>27</v>
      </c>
      <c r="E1751">
        <v>0</v>
      </c>
      <c r="F1751" s="3">
        <v>2729.0556000000001</v>
      </c>
      <c r="G1751" s="2">
        <v>0.3</v>
      </c>
      <c r="H1751" s="3">
        <v>0</v>
      </c>
      <c r="I1751" s="1">
        <v>45696</v>
      </c>
      <c r="J1751" s="4" t="s">
        <v>23</v>
      </c>
      <c r="K1751" s="4" t="s">
        <v>40</v>
      </c>
      <c r="L1751" s="3">
        <v>-473.04</v>
      </c>
      <c r="M1751" s="4" t="s">
        <v>1255</v>
      </c>
      <c r="N1751" s="3">
        <v>0</v>
      </c>
    </row>
    <row r="1752" spans="1:14" hidden="1" x14ac:dyDescent="0.35">
      <c r="A1752">
        <v>2710</v>
      </c>
      <c r="B1752" s="4" t="s">
        <v>566</v>
      </c>
      <c r="C1752" s="4" t="s">
        <v>871</v>
      </c>
      <c r="D1752" s="4" t="s">
        <v>31</v>
      </c>
      <c r="E1752">
        <v>0</v>
      </c>
      <c r="F1752" s="3">
        <v>2565.5500000000002</v>
      </c>
      <c r="G1752" s="2">
        <v>0.63590551181102295</v>
      </c>
      <c r="H1752" s="3">
        <v>0</v>
      </c>
      <c r="I1752" s="1">
        <v>45547</v>
      </c>
      <c r="J1752" s="4" t="s">
        <v>18</v>
      </c>
      <c r="K1752" s="4" t="s">
        <v>40</v>
      </c>
      <c r="L1752" s="3">
        <v>62.05</v>
      </c>
      <c r="M1752" s="4" t="s">
        <v>1255</v>
      </c>
      <c r="N1752" s="3">
        <v>0</v>
      </c>
    </row>
    <row r="1753" spans="1:14" x14ac:dyDescent="0.35">
      <c r="A1753">
        <v>2711</v>
      </c>
      <c r="B1753" s="4" t="s">
        <v>228</v>
      </c>
      <c r="C1753" s="4" t="s">
        <v>1100</v>
      </c>
      <c r="D1753" s="4" t="s">
        <v>31</v>
      </c>
      <c r="E1753">
        <v>0</v>
      </c>
      <c r="F1753" s="3">
        <v>2723.5756000000001</v>
      </c>
      <c r="G1753" s="2">
        <v>0.63590551181102295</v>
      </c>
      <c r="H1753" s="3">
        <v>0</v>
      </c>
      <c r="I1753" s="1">
        <v>45321</v>
      </c>
      <c r="J1753" s="4" t="s">
        <v>20</v>
      </c>
      <c r="K1753" s="4" t="s">
        <v>12</v>
      </c>
      <c r="L1753" s="3">
        <v>-25.26</v>
      </c>
      <c r="M1753" s="4" t="s">
        <v>1255</v>
      </c>
      <c r="N1753" s="3">
        <v>0</v>
      </c>
    </row>
    <row r="1754" spans="1:14" x14ac:dyDescent="0.35">
      <c r="A1754">
        <v>2712</v>
      </c>
      <c r="B1754" s="4" t="s">
        <v>121</v>
      </c>
      <c r="C1754" s="4" t="s">
        <v>550</v>
      </c>
      <c r="D1754" s="4" t="s">
        <v>34</v>
      </c>
      <c r="E1754">
        <v>0</v>
      </c>
      <c r="F1754" s="3">
        <v>2723.9787000000001</v>
      </c>
      <c r="G1754" s="2">
        <v>0.63590551181102295</v>
      </c>
      <c r="H1754" s="3">
        <v>0</v>
      </c>
      <c r="I1754" s="1">
        <v>45641</v>
      </c>
      <c r="J1754" s="4" t="s">
        <v>18</v>
      </c>
      <c r="K1754" s="4" t="s">
        <v>12</v>
      </c>
      <c r="L1754" s="3">
        <v>-973.58</v>
      </c>
      <c r="M1754" s="4" t="s">
        <v>1255</v>
      </c>
      <c r="N1754" s="3">
        <v>0</v>
      </c>
    </row>
    <row r="1755" spans="1:14" x14ac:dyDescent="0.35">
      <c r="A1755">
        <v>2713</v>
      </c>
      <c r="B1755" s="4" t="s">
        <v>110</v>
      </c>
      <c r="C1755" s="4" t="s">
        <v>444</v>
      </c>
      <c r="D1755" s="4" t="s">
        <v>22</v>
      </c>
      <c r="E1755">
        <v>0</v>
      </c>
      <c r="F1755" s="3">
        <v>1559.67</v>
      </c>
      <c r="G1755" s="2">
        <v>0.63590551181102295</v>
      </c>
      <c r="H1755" s="3">
        <v>0</v>
      </c>
      <c r="I1755" s="1">
        <v>45707</v>
      </c>
      <c r="J1755" s="4" t="s">
        <v>20</v>
      </c>
      <c r="K1755" s="4" t="s">
        <v>8</v>
      </c>
      <c r="L1755" s="3">
        <v>2605.5500000000002</v>
      </c>
      <c r="M1755" s="4" t="s">
        <v>1255</v>
      </c>
      <c r="N1755" s="3">
        <v>0</v>
      </c>
    </row>
    <row r="1756" spans="1:14" x14ac:dyDescent="0.35">
      <c r="A1756">
        <v>2714</v>
      </c>
      <c r="B1756" s="4" t="s">
        <v>1101</v>
      </c>
      <c r="C1756" s="4" t="s">
        <v>731</v>
      </c>
      <c r="D1756" s="4" t="s">
        <v>29</v>
      </c>
      <c r="E1756">
        <v>-2</v>
      </c>
      <c r="F1756" s="3">
        <v>1171.79</v>
      </c>
      <c r="G1756" s="2">
        <v>0.63590551181102295</v>
      </c>
      <c r="H1756" s="3">
        <v>0</v>
      </c>
      <c r="I1756" s="1">
        <v>45707</v>
      </c>
      <c r="J1756" s="4" t="s">
        <v>7</v>
      </c>
      <c r="K1756" s="4" t="s">
        <v>12</v>
      </c>
      <c r="L1756" s="3">
        <v>-392.96</v>
      </c>
      <c r="M1756" s="4" t="s">
        <v>1255</v>
      </c>
      <c r="N1756" s="3">
        <v>-2343.58</v>
      </c>
    </row>
    <row r="1757" spans="1:14" x14ac:dyDescent="0.35">
      <c r="A1757">
        <v>2715</v>
      </c>
      <c r="B1757" s="4" t="s">
        <v>292</v>
      </c>
      <c r="C1757" s="4" t="s">
        <v>399</v>
      </c>
      <c r="D1757" s="4" t="s">
        <v>38</v>
      </c>
      <c r="E1757">
        <v>4</v>
      </c>
      <c r="F1757" s="3">
        <v>2726.9564999999998</v>
      </c>
      <c r="G1757" s="2">
        <v>0.63590551181102295</v>
      </c>
      <c r="H1757" s="3">
        <v>0</v>
      </c>
      <c r="I1757" s="1">
        <v>45134</v>
      </c>
      <c r="J1757" s="4" t="s">
        <v>9</v>
      </c>
      <c r="K1757" s="4" t="s">
        <v>8</v>
      </c>
      <c r="L1757" s="3">
        <v>-144.72</v>
      </c>
      <c r="M1757" s="4" t="s">
        <v>1255</v>
      </c>
      <c r="N1757" s="3">
        <v>10907.825999999999</v>
      </c>
    </row>
    <row r="1758" spans="1:14" x14ac:dyDescent="0.35">
      <c r="A1758">
        <v>2716</v>
      </c>
      <c r="B1758" s="4" t="s">
        <v>244</v>
      </c>
      <c r="C1758" s="4" t="s">
        <v>686</v>
      </c>
      <c r="D1758" s="4" t="s">
        <v>13</v>
      </c>
      <c r="E1758">
        <v>1</v>
      </c>
      <c r="F1758" s="3">
        <v>2730.9441000000002</v>
      </c>
      <c r="G1758" s="2">
        <v>0.49</v>
      </c>
      <c r="H1758" s="3">
        <v>0</v>
      </c>
      <c r="I1758" s="1">
        <v>45134</v>
      </c>
      <c r="J1758" s="4" t="s">
        <v>20</v>
      </c>
      <c r="K1758" s="4" t="s">
        <v>12</v>
      </c>
      <c r="L1758" s="3">
        <v>2134.2800000000002</v>
      </c>
      <c r="M1758" s="4" t="s">
        <v>1255</v>
      </c>
      <c r="N1758" s="3">
        <v>2730.9441000000002</v>
      </c>
    </row>
    <row r="1759" spans="1:14" x14ac:dyDescent="0.35">
      <c r="A1759">
        <v>2717</v>
      </c>
      <c r="B1759" s="4" t="s">
        <v>867</v>
      </c>
      <c r="C1759" s="4" t="s">
        <v>149</v>
      </c>
      <c r="D1759" s="4" t="s">
        <v>16</v>
      </c>
      <c r="E1759">
        <v>2</v>
      </c>
      <c r="F1759" s="3">
        <v>2730.9441000000002</v>
      </c>
      <c r="G1759" s="2">
        <v>0.63648221343873501</v>
      </c>
      <c r="H1759" s="3">
        <v>0</v>
      </c>
      <c r="I1759" s="1">
        <v>45660</v>
      </c>
      <c r="J1759" s="4" t="s">
        <v>20</v>
      </c>
      <c r="K1759" s="4" t="s">
        <v>8</v>
      </c>
      <c r="L1759" s="3">
        <v>2786.83</v>
      </c>
      <c r="M1759" s="4" t="s">
        <v>1255</v>
      </c>
      <c r="N1759" s="3">
        <v>5461.8882000000003</v>
      </c>
    </row>
    <row r="1760" spans="1:14" hidden="1" x14ac:dyDescent="0.35">
      <c r="A1760">
        <v>2718</v>
      </c>
      <c r="B1760" s="4" t="s">
        <v>776</v>
      </c>
      <c r="C1760" s="4" t="s">
        <v>106</v>
      </c>
      <c r="D1760" s="4" t="s">
        <v>6</v>
      </c>
      <c r="E1760">
        <v>3</v>
      </c>
      <c r="F1760" s="3">
        <v>909.31</v>
      </c>
      <c r="G1760" s="2">
        <v>0.63648221343873501</v>
      </c>
      <c r="H1760" s="3">
        <v>0</v>
      </c>
      <c r="I1760" s="1">
        <v>45752</v>
      </c>
      <c r="J1760" s="4" t="s">
        <v>20</v>
      </c>
      <c r="K1760" s="4" t="s">
        <v>40</v>
      </c>
      <c r="L1760" s="3">
        <v>1389.16</v>
      </c>
      <c r="M1760" s="4" t="s">
        <v>1255</v>
      </c>
      <c r="N1760" s="3">
        <v>2727.93</v>
      </c>
    </row>
    <row r="1761" spans="1:14" x14ac:dyDescent="0.35">
      <c r="A1761">
        <v>2719</v>
      </c>
      <c r="B1761" s="4" t="s">
        <v>110</v>
      </c>
      <c r="C1761" s="4" t="s">
        <v>78</v>
      </c>
      <c r="D1761" s="4" t="s">
        <v>17</v>
      </c>
      <c r="E1761">
        <v>0</v>
      </c>
      <c r="F1761" s="3">
        <v>1602.49</v>
      </c>
      <c r="G1761" s="2">
        <v>0.63648221343873501</v>
      </c>
      <c r="H1761" s="3">
        <v>0</v>
      </c>
      <c r="I1761" s="1">
        <v>45741</v>
      </c>
      <c r="J1761" s="4" t="s">
        <v>18</v>
      </c>
      <c r="K1761" s="4" t="s">
        <v>12</v>
      </c>
      <c r="L1761" s="3">
        <v>-886.11</v>
      </c>
      <c r="M1761" s="4" t="s">
        <v>1255</v>
      </c>
      <c r="N1761" s="3">
        <v>0</v>
      </c>
    </row>
    <row r="1762" spans="1:14" hidden="1" x14ac:dyDescent="0.35">
      <c r="A1762">
        <v>2720</v>
      </c>
      <c r="B1762" s="4" t="s">
        <v>373</v>
      </c>
      <c r="C1762" s="4" t="s">
        <v>303</v>
      </c>
      <c r="D1762" s="4" t="s">
        <v>25</v>
      </c>
      <c r="E1762">
        <v>0</v>
      </c>
      <c r="F1762" s="3">
        <v>3476.53</v>
      </c>
      <c r="G1762" s="2">
        <v>0.63648221343873501</v>
      </c>
      <c r="H1762" s="3">
        <v>0</v>
      </c>
      <c r="I1762" s="1">
        <v>45729</v>
      </c>
      <c r="J1762" s="4" t="s">
        <v>20</v>
      </c>
      <c r="K1762" s="4" t="s">
        <v>40</v>
      </c>
      <c r="L1762" s="3">
        <v>-522.33000000000004</v>
      </c>
      <c r="M1762" s="4" t="s">
        <v>1255</v>
      </c>
      <c r="N1762" s="3">
        <v>0</v>
      </c>
    </row>
    <row r="1763" spans="1:14" hidden="1" x14ac:dyDescent="0.35">
      <c r="A1763">
        <v>2721</v>
      </c>
      <c r="B1763" s="4" t="s">
        <v>54</v>
      </c>
      <c r="C1763" s="4" t="s">
        <v>680</v>
      </c>
      <c r="D1763" s="4" t="s">
        <v>21</v>
      </c>
      <c r="E1763">
        <v>0</v>
      </c>
      <c r="F1763" s="3">
        <v>1109.5999999999999</v>
      </c>
      <c r="G1763" s="2">
        <v>0.04</v>
      </c>
      <c r="H1763" s="3">
        <v>0</v>
      </c>
      <c r="I1763" s="1">
        <v>45729</v>
      </c>
      <c r="J1763" s="4" t="s">
        <v>23</v>
      </c>
      <c r="K1763" s="4" t="s">
        <v>40</v>
      </c>
      <c r="L1763" s="3">
        <v>885.21</v>
      </c>
      <c r="M1763" s="4" t="s">
        <v>1255</v>
      </c>
      <c r="N1763" s="3">
        <v>0</v>
      </c>
    </row>
    <row r="1764" spans="1:14" x14ac:dyDescent="0.35">
      <c r="A1764">
        <v>2722</v>
      </c>
      <c r="B1764" s="4" t="s">
        <v>471</v>
      </c>
      <c r="C1764" s="4" t="s">
        <v>1102</v>
      </c>
      <c r="D1764" s="4" t="s">
        <v>32</v>
      </c>
      <c r="E1764">
        <v>0</v>
      </c>
      <c r="F1764" s="3">
        <v>2736.6405</v>
      </c>
      <c r="G1764" s="2">
        <v>0.63884920634920594</v>
      </c>
      <c r="H1764" s="3">
        <v>0</v>
      </c>
      <c r="I1764" s="1">
        <v>45729</v>
      </c>
      <c r="J1764" s="4" t="s">
        <v>18</v>
      </c>
      <c r="K1764" s="4" t="s">
        <v>8</v>
      </c>
      <c r="L1764" s="3">
        <v>-367.6</v>
      </c>
      <c r="M1764" s="4" t="s">
        <v>1255</v>
      </c>
      <c r="N1764" s="3">
        <v>0</v>
      </c>
    </row>
    <row r="1765" spans="1:14" hidden="1" x14ac:dyDescent="0.35">
      <c r="A1765">
        <v>2723</v>
      </c>
      <c r="B1765" s="4" t="s">
        <v>282</v>
      </c>
      <c r="C1765" s="4" t="s">
        <v>301</v>
      </c>
      <c r="D1765" s="4" t="s">
        <v>26</v>
      </c>
      <c r="E1765">
        <v>0</v>
      </c>
      <c r="F1765" s="3">
        <v>2740.8555999999999</v>
      </c>
      <c r="G1765" s="2">
        <v>0.63884920634920594</v>
      </c>
      <c r="H1765" s="3">
        <v>0</v>
      </c>
      <c r="I1765" s="1">
        <v>45709</v>
      </c>
      <c r="J1765" s="4" t="s">
        <v>20</v>
      </c>
      <c r="K1765" s="4" t="s">
        <v>40</v>
      </c>
      <c r="L1765" s="3">
        <v>253.64</v>
      </c>
      <c r="M1765" s="4" t="s">
        <v>1255</v>
      </c>
      <c r="N1765" s="3">
        <v>0</v>
      </c>
    </row>
    <row r="1766" spans="1:14" x14ac:dyDescent="0.35">
      <c r="A1766">
        <v>2724</v>
      </c>
      <c r="B1766" s="4" t="s">
        <v>472</v>
      </c>
      <c r="C1766" s="4" t="s">
        <v>74</v>
      </c>
      <c r="D1766" s="4" t="s">
        <v>6</v>
      </c>
      <c r="E1766">
        <v>0</v>
      </c>
      <c r="F1766" s="3">
        <v>716.3</v>
      </c>
      <c r="G1766" s="2">
        <v>0.63884920634920594</v>
      </c>
      <c r="H1766" s="3">
        <v>0</v>
      </c>
      <c r="I1766" s="1">
        <v>45726</v>
      </c>
      <c r="J1766" s="4" t="s">
        <v>7</v>
      </c>
      <c r="K1766" s="4" t="s">
        <v>8</v>
      </c>
      <c r="L1766" s="3">
        <v>-400.16</v>
      </c>
      <c r="M1766" s="4" t="s">
        <v>1255</v>
      </c>
      <c r="N1766" s="3">
        <v>0</v>
      </c>
    </row>
    <row r="1767" spans="1:14" hidden="1" x14ac:dyDescent="0.35">
      <c r="A1767">
        <v>2725</v>
      </c>
      <c r="B1767" s="4" t="s">
        <v>593</v>
      </c>
      <c r="C1767" s="4" t="s">
        <v>61</v>
      </c>
      <c r="D1767" s="4" t="s">
        <v>34</v>
      </c>
      <c r="E1767">
        <v>0</v>
      </c>
      <c r="F1767" s="3">
        <v>2740.8555999999999</v>
      </c>
      <c r="G1767" s="2">
        <v>0.63884920634920594</v>
      </c>
      <c r="H1767" s="3">
        <v>0</v>
      </c>
      <c r="I1767" s="1">
        <v>45701</v>
      </c>
      <c r="J1767" s="4" t="s">
        <v>23</v>
      </c>
      <c r="K1767" s="4" t="s">
        <v>40</v>
      </c>
      <c r="L1767" s="3">
        <v>2116.0700000000002</v>
      </c>
      <c r="M1767" s="4" t="s">
        <v>1255</v>
      </c>
      <c r="N1767" s="3">
        <v>0</v>
      </c>
    </row>
    <row r="1768" spans="1:14" hidden="1" x14ac:dyDescent="0.35">
      <c r="A1768">
        <v>2726</v>
      </c>
      <c r="B1768" s="4" t="s">
        <v>566</v>
      </c>
      <c r="C1768" s="4" t="s">
        <v>938</v>
      </c>
      <c r="D1768" s="4" t="s">
        <v>24</v>
      </c>
      <c r="E1768">
        <v>0</v>
      </c>
      <c r="F1768" s="3">
        <v>2746.1142</v>
      </c>
      <c r="G1768" s="2">
        <v>0.17</v>
      </c>
      <c r="H1768" s="3">
        <v>0</v>
      </c>
      <c r="I1768" s="1">
        <v>45701</v>
      </c>
      <c r="J1768" s="4" t="s">
        <v>11</v>
      </c>
      <c r="K1768" s="4" t="s">
        <v>40</v>
      </c>
      <c r="L1768" s="3">
        <v>1751.12</v>
      </c>
      <c r="M1768" s="4" t="s">
        <v>1255</v>
      </c>
      <c r="N1768" s="3">
        <v>0</v>
      </c>
    </row>
    <row r="1769" spans="1:14" hidden="1" x14ac:dyDescent="0.35">
      <c r="A1769">
        <v>2727</v>
      </c>
      <c r="B1769" s="4" t="s">
        <v>170</v>
      </c>
      <c r="C1769" s="4" t="s">
        <v>155</v>
      </c>
      <c r="D1769" s="4" t="s">
        <v>19</v>
      </c>
      <c r="E1769">
        <v>2</v>
      </c>
      <c r="F1769" s="3">
        <v>2746.1142</v>
      </c>
      <c r="G1769" s="2">
        <v>0.64071713147410403</v>
      </c>
      <c r="H1769" s="3">
        <v>0</v>
      </c>
      <c r="I1769" s="1">
        <v>45161</v>
      </c>
      <c r="J1769" s="4" t="s">
        <v>9</v>
      </c>
      <c r="K1769" s="4" t="s">
        <v>40</v>
      </c>
      <c r="L1769" s="3">
        <v>1804.04</v>
      </c>
      <c r="M1769" s="4" t="s">
        <v>1255</v>
      </c>
      <c r="N1769" s="3">
        <v>5492.2284</v>
      </c>
    </row>
    <row r="1770" spans="1:14" hidden="1" x14ac:dyDescent="0.35">
      <c r="A1770">
        <v>2728</v>
      </c>
      <c r="B1770" s="4" t="s">
        <v>1103</v>
      </c>
      <c r="C1770" s="4" t="s">
        <v>423</v>
      </c>
      <c r="D1770" s="4" t="s">
        <v>15</v>
      </c>
      <c r="E1770">
        <v>0</v>
      </c>
      <c r="F1770" s="3">
        <v>1935.05</v>
      </c>
      <c r="G1770" s="2">
        <v>0.64071713147410403</v>
      </c>
      <c r="H1770" s="3">
        <v>0</v>
      </c>
      <c r="I1770" s="1">
        <v>45625</v>
      </c>
      <c r="J1770" s="4" t="s">
        <v>18</v>
      </c>
      <c r="K1770" s="4" t="s">
        <v>40</v>
      </c>
      <c r="L1770" s="3">
        <v>1483.93</v>
      </c>
      <c r="M1770" s="4" t="s">
        <v>1255</v>
      </c>
      <c r="N1770" s="3">
        <v>0</v>
      </c>
    </row>
    <row r="1771" spans="1:14" hidden="1" x14ac:dyDescent="0.35">
      <c r="A1771">
        <v>2729</v>
      </c>
      <c r="B1771" s="4" t="s">
        <v>440</v>
      </c>
      <c r="C1771" s="4" t="s">
        <v>191</v>
      </c>
      <c r="D1771" s="4" t="s">
        <v>31</v>
      </c>
      <c r="E1771">
        <v>5</v>
      </c>
      <c r="F1771" s="3">
        <v>2746.1142</v>
      </c>
      <c r="G1771" s="2">
        <v>1.22</v>
      </c>
      <c r="H1771" s="3">
        <v>0</v>
      </c>
      <c r="I1771" s="1">
        <v>45625</v>
      </c>
      <c r="J1771" s="4" t="s">
        <v>9</v>
      </c>
      <c r="K1771" s="4" t="s">
        <v>40</v>
      </c>
      <c r="L1771" s="3">
        <v>-973.04</v>
      </c>
      <c r="M1771" s="4" t="s">
        <v>1255</v>
      </c>
      <c r="N1771" s="3">
        <v>13730.571</v>
      </c>
    </row>
    <row r="1772" spans="1:14" hidden="1" x14ac:dyDescent="0.35">
      <c r="A1772">
        <v>2730</v>
      </c>
      <c r="B1772" s="4" t="s">
        <v>54</v>
      </c>
      <c r="C1772" s="4" t="s">
        <v>236</v>
      </c>
      <c r="D1772" s="4" t="s">
        <v>26</v>
      </c>
      <c r="E1772">
        <v>0</v>
      </c>
      <c r="F1772" s="3">
        <v>2748.2262999999998</v>
      </c>
      <c r="G1772" s="2">
        <v>0.63839999999999997</v>
      </c>
      <c r="H1772" s="3">
        <v>0</v>
      </c>
      <c r="I1772" s="1">
        <v>45350</v>
      </c>
      <c r="J1772" s="4" t="s">
        <v>7</v>
      </c>
      <c r="K1772" s="4" t="s">
        <v>40</v>
      </c>
      <c r="L1772" s="3">
        <v>2203.9699999999998</v>
      </c>
      <c r="M1772" s="4" t="s">
        <v>1255</v>
      </c>
      <c r="N1772" s="3">
        <v>0</v>
      </c>
    </row>
    <row r="1773" spans="1:14" x14ac:dyDescent="0.35">
      <c r="A1773">
        <v>2731</v>
      </c>
      <c r="B1773" s="4" t="s">
        <v>164</v>
      </c>
      <c r="C1773" s="4" t="s">
        <v>414</v>
      </c>
      <c r="D1773" s="4" t="s">
        <v>10</v>
      </c>
      <c r="E1773">
        <v>-1</v>
      </c>
      <c r="F1773" s="3">
        <v>1635.12</v>
      </c>
      <c r="G1773" s="2">
        <v>0.63839999999999997</v>
      </c>
      <c r="H1773" s="3">
        <v>0</v>
      </c>
      <c r="I1773" s="1">
        <v>45854</v>
      </c>
      <c r="J1773" s="4" t="s">
        <v>11</v>
      </c>
      <c r="K1773" s="4" t="s">
        <v>12</v>
      </c>
      <c r="L1773" s="3">
        <v>-526.88</v>
      </c>
      <c r="M1773" s="4" t="s">
        <v>1255</v>
      </c>
      <c r="N1773" s="3">
        <v>-1635.12</v>
      </c>
    </row>
    <row r="1774" spans="1:14" x14ac:dyDescent="0.35">
      <c r="A1774">
        <v>2732</v>
      </c>
      <c r="B1774" s="4" t="s">
        <v>50</v>
      </c>
      <c r="C1774" s="4" t="s">
        <v>1024</v>
      </c>
      <c r="D1774" s="4" t="s">
        <v>29</v>
      </c>
      <c r="E1774">
        <v>6</v>
      </c>
      <c r="F1774" s="3">
        <v>2748.2262999999998</v>
      </c>
      <c r="G1774" s="2">
        <v>0.55000000000000004</v>
      </c>
      <c r="H1774" s="3">
        <v>0</v>
      </c>
      <c r="I1774" s="1">
        <v>45854</v>
      </c>
      <c r="J1774" s="4" t="s">
        <v>23</v>
      </c>
      <c r="K1774" s="4" t="s">
        <v>8</v>
      </c>
      <c r="L1774" s="3">
        <v>-833.43</v>
      </c>
      <c r="M1774" s="4" t="s">
        <v>1255</v>
      </c>
      <c r="N1774" s="3">
        <v>16489.357800000002</v>
      </c>
    </row>
    <row r="1775" spans="1:14" x14ac:dyDescent="0.35">
      <c r="A1775">
        <v>2733</v>
      </c>
      <c r="B1775" s="4" t="s">
        <v>292</v>
      </c>
      <c r="C1775" s="4" t="s">
        <v>329</v>
      </c>
      <c r="D1775" s="4" t="s">
        <v>16</v>
      </c>
      <c r="E1775">
        <v>0</v>
      </c>
      <c r="F1775" s="3">
        <v>2751.1325999999999</v>
      </c>
      <c r="G1775" s="2">
        <v>0.63875502008032103</v>
      </c>
      <c r="H1775" s="3">
        <v>0</v>
      </c>
      <c r="I1775" s="1">
        <v>45562</v>
      </c>
      <c r="J1775" s="4" t="s">
        <v>11</v>
      </c>
      <c r="K1775" s="4" t="s">
        <v>12</v>
      </c>
      <c r="L1775" s="3">
        <v>2523.7199999999998</v>
      </c>
      <c r="M1775" s="4" t="s">
        <v>1255</v>
      </c>
      <c r="N1775" s="3">
        <v>0</v>
      </c>
    </row>
    <row r="1776" spans="1:14" hidden="1" x14ac:dyDescent="0.35">
      <c r="A1776">
        <v>2734</v>
      </c>
      <c r="B1776" s="4" t="s">
        <v>185</v>
      </c>
      <c r="C1776" s="4" t="s">
        <v>389</v>
      </c>
      <c r="D1776" s="4" t="s">
        <v>25</v>
      </c>
      <c r="E1776">
        <v>4</v>
      </c>
      <c r="F1776" s="3">
        <v>3261.51</v>
      </c>
      <c r="G1776" s="2">
        <v>0.82</v>
      </c>
      <c r="H1776" s="3">
        <v>2348.29</v>
      </c>
      <c r="I1776" s="1">
        <v>45562</v>
      </c>
      <c r="J1776" s="4" t="s">
        <v>23</v>
      </c>
      <c r="K1776" s="4" t="s">
        <v>40</v>
      </c>
      <c r="L1776" s="3">
        <v>1429.02</v>
      </c>
      <c r="M1776" s="4" t="s">
        <v>1256</v>
      </c>
      <c r="N1776" s="3">
        <v>13046.04</v>
      </c>
    </row>
    <row r="1777" spans="1:14" x14ac:dyDescent="0.35">
      <c r="A1777">
        <v>2735</v>
      </c>
      <c r="B1777" s="4" t="s">
        <v>1104</v>
      </c>
      <c r="C1777" s="4" t="s">
        <v>954</v>
      </c>
      <c r="D1777" s="4" t="s">
        <v>19</v>
      </c>
      <c r="E1777">
        <v>0</v>
      </c>
      <c r="F1777" s="3">
        <v>541.71</v>
      </c>
      <c r="G1777" s="2">
        <v>0.63802419354838702</v>
      </c>
      <c r="H1777" s="3">
        <v>0</v>
      </c>
      <c r="I1777" s="1">
        <v>45576</v>
      </c>
      <c r="J1777" s="4" t="s">
        <v>18</v>
      </c>
      <c r="K1777" s="4" t="s">
        <v>12</v>
      </c>
      <c r="L1777" s="3">
        <v>1872.65</v>
      </c>
      <c r="M1777" s="4" t="s">
        <v>1255</v>
      </c>
      <c r="N1777" s="3">
        <v>0</v>
      </c>
    </row>
    <row r="1778" spans="1:14" hidden="1" x14ac:dyDescent="0.35">
      <c r="A1778">
        <v>2736</v>
      </c>
      <c r="B1778" s="4" t="s">
        <v>317</v>
      </c>
      <c r="C1778" s="4" t="s">
        <v>158</v>
      </c>
      <c r="D1778" s="4" t="s">
        <v>6</v>
      </c>
      <c r="E1778">
        <v>0</v>
      </c>
      <c r="F1778" s="3">
        <v>2749.7964999999999</v>
      </c>
      <c r="G1778" s="2">
        <v>0.63802419354838702</v>
      </c>
      <c r="H1778" s="3">
        <v>0</v>
      </c>
      <c r="I1778" s="1">
        <v>45827</v>
      </c>
      <c r="J1778" s="4" t="s">
        <v>7</v>
      </c>
      <c r="K1778" s="4" t="s">
        <v>40</v>
      </c>
      <c r="L1778" s="3">
        <v>-253.78</v>
      </c>
      <c r="M1778" s="4" t="s">
        <v>1255</v>
      </c>
      <c r="N1778" s="3">
        <v>0</v>
      </c>
    </row>
    <row r="1779" spans="1:14" hidden="1" x14ac:dyDescent="0.35">
      <c r="A1779">
        <v>2737</v>
      </c>
      <c r="B1779" s="4" t="s">
        <v>1105</v>
      </c>
      <c r="C1779" s="4" t="s">
        <v>102</v>
      </c>
      <c r="D1779" s="4" t="s">
        <v>33</v>
      </c>
      <c r="E1779">
        <v>0</v>
      </c>
      <c r="F1779" s="3">
        <v>1927.98</v>
      </c>
      <c r="G1779" s="2">
        <v>0.63802419354838702</v>
      </c>
      <c r="H1779" s="3">
        <v>0</v>
      </c>
      <c r="I1779" s="1">
        <v>45791</v>
      </c>
      <c r="J1779" s="4" t="s">
        <v>20</v>
      </c>
      <c r="K1779" s="4" t="s">
        <v>40</v>
      </c>
      <c r="L1779" s="3">
        <v>-251.21</v>
      </c>
      <c r="M1779" s="4" t="s">
        <v>1255</v>
      </c>
      <c r="N1779" s="3">
        <v>0</v>
      </c>
    </row>
    <row r="1780" spans="1:14" x14ac:dyDescent="0.35">
      <c r="A1780">
        <v>2738</v>
      </c>
      <c r="B1780" s="4" t="s">
        <v>134</v>
      </c>
      <c r="C1780" s="4" t="s">
        <v>1096</v>
      </c>
      <c r="D1780" s="4" t="s">
        <v>25</v>
      </c>
      <c r="E1780">
        <v>0</v>
      </c>
      <c r="F1780" s="3">
        <v>2755.5920000000001</v>
      </c>
      <c r="G1780" s="2">
        <v>0.55000000000000004</v>
      </c>
      <c r="H1780" s="3">
        <v>0</v>
      </c>
      <c r="I1780" s="1">
        <v>45655</v>
      </c>
      <c r="J1780" s="4" t="s">
        <v>11</v>
      </c>
      <c r="K1780" s="4" t="s">
        <v>12</v>
      </c>
      <c r="L1780" s="3">
        <v>733.8</v>
      </c>
      <c r="M1780" s="4" t="s">
        <v>1255</v>
      </c>
      <c r="N1780" s="3">
        <v>0</v>
      </c>
    </row>
    <row r="1781" spans="1:14" hidden="1" x14ac:dyDescent="0.35">
      <c r="A1781">
        <v>2739</v>
      </c>
      <c r="B1781" s="4" t="s">
        <v>827</v>
      </c>
      <c r="C1781" s="4" t="s">
        <v>1106</v>
      </c>
      <c r="D1781" s="4" t="s">
        <v>29</v>
      </c>
      <c r="E1781">
        <v>4</v>
      </c>
      <c r="F1781" s="3">
        <v>4316.8500000000004</v>
      </c>
      <c r="G1781" s="2">
        <v>0.63838056680161903</v>
      </c>
      <c r="H1781" s="3">
        <v>0</v>
      </c>
      <c r="I1781" s="1">
        <v>45268</v>
      </c>
      <c r="J1781" s="4" t="s">
        <v>9</v>
      </c>
      <c r="K1781" s="4" t="s">
        <v>40</v>
      </c>
      <c r="L1781" s="3">
        <v>2259.3000000000002</v>
      </c>
      <c r="M1781" s="4" t="s">
        <v>1255</v>
      </c>
      <c r="N1781" s="3">
        <v>17267.400000000001</v>
      </c>
    </row>
    <row r="1782" spans="1:14" x14ac:dyDescent="0.35">
      <c r="A1782">
        <v>2740</v>
      </c>
      <c r="B1782" s="4" t="s">
        <v>504</v>
      </c>
      <c r="C1782" s="4" t="s">
        <v>82</v>
      </c>
      <c r="D1782" s="4" t="s">
        <v>16</v>
      </c>
      <c r="E1782">
        <v>1</v>
      </c>
      <c r="F1782" s="3">
        <v>2757.77</v>
      </c>
      <c r="G1782" s="2">
        <v>0.63838056680161903</v>
      </c>
      <c r="H1782" s="3">
        <v>0</v>
      </c>
      <c r="I1782" s="1">
        <v>45268</v>
      </c>
      <c r="J1782" s="4" t="s">
        <v>11</v>
      </c>
      <c r="K1782" s="4" t="s">
        <v>12</v>
      </c>
      <c r="L1782" s="3">
        <v>996.39</v>
      </c>
      <c r="M1782" s="4" t="s">
        <v>1255</v>
      </c>
      <c r="N1782" s="3">
        <v>2757.77</v>
      </c>
    </row>
    <row r="1783" spans="1:14" x14ac:dyDescent="0.35">
      <c r="A1783">
        <v>2741</v>
      </c>
      <c r="B1783" s="4" t="s">
        <v>121</v>
      </c>
      <c r="C1783" s="4" t="s">
        <v>349</v>
      </c>
      <c r="D1783" s="4" t="s">
        <v>27</v>
      </c>
      <c r="E1783">
        <v>1</v>
      </c>
      <c r="F1783" s="3">
        <v>2753.6563000000001</v>
      </c>
      <c r="G1783" s="2">
        <v>0.53</v>
      </c>
      <c r="H1783" s="3">
        <v>0</v>
      </c>
      <c r="I1783" s="1">
        <v>45563</v>
      </c>
      <c r="J1783" s="4" t="s">
        <v>11</v>
      </c>
      <c r="K1783" s="4" t="s">
        <v>8</v>
      </c>
      <c r="L1783" s="3">
        <v>2013.85</v>
      </c>
      <c r="M1783" s="4" t="s">
        <v>1255</v>
      </c>
      <c r="N1783" s="3">
        <v>2753.6563000000001</v>
      </c>
    </row>
    <row r="1784" spans="1:14" x14ac:dyDescent="0.35">
      <c r="A1784">
        <v>2742</v>
      </c>
      <c r="B1784" s="4" t="s">
        <v>67</v>
      </c>
      <c r="C1784" s="4" t="s">
        <v>1107</v>
      </c>
      <c r="D1784" s="4" t="s">
        <v>14</v>
      </c>
      <c r="E1784">
        <v>-2</v>
      </c>
      <c r="F1784" s="3">
        <v>2753.6563000000001</v>
      </c>
      <c r="G1784" s="2">
        <v>0.63882113821138198</v>
      </c>
      <c r="H1784" s="3">
        <v>0</v>
      </c>
      <c r="I1784" s="1">
        <v>45853</v>
      </c>
      <c r="J1784" s="4" t="s">
        <v>18</v>
      </c>
      <c r="K1784" s="4" t="s">
        <v>8</v>
      </c>
      <c r="L1784" s="3">
        <v>1045.71</v>
      </c>
      <c r="M1784" s="4" t="s">
        <v>1255</v>
      </c>
      <c r="N1784" s="3">
        <v>-5507.3126000000002</v>
      </c>
    </row>
    <row r="1785" spans="1:14" x14ac:dyDescent="0.35">
      <c r="A1785">
        <v>2744</v>
      </c>
      <c r="B1785" s="4" t="s">
        <v>271</v>
      </c>
      <c r="C1785" s="4" t="s">
        <v>1108</v>
      </c>
      <c r="D1785" s="4" t="s">
        <v>15</v>
      </c>
      <c r="E1785">
        <v>-2</v>
      </c>
      <c r="F1785" s="3">
        <v>2753.6563000000001</v>
      </c>
      <c r="G1785" s="2">
        <v>0.63722448979591795</v>
      </c>
      <c r="H1785" s="3">
        <v>0</v>
      </c>
      <c r="I1785" s="1">
        <v>45791</v>
      </c>
      <c r="J1785" s="4" t="s">
        <v>11</v>
      </c>
      <c r="K1785" s="4" t="s">
        <v>12</v>
      </c>
      <c r="L1785" s="3">
        <v>-635.51</v>
      </c>
      <c r="M1785" s="4" t="s">
        <v>1255</v>
      </c>
      <c r="N1785" s="3">
        <v>-5507.3126000000002</v>
      </c>
    </row>
    <row r="1786" spans="1:14" x14ac:dyDescent="0.35">
      <c r="A1786">
        <v>2745</v>
      </c>
      <c r="B1786" s="4" t="s">
        <v>224</v>
      </c>
      <c r="C1786" s="4" t="s">
        <v>483</v>
      </c>
      <c r="D1786" s="4" t="s">
        <v>6</v>
      </c>
      <c r="E1786">
        <v>-1</v>
      </c>
      <c r="F1786" s="3">
        <v>869.82</v>
      </c>
      <c r="G1786" s="2">
        <v>0.63722448979591795</v>
      </c>
      <c r="H1786" s="3">
        <v>0</v>
      </c>
      <c r="I1786" s="1">
        <v>45497</v>
      </c>
      <c r="J1786" s="4" t="s">
        <v>18</v>
      </c>
      <c r="K1786" s="4" t="s">
        <v>8</v>
      </c>
      <c r="L1786" s="3">
        <v>737.77</v>
      </c>
      <c r="M1786" s="4" t="s">
        <v>1255</v>
      </c>
      <c r="N1786" s="3">
        <v>-869.82</v>
      </c>
    </row>
    <row r="1787" spans="1:14" x14ac:dyDescent="0.35">
      <c r="A1787">
        <v>2746</v>
      </c>
      <c r="B1787" s="4" t="s">
        <v>1109</v>
      </c>
      <c r="C1787" s="4" t="s">
        <v>94</v>
      </c>
      <c r="D1787" s="4" t="s">
        <v>6</v>
      </c>
      <c r="E1787">
        <v>0</v>
      </c>
      <c r="F1787" s="3">
        <v>668.51</v>
      </c>
      <c r="G1787" s="2">
        <v>1.02</v>
      </c>
      <c r="H1787" s="3">
        <v>0</v>
      </c>
      <c r="I1787" s="1">
        <v>45608</v>
      </c>
      <c r="J1787" s="4" t="s">
        <v>18</v>
      </c>
      <c r="K1787" s="4" t="s">
        <v>8</v>
      </c>
      <c r="L1787" s="3">
        <v>2100.4</v>
      </c>
      <c r="M1787" s="4" t="s">
        <v>1255</v>
      </c>
      <c r="N1787" s="3">
        <v>0</v>
      </c>
    </row>
    <row r="1788" spans="1:14" x14ac:dyDescent="0.35">
      <c r="A1788">
        <v>2747</v>
      </c>
      <c r="B1788" s="4" t="s">
        <v>579</v>
      </c>
      <c r="C1788" s="4" t="s">
        <v>1076</v>
      </c>
      <c r="D1788" s="4" t="s">
        <v>28</v>
      </c>
      <c r="E1788">
        <v>1</v>
      </c>
      <c r="F1788" s="3">
        <v>1369.29</v>
      </c>
      <c r="G1788" s="2">
        <v>0.63565573770491801</v>
      </c>
      <c r="H1788" s="3">
        <v>0</v>
      </c>
      <c r="I1788" s="1">
        <v>45796</v>
      </c>
      <c r="J1788" s="4" t="s">
        <v>11</v>
      </c>
      <c r="K1788" s="4" t="s">
        <v>8</v>
      </c>
      <c r="L1788" s="3">
        <v>325.08</v>
      </c>
      <c r="M1788" s="4" t="s">
        <v>1255</v>
      </c>
      <c r="N1788" s="3">
        <v>1369.29</v>
      </c>
    </row>
    <row r="1789" spans="1:14" x14ac:dyDescent="0.35">
      <c r="A1789">
        <v>2748</v>
      </c>
      <c r="B1789" s="4" t="s">
        <v>81</v>
      </c>
      <c r="C1789" s="4" t="s">
        <v>74</v>
      </c>
      <c r="D1789" s="4" t="s">
        <v>33</v>
      </c>
      <c r="E1789">
        <v>4</v>
      </c>
      <c r="F1789" s="3">
        <v>3977.88</v>
      </c>
      <c r="G1789" s="2">
        <v>0.63565573770491801</v>
      </c>
      <c r="H1789" s="3">
        <v>0</v>
      </c>
      <c r="I1789" s="1">
        <v>45670</v>
      </c>
      <c r="J1789" s="4" t="s">
        <v>9</v>
      </c>
      <c r="K1789" s="4" t="s">
        <v>8</v>
      </c>
      <c r="L1789" s="3">
        <v>2431.13</v>
      </c>
      <c r="M1789" s="4" t="s">
        <v>1255</v>
      </c>
      <c r="N1789" s="3">
        <v>15911.52</v>
      </c>
    </row>
    <row r="1790" spans="1:14" hidden="1" x14ac:dyDescent="0.35">
      <c r="A1790">
        <v>2749</v>
      </c>
      <c r="B1790" s="4" t="s">
        <v>304</v>
      </c>
      <c r="C1790" s="4" t="s">
        <v>1064</v>
      </c>
      <c r="D1790" s="4" t="s">
        <v>10</v>
      </c>
      <c r="E1790">
        <v>5</v>
      </c>
      <c r="F1790" s="3">
        <v>2764.2166000000002</v>
      </c>
      <c r="G1790" s="2">
        <v>0.63565573770491801</v>
      </c>
      <c r="H1790" s="3">
        <v>0</v>
      </c>
      <c r="I1790" s="1">
        <v>45670</v>
      </c>
      <c r="J1790" s="4" t="s">
        <v>20</v>
      </c>
      <c r="K1790" s="4" t="s">
        <v>40</v>
      </c>
      <c r="L1790" s="3">
        <v>2595.31</v>
      </c>
      <c r="M1790" s="4" t="s">
        <v>1255</v>
      </c>
      <c r="N1790" s="3">
        <v>13821.083000000001</v>
      </c>
    </row>
    <row r="1791" spans="1:14" hidden="1" x14ac:dyDescent="0.35">
      <c r="A1791">
        <v>2751</v>
      </c>
      <c r="B1791" s="4" t="s">
        <v>479</v>
      </c>
      <c r="C1791" s="4" t="s">
        <v>1110</v>
      </c>
      <c r="D1791" s="4" t="s">
        <v>34</v>
      </c>
      <c r="E1791">
        <v>0</v>
      </c>
      <c r="F1791" s="3">
        <v>2760.9715000000001</v>
      </c>
      <c r="G1791" s="2">
        <v>0.98</v>
      </c>
      <c r="H1791" s="3">
        <v>0</v>
      </c>
      <c r="I1791" s="1">
        <v>45642</v>
      </c>
      <c r="J1791" s="4" t="s">
        <v>18</v>
      </c>
      <c r="K1791" s="4" t="s">
        <v>40</v>
      </c>
      <c r="L1791" s="3">
        <v>1778.54</v>
      </c>
      <c r="M1791" s="4" t="s">
        <v>1255</v>
      </c>
      <c r="N1791" s="3">
        <v>0</v>
      </c>
    </row>
    <row r="1792" spans="1:14" x14ac:dyDescent="0.35">
      <c r="A1792">
        <v>2752</v>
      </c>
      <c r="B1792" s="4" t="s">
        <v>370</v>
      </c>
      <c r="C1792" s="4" t="s">
        <v>282</v>
      </c>
      <c r="D1792" s="4" t="s">
        <v>22</v>
      </c>
      <c r="E1792">
        <v>0</v>
      </c>
      <c r="F1792" s="3">
        <v>4552.8</v>
      </c>
      <c r="G1792" s="2">
        <v>1.01</v>
      </c>
      <c r="H1792" s="3">
        <v>0</v>
      </c>
      <c r="I1792" s="1">
        <v>45642</v>
      </c>
      <c r="J1792" s="4" t="s">
        <v>20</v>
      </c>
      <c r="K1792" s="4" t="s">
        <v>12</v>
      </c>
      <c r="L1792" s="3">
        <v>1802.91</v>
      </c>
      <c r="M1792" s="4" t="s">
        <v>1255</v>
      </c>
      <c r="N1792" s="3">
        <v>0</v>
      </c>
    </row>
    <row r="1793" spans="1:14" hidden="1" x14ac:dyDescent="0.35">
      <c r="A1793">
        <v>2754</v>
      </c>
      <c r="B1793" s="4" t="s">
        <v>903</v>
      </c>
      <c r="C1793" s="4" t="s">
        <v>871</v>
      </c>
      <c r="D1793" s="4" t="s">
        <v>21</v>
      </c>
      <c r="E1793">
        <v>1</v>
      </c>
      <c r="F1793" s="3">
        <v>2759.9202</v>
      </c>
      <c r="G1793" s="2">
        <v>0.63268595041322295</v>
      </c>
      <c r="H1793" s="3">
        <v>0</v>
      </c>
      <c r="I1793" s="1">
        <v>45734</v>
      </c>
      <c r="J1793" s="4" t="s">
        <v>18</v>
      </c>
      <c r="K1793" s="4" t="s">
        <v>40</v>
      </c>
      <c r="L1793" s="3">
        <v>-0.15</v>
      </c>
      <c r="M1793" s="4" t="s">
        <v>1255</v>
      </c>
      <c r="N1793" s="3">
        <v>2759.9202</v>
      </c>
    </row>
    <row r="1794" spans="1:14" x14ac:dyDescent="0.35">
      <c r="A1794">
        <v>2755</v>
      </c>
      <c r="B1794" s="4" t="s">
        <v>504</v>
      </c>
      <c r="C1794" s="4" t="s">
        <v>632</v>
      </c>
      <c r="D1794" s="4" t="s">
        <v>33</v>
      </c>
      <c r="E1794">
        <v>-2</v>
      </c>
      <c r="F1794" s="3">
        <v>2755.6313</v>
      </c>
      <c r="G1794" s="2">
        <v>0.32</v>
      </c>
      <c r="H1794" s="3">
        <v>0</v>
      </c>
      <c r="I1794" s="1">
        <v>45199</v>
      </c>
      <c r="J1794" s="4" t="s">
        <v>7</v>
      </c>
      <c r="K1794" s="4" t="s">
        <v>12</v>
      </c>
      <c r="L1794" s="3">
        <v>1174.6400000000001</v>
      </c>
      <c r="M1794" s="4" t="s">
        <v>1255</v>
      </c>
      <c r="N1794" s="3">
        <v>-5511.2626</v>
      </c>
    </row>
    <row r="1795" spans="1:14" x14ac:dyDescent="0.35">
      <c r="A1795">
        <v>2756</v>
      </c>
      <c r="B1795" s="4" t="s">
        <v>582</v>
      </c>
      <c r="C1795" s="4" t="s">
        <v>1111</v>
      </c>
      <c r="D1795" s="4" t="s">
        <v>26</v>
      </c>
      <c r="E1795">
        <v>6</v>
      </c>
      <c r="F1795" s="3">
        <v>2755.6313</v>
      </c>
      <c r="G1795" s="2">
        <v>0.63398340248962604</v>
      </c>
      <c r="H1795" s="3">
        <v>0</v>
      </c>
      <c r="I1795" s="1">
        <v>45566</v>
      </c>
      <c r="J1795" s="4" t="s">
        <v>20</v>
      </c>
      <c r="K1795" s="4" t="s">
        <v>8</v>
      </c>
      <c r="L1795" s="3">
        <v>813.53</v>
      </c>
      <c r="M1795" s="4" t="s">
        <v>1255</v>
      </c>
      <c r="N1795" s="3">
        <v>16533.787799999998</v>
      </c>
    </row>
    <row r="1796" spans="1:14" x14ac:dyDescent="0.35">
      <c r="A1796">
        <v>2757</v>
      </c>
      <c r="B1796" s="4" t="s">
        <v>141</v>
      </c>
      <c r="C1796" s="4" t="s">
        <v>211</v>
      </c>
      <c r="D1796" s="4" t="s">
        <v>35</v>
      </c>
      <c r="E1796">
        <v>3</v>
      </c>
      <c r="F1796" s="3">
        <v>4923.95</v>
      </c>
      <c r="G1796" s="2">
        <v>0.63398340248962604</v>
      </c>
      <c r="H1796" s="3">
        <v>0</v>
      </c>
      <c r="I1796" s="1">
        <v>45794</v>
      </c>
      <c r="J1796" s="4" t="s">
        <v>20</v>
      </c>
      <c r="K1796" s="4" t="s">
        <v>12</v>
      </c>
      <c r="L1796" s="3">
        <v>794.65</v>
      </c>
      <c r="M1796" s="4" t="s">
        <v>1255</v>
      </c>
      <c r="N1796" s="3">
        <v>14771.85</v>
      </c>
    </row>
    <row r="1797" spans="1:14" hidden="1" x14ac:dyDescent="0.35">
      <c r="A1797">
        <v>2759</v>
      </c>
      <c r="B1797" s="4" t="s">
        <v>477</v>
      </c>
      <c r="C1797" s="4" t="s">
        <v>91</v>
      </c>
      <c r="D1797" s="4" t="s">
        <v>29</v>
      </c>
      <c r="E1797">
        <v>0</v>
      </c>
      <c r="F1797" s="3">
        <v>2749.7709</v>
      </c>
      <c r="G1797" s="2">
        <v>0.9</v>
      </c>
      <c r="H1797" s="3">
        <v>0</v>
      </c>
      <c r="I1797" s="1">
        <v>45509</v>
      </c>
      <c r="J1797" s="4" t="s">
        <v>9</v>
      </c>
      <c r="K1797" s="4" t="s">
        <v>40</v>
      </c>
      <c r="L1797" s="3">
        <v>-300.89999999999998</v>
      </c>
      <c r="M1797" s="4" t="s">
        <v>1255</v>
      </c>
      <c r="N1797" s="3">
        <v>0</v>
      </c>
    </row>
    <row r="1798" spans="1:14" x14ac:dyDescent="0.35">
      <c r="A1798">
        <v>2760</v>
      </c>
      <c r="B1798" s="4" t="s">
        <v>43</v>
      </c>
      <c r="C1798" s="4" t="s">
        <v>280</v>
      </c>
      <c r="D1798" s="4" t="s">
        <v>38</v>
      </c>
      <c r="E1798">
        <v>0</v>
      </c>
      <c r="F1798" s="3">
        <v>2749.1867999999999</v>
      </c>
      <c r="G1798" s="2">
        <v>0.63287499999999997</v>
      </c>
      <c r="H1798" s="3">
        <v>0</v>
      </c>
      <c r="I1798" s="1">
        <v>45586</v>
      </c>
      <c r="J1798" s="4" t="s">
        <v>7</v>
      </c>
      <c r="K1798" s="4" t="s">
        <v>12</v>
      </c>
      <c r="L1798" s="3">
        <v>-833.77</v>
      </c>
      <c r="M1798" s="4" t="s">
        <v>1255</v>
      </c>
      <c r="N1798" s="3">
        <v>0</v>
      </c>
    </row>
    <row r="1799" spans="1:14" x14ac:dyDescent="0.35">
      <c r="A1799">
        <v>2761</v>
      </c>
      <c r="B1799" s="4" t="s">
        <v>282</v>
      </c>
      <c r="C1799" s="4" t="s">
        <v>1112</v>
      </c>
      <c r="D1799" s="4" t="s">
        <v>24</v>
      </c>
      <c r="E1799">
        <v>0</v>
      </c>
      <c r="F1799" s="3">
        <v>3586.76</v>
      </c>
      <c r="G1799" s="2">
        <v>0.63287499999999997</v>
      </c>
      <c r="H1799" s="3">
        <v>0</v>
      </c>
      <c r="I1799" s="1">
        <v>45752</v>
      </c>
      <c r="J1799" s="4" t="s">
        <v>20</v>
      </c>
      <c r="K1799" s="4" t="s">
        <v>8</v>
      </c>
      <c r="L1799" s="3">
        <v>594.95000000000005</v>
      </c>
      <c r="M1799" s="4" t="s">
        <v>1255</v>
      </c>
      <c r="N1799" s="3">
        <v>0</v>
      </c>
    </row>
    <row r="1800" spans="1:14" x14ac:dyDescent="0.35">
      <c r="A1800">
        <v>2762</v>
      </c>
      <c r="B1800" s="4" t="s">
        <v>944</v>
      </c>
      <c r="C1800" s="4" t="s">
        <v>78</v>
      </c>
      <c r="D1800" s="4" t="s">
        <v>25</v>
      </c>
      <c r="E1800">
        <v>0</v>
      </c>
      <c r="F1800" s="3">
        <v>1278.8499999999999</v>
      </c>
      <c r="G1800" s="2">
        <v>0.63287499999999997</v>
      </c>
      <c r="H1800" s="3">
        <v>0</v>
      </c>
      <c r="I1800" s="1">
        <v>45670</v>
      </c>
      <c r="J1800" s="4" t="s">
        <v>23</v>
      </c>
      <c r="K1800" s="4" t="s">
        <v>12</v>
      </c>
      <c r="L1800" s="3">
        <v>1989.71</v>
      </c>
      <c r="M1800" s="4" t="s">
        <v>1255</v>
      </c>
      <c r="N1800" s="3">
        <v>0</v>
      </c>
    </row>
    <row r="1801" spans="1:14" hidden="1" x14ac:dyDescent="0.35">
      <c r="A1801">
        <v>2763</v>
      </c>
      <c r="B1801" s="4" t="s">
        <v>375</v>
      </c>
      <c r="C1801" s="4" t="s">
        <v>188</v>
      </c>
      <c r="D1801" s="4" t="s">
        <v>35</v>
      </c>
      <c r="E1801">
        <v>3</v>
      </c>
      <c r="F1801" s="3">
        <v>3360.01</v>
      </c>
      <c r="G1801" s="2">
        <v>0.63287499999999997</v>
      </c>
      <c r="H1801" s="3">
        <v>0</v>
      </c>
      <c r="I1801" s="1">
        <v>45670</v>
      </c>
      <c r="J1801" s="4" t="s">
        <v>23</v>
      </c>
      <c r="K1801" s="4" t="s">
        <v>40</v>
      </c>
      <c r="L1801" s="3">
        <v>1547.22</v>
      </c>
      <c r="M1801" s="4" t="s">
        <v>1255</v>
      </c>
      <c r="N1801" s="3">
        <v>10080.030000000001</v>
      </c>
    </row>
    <row r="1802" spans="1:14" x14ac:dyDescent="0.35">
      <c r="A1802">
        <v>2764</v>
      </c>
      <c r="B1802" s="4" t="s">
        <v>67</v>
      </c>
      <c r="C1802" s="4" t="s">
        <v>874</v>
      </c>
      <c r="D1802" s="4" t="s">
        <v>33</v>
      </c>
      <c r="E1802">
        <v>3</v>
      </c>
      <c r="F1802" s="3">
        <v>2750.9110000000001</v>
      </c>
      <c r="G1802" s="2">
        <v>0.63287499999999997</v>
      </c>
      <c r="H1802" s="3">
        <v>0</v>
      </c>
      <c r="I1802" s="1">
        <v>45593</v>
      </c>
      <c r="J1802" s="4" t="s">
        <v>9</v>
      </c>
      <c r="K1802" s="4" t="s">
        <v>12</v>
      </c>
      <c r="L1802" s="3">
        <v>2347.0700000000002</v>
      </c>
      <c r="M1802" s="4" t="s">
        <v>1255</v>
      </c>
      <c r="N1802" s="3">
        <v>8252.7330000000002</v>
      </c>
    </row>
    <row r="1803" spans="1:14" hidden="1" x14ac:dyDescent="0.35">
      <c r="A1803">
        <v>2765</v>
      </c>
      <c r="B1803" s="4" t="s">
        <v>166</v>
      </c>
      <c r="C1803" s="4" t="s">
        <v>61</v>
      </c>
      <c r="D1803" s="4" t="s">
        <v>25</v>
      </c>
      <c r="E1803">
        <v>0</v>
      </c>
      <c r="F1803" s="3">
        <v>2749.2467000000001</v>
      </c>
      <c r="G1803" s="2">
        <v>0.63287499999999997</v>
      </c>
      <c r="H1803" s="3">
        <v>0</v>
      </c>
      <c r="I1803" s="1">
        <v>45834</v>
      </c>
      <c r="J1803" s="4" t="s">
        <v>20</v>
      </c>
      <c r="K1803" s="4" t="s">
        <v>40</v>
      </c>
      <c r="L1803" s="3">
        <v>2047.44</v>
      </c>
      <c r="M1803" s="4" t="s">
        <v>1255</v>
      </c>
      <c r="N1803" s="3">
        <v>0</v>
      </c>
    </row>
    <row r="1804" spans="1:14" x14ac:dyDescent="0.35">
      <c r="A1804">
        <v>2766</v>
      </c>
      <c r="B1804" s="4" t="s">
        <v>43</v>
      </c>
      <c r="C1804" s="4" t="s">
        <v>1053</v>
      </c>
      <c r="D1804" s="4" t="s">
        <v>21</v>
      </c>
      <c r="E1804">
        <v>0</v>
      </c>
      <c r="F1804" s="3">
        <v>2749.2467000000001</v>
      </c>
      <c r="G1804" s="2">
        <v>0.63287499999999997</v>
      </c>
      <c r="H1804" s="3">
        <v>0</v>
      </c>
      <c r="I1804" s="1">
        <v>45530</v>
      </c>
      <c r="J1804" s="4" t="s">
        <v>20</v>
      </c>
      <c r="K1804" s="4" t="s">
        <v>8</v>
      </c>
      <c r="L1804" s="3">
        <v>621.85</v>
      </c>
      <c r="M1804" s="4" t="s">
        <v>1255</v>
      </c>
      <c r="N1804" s="3">
        <v>0</v>
      </c>
    </row>
    <row r="1805" spans="1:14" x14ac:dyDescent="0.35">
      <c r="A1805">
        <v>2767</v>
      </c>
      <c r="B1805" s="4" t="s">
        <v>544</v>
      </c>
      <c r="C1805" s="4" t="s">
        <v>421</v>
      </c>
      <c r="D1805" s="4" t="s">
        <v>26</v>
      </c>
      <c r="E1805">
        <v>0</v>
      </c>
      <c r="F1805" s="3">
        <v>4149.42</v>
      </c>
      <c r="G1805" s="2">
        <v>0.13</v>
      </c>
      <c r="H1805" s="3">
        <v>0</v>
      </c>
      <c r="I1805" s="1">
        <v>45530</v>
      </c>
      <c r="J1805" s="4" t="s">
        <v>23</v>
      </c>
      <c r="K1805" s="4" t="s">
        <v>12</v>
      </c>
      <c r="L1805" s="3">
        <v>1926.29</v>
      </c>
      <c r="M1805" s="4" t="s">
        <v>1255</v>
      </c>
      <c r="N1805" s="3">
        <v>0</v>
      </c>
    </row>
    <row r="1806" spans="1:14" x14ac:dyDescent="0.35">
      <c r="A1806">
        <v>2768</v>
      </c>
      <c r="B1806" s="4" t="s">
        <v>549</v>
      </c>
      <c r="C1806" s="4" t="s">
        <v>307</v>
      </c>
      <c r="D1806" s="4" t="s">
        <v>37</v>
      </c>
      <c r="E1806">
        <v>0</v>
      </c>
      <c r="F1806" s="3">
        <v>2749.2467000000001</v>
      </c>
      <c r="G1806" s="2">
        <v>0.69</v>
      </c>
      <c r="H1806" s="3">
        <v>0</v>
      </c>
      <c r="I1806" s="1">
        <v>45822</v>
      </c>
      <c r="J1806" s="4" t="s">
        <v>20</v>
      </c>
      <c r="K1806" s="4" t="s">
        <v>8</v>
      </c>
      <c r="L1806" s="3">
        <v>465.45</v>
      </c>
      <c r="M1806" s="4" t="s">
        <v>1255</v>
      </c>
      <c r="N1806" s="3">
        <v>0</v>
      </c>
    </row>
    <row r="1807" spans="1:14" x14ac:dyDescent="0.35">
      <c r="A1807">
        <v>2769</v>
      </c>
      <c r="B1807" s="4" t="s">
        <v>262</v>
      </c>
      <c r="C1807" s="4" t="s">
        <v>505</v>
      </c>
      <c r="D1807" s="4" t="s">
        <v>28</v>
      </c>
      <c r="E1807">
        <v>0</v>
      </c>
      <c r="F1807" s="3">
        <v>2745.4106999999999</v>
      </c>
      <c r="G1807" s="2">
        <v>0.63474789915966401</v>
      </c>
      <c r="H1807" s="3">
        <v>0</v>
      </c>
      <c r="I1807" s="1">
        <v>45690</v>
      </c>
      <c r="J1807" s="4" t="s">
        <v>9</v>
      </c>
      <c r="K1807" s="4" t="s">
        <v>12</v>
      </c>
      <c r="L1807" s="3">
        <v>2102.88</v>
      </c>
      <c r="M1807" s="4" t="s">
        <v>1255</v>
      </c>
      <c r="N1807" s="3">
        <v>0</v>
      </c>
    </row>
    <row r="1808" spans="1:14" x14ac:dyDescent="0.35">
      <c r="A1808">
        <v>2770</v>
      </c>
      <c r="B1808" s="4" t="s">
        <v>274</v>
      </c>
      <c r="C1808" s="4" t="s">
        <v>357</v>
      </c>
      <c r="D1808" s="4" t="s">
        <v>26</v>
      </c>
      <c r="E1808">
        <v>0</v>
      </c>
      <c r="F1808" s="3">
        <v>1439.18</v>
      </c>
      <c r="G1808" s="2">
        <v>0.49</v>
      </c>
      <c r="H1808" s="3">
        <v>0</v>
      </c>
      <c r="I1808" s="1">
        <v>45760</v>
      </c>
      <c r="J1808" s="4" t="s">
        <v>20</v>
      </c>
      <c r="K1808" s="4" t="s">
        <v>8</v>
      </c>
      <c r="L1808" s="3">
        <v>2007.56</v>
      </c>
      <c r="M1808" s="4" t="s">
        <v>1255</v>
      </c>
      <c r="N1808" s="3">
        <v>0</v>
      </c>
    </row>
    <row r="1809" spans="1:14" x14ac:dyDescent="0.35">
      <c r="A1809">
        <v>2772</v>
      </c>
      <c r="B1809" s="4" t="s">
        <v>410</v>
      </c>
      <c r="C1809" s="4" t="s">
        <v>1113</v>
      </c>
      <c r="D1809" s="4" t="s">
        <v>32</v>
      </c>
      <c r="E1809">
        <v>0</v>
      </c>
      <c r="F1809" s="3">
        <v>2748.9992000000002</v>
      </c>
      <c r="G1809" s="2">
        <v>0.63535864978903001</v>
      </c>
      <c r="H1809" s="3">
        <v>0</v>
      </c>
      <c r="I1809" s="1">
        <v>45342</v>
      </c>
      <c r="J1809" s="4" t="s">
        <v>23</v>
      </c>
      <c r="K1809" s="4" t="s">
        <v>12</v>
      </c>
      <c r="L1809" s="3">
        <v>-865.59</v>
      </c>
      <c r="M1809" s="4" t="s">
        <v>1255</v>
      </c>
      <c r="N1809" s="3">
        <v>0</v>
      </c>
    </row>
    <row r="1810" spans="1:14" x14ac:dyDescent="0.35">
      <c r="A1810">
        <v>2773</v>
      </c>
      <c r="B1810" s="4" t="s">
        <v>358</v>
      </c>
      <c r="C1810" s="4" t="s">
        <v>217</v>
      </c>
      <c r="D1810" s="4" t="s">
        <v>27</v>
      </c>
      <c r="E1810">
        <v>0</v>
      </c>
      <c r="F1810" s="3">
        <v>2745.6718000000001</v>
      </c>
      <c r="G1810" s="2">
        <v>0.63535864978903001</v>
      </c>
      <c r="H1810" s="3">
        <v>0</v>
      </c>
      <c r="I1810" s="1">
        <v>45342</v>
      </c>
      <c r="J1810" s="4" t="s">
        <v>9</v>
      </c>
      <c r="K1810" s="4" t="s">
        <v>8</v>
      </c>
      <c r="L1810" s="3">
        <v>1944.87</v>
      </c>
      <c r="M1810" s="4" t="s">
        <v>1255</v>
      </c>
      <c r="N1810" s="3">
        <v>0</v>
      </c>
    </row>
    <row r="1811" spans="1:14" hidden="1" x14ac:dyDescent="0.35">
      <c r="A1811">
        <v>2774</v>
      </c>
      <c r="B1811" s="4" t="s">
        <v>278</v>
      </c>
      <c r="C1811" s="4" t="s">
        <v>387</v>
      </c>
      <c r="D1811" s="4" t="s">
        <v>19</v>
      </c>
      <c r="E1811">
        <v>0</v>
      </c>
      <c r="F1811" s="3">
        <v>2745.6718000000001</v>
      </c>
      <c r="G1811" s="2">
        <v>0.63535864978903001</v>
      </c>
      <c r="H1811" s="3">
        <v>0</v>
      </c>
      <c r="I1811" s="1">
        <v>45497</v>
      </c>
      <c r="J1811" s="4" t="s">
        <v>11</v>
      </c>
      <c r="K1811" s="4" t="s">
        <v>40</v>
      </c>
      <c r="L1811" s="3">
        <v>1081.4100000000001</v>
      </c>
      <c r="M1811" s="4" t="s">
        <v>1255</v>
      </c>
      <c r="N1811" s="3">
        <v>0</v>
      </c>
    </row>
    <row r="1812" spans="1:14" x14ac:dyDescent="0.35">
      <c r="A1812">
        <v>2775</v>
      </c>
      <c r="B1812" s="4" t="s">
        <v>65</v>
      </c>
      <c r="C1812" s="4" t="s">
        <v>1114</v>
      </c>
      <c r="D1812" s="4" t="s">
        <v>22</v>
      </c>
      <c r="E1812">
        <v>5</v>
      </c>
      <c r="F1812" s="3">
        <v>2745.6718000000001</v>
      </c>
      <c r="G1812" s="2">
        <v>0.46</v>
      </c>
      <c r="H1812" s="3">
        <v>0</v>
      </c>
      <c r="I1812" s="1">
        <v>45504</v>
      </c>
      <c r="J1812" s="4" t="s">
        <v>9</v>
      </c>
      <c r="K1812" s="4" t="s">
        <v>12</v>
      </c>
      <c r="L1812" s="3">
        <v>1182.1199999999999</v>
      </c>
      <c r="M1812" s="4" t="s">
        <v>1255</v>
      </c>
      <c r="N1812" s="3">
        <v>13728.359</v>
      </c>
    </row>
    <row r="1813" spans="1:14" x14ac:dyDescent="0.35">
      <c r="A1813">
        <v>2776</v>
      </c>
      <c r="B1813" s="4" t="s">
        <v>687</v>
      </c>
      <c r="C1813" s="4" t="s">
        <v>1055</v>
      </c>
      <c r="D1813" s="4" t="s">
        <v>34</v>
      </c>
      <c r="E1813">
        <v>0</v>
      </c>
      <c r="F1813" s="3">
        <v>891.42</v>
      </c>
      <c r="G1813" s="2">
        <v>0.63610169491525403</v>
      </c>
      <c r="H1813" s="3">
        <v>0</v>
      </c>
      <c r="I1813" s="1">
        <v>45617</v>
      </c>
      <c r="J1813" s="4" t="s">
        <v>11</v>
      </c>
      <c r="K1813" s="4" t="s">
        <v>8</v>
      </c>
      <c r="L1813" s="3">
        <v>664.02</v>
      </c>
      <c r="M1813" s="4" t="s">
        <v>1255</v>
      </c>
      <c r="N1813" s="3">
        <v>0</v>
      </c>
    </row>
    <row r="1814" spans="1:14" x14ac:dyDescent="0.35">
      <c r="A1814">
        <v>2777</v>
      </c>
      <c r="B1814" s="4" t="s">
        <v>475</v>
      </c>
      <c r="C1814" s="4" t="s">
        <v>1044</v>
      </c>
      <c r="D1814" s="4" t="s">
        <v>22</v>
      </c>
      <c r="E1814">
        <v>0</v>
      </c>
      <c r="F1814" s="3">
        <v>2745.6718000000001</v>
      </c>
      <c r="G1814" s="2">
        <v>0.42</v>
      </c>
      <c r="H1814" s="3">
        <v>0</v>
      </c>
      <c r="I1814" s="1">
        <v>45638</v>
      </c>
      <c r="J1814" s="4" t="s">
        <v>20</v>
      </c>
      <c r="K1814" s="4" t="s">
        <v>12</v>
      </c>
      <c r="L1814" s="3">
        <v>1373.67</v>
      </c>
      <c r="M1814" s="4" t="s">
        <v>1255</v>
      </c>
      <c r="N1814" s="3">
        <v>0</v>
      </c>
    </row>
    <row r="1815" spans="1:14" hidden="1" x14ac:dyDescent="0.35">
      <c r="A1815">
        <v>2778</v>
      </c>
      <c r="B1815" s="4" t="s">
        <v>192</v>
      </c>
      <c r="C1815" s="4" t="s">
        <v>899</v>
      </c>
      <c r="D1815" s="4" t="s">
        <v>25</v>
      </c>
      <c r="E1815">
        <v>0</v>
      </c>
      <c r="F1815" s="3">
        <v>578.58000000000004</v>
      </c>
      <c r="G1815" s="2">
        <v>1.0900000000000001</v>
      </c>
      <c r="H1815" s="3">
        <v>0</v>
      </c>
      <c r="I1815" s="1">
        <v>45671</v>
      </c>
      <c r="J1815" s="4" t="s">
        <v>9</v>
      </c>
      <c r="K1815" s="4" t="s">
        <v>40</v>
      </c>
      <c r="L1815" s="3">
        <v>414.18</v>
      </c>
      <c r="M1815" s="4" t="s">
        <v>1255</v>
      </c>
      <c r="N1815" s="3">
        <v>0</v>
      </c>
    </row>
    <row r="1816" spans="1:14" hidden="1" x14ac:dyDescent="0.35">
      <c r="A1816">
        <v>2779</v>
      </c>
      <c r="B1816" s="4" t="s">
        <v>189</v>
      </c>
      <c r="C1816" s="4" t="s">
        <v>830</v>
      </c>
      <c r="D1816" s="4" t="s">
        <v>15</v>
      </c>
      <c r="E1816">
        <v>0</v>
      </c>
      <c r="F1816" s="3">
        <v>2750.7941000000001</v>
      </c>
      <c r="G1816" s="2">
        <v>0.4</v>
      </c>
      <c r="H1816" s="3">
        <v>0</v>
      </c>
      <c r="I1816" s="1">
        <v>45774</v>
      </c>
      <c r="J1816" s="4" t="s">
        <v>20</v>
      </c>
      <c r="K1816" s="4" t="s">
        <v>40</v>
      </c>
      <c r="L1816" s="3">
        <v>2573.85</v>
      </c>
      <c r="M1816" s="4" t="s">
        <v>1255</v>
      </c>
      <c r="N1816" s="3">
        <v>0</v>
      </c>
    </row>
    <row r="1817" spans="1:14" x14ac:dyDescent="0.35">
      <c r="A1817">
        <v>2780</v>
      </c>
      <c r="B1817" s="4" t="s">
        <v>1115</v>
      </c>
      <c r="C1817" s="4" t="s">
        <v>205</v>
      </c>
      <c r="D1817" s="4" t="s">
        <v>17</v>
      </c>
      <c r="E1817">
        <v>0</v>
      </c>
      <c r="F1817" s="3">
        <v>2534.9</v>
      </c>
      <c r="G1817" s="2">
        <v>0.63609442060085797</v>
      </c>
      <c r="H1817" s="3">
        <v>0</v>
      </c>
      <c r="I1817" s="1">
        <v>45781</v>
      </c>
      <c r="J1817" s="4" t="s">
        <v>9</v>
      </c>
      <c r="K1817" s="4" t="s">
        <v>12</v>
      </c>
      <c r="L1817" s="3">
        <v>1529.17</v>
      </c>
      <c r="M1817" s="4" t="s">
        <v>1255</v>
      </c>
      <c r="N1817" s="3">
        <v>0</v>
      </c>
    </row>
    <row r="1818" spans="1:14" x14ac:dyDescent="0.35">
      <c r="A1818">
        <v>2781</v>
      </c>
      <c r="B1818" s="4" t="s">
        <v>1026</v>
      </c>
      <c r="C1818" s="4" t="s">
        <v>348</v>
      </c>
      <c r="D1818" s="4" t="s">
        <v>21</v>
      </c>
      <c r="E1818">
        <v>0</v>
      </c>
      <c r="F1818" s="3">
        <v>2756.8112999999998</v>
      </c>
      <c r="G1818" s="2">
        <v>1.07</v>
      </c>
      <c r="H1818" s="3">
        <v>0</v>
      </c>
      <c r="I1818" s="1">
        <v>45780</v>
      </c>
      <c r="J1818" s="4" t="s">
        <v>9</v>
      </c>
      <c r="K1818" s="4" t="s">
        <v>8</v>
      </c>
      <c r="L1818" s="3">
        <v>1947.29</v>
      </c>
      <c r="M1818" s="4" t="s">
        <v>1255</v>
      </c>
      <c r="N1818" s="3">
        <v>0</v>
      </c>
    </row>
    <row r="1819" spans="1:14" hidden="1" x14ac:dyDescent="0.35">
      <c r="A1819">
        <v>2782</v>
      </c>
      <c r="B1819" s="4" t="s">
        <v>475</v>
      </c>
      <c r="C1819" s="4" t="s">
        <v>374</v>
      </c>
      <c r="D1819" s="4" t="s">
        <v>32</v>
      </c>
      <c r="E1819">
        <v>0</v>
      </c>
      <c r="F1819" s="3">
        <v>449.09</v>
      </c>
      <c r="G1819" s="2">
        <v>0.63422413793103405</v>
      </c>
      <c r="H1819" s="3">
        <v>0</v>
      </c>
      <c r="I1819" s="1">
        <v>45780</v>
      </c>
      <c r="J1819" s="4" t="s">
        <v>11</v>
      </c>
      <c r="K1819" s="4" t="s">
        <v>40</v>
      </c>
      <c r="L1819" s="3">
        <v>2797.37</v>
      </c>
      <c r="M1819" s="4" t="s">
        <v>1255</v>
      </c>
      <c r="N1819" s="3">
        <v>0</v>
      </c>
    </row>
    <row r="1820" spans="1:14" x14ac:dyDescent="0.35">
      <c r="A1820">
        <v>2783</v>
      </c>
      <c r="B1820" s="4" t="s">
        <v>923</v>
      </c>
      <c r="C1820" s="4" t="s">
        <v>444</v>
      </c>
      <c r="D1820" s="4" t="s">
        <v>14</v>
      </c>
      <c r="E1820">
        <v>0</v>
      </c>
      <c r="F1820" s="3">
        <v>2757.4277000000002</v>
      </c>
      <c r="G1820" s="2">
        <v>0.63422413793103405</v>
      </c>
      <c r="H1820" s="3">
        <v>0</v>
      </c>
      <c r="I1820" s="1">
        <v>45547</v>
      </c>
      <c r="J1820" s="4" t="s">
        <v>11</v>
      </c>
      <c r="K1820" s="4" t="s">
        <v>8</v>
      </c>
      <c r="L1820" s="3">
        <v>45.06</v>
      </c>
      <c r="M1820" s="4" t="s">
        <v>1255</v>
      </c>
      <c r="N1820" s="3">
        <v>0</v>
      </c>
    </row>
    <row r="1821" spans="1:14" x14ac:dyDescent="0.35">
      <c r="A1821">
        <v>2784</v>
      </c>
      <c r="B1821" s="4" t="s">
        <v>228</v>
      </c>
      <c r="C1821" s="4" t="s">
        <v>150</v>
      </c>
      <c r="D1821" s="4" t="s">
        <v>27</v>
      </c>
      <c r="E1821">
        <v>0</v>
      </c>
      <c r="F1821" s="3">
        <v>2763.8575999999998</v>
      </c>
      <c r="G1821" s="2">
        <v>0.63422413793103405</v>
      </c>
      <c r="H1821" s="3">
        <v>0</v>
      </c>
      <c r="I1821" s="1">
        <v>45660</v>
      </c>
      <c r="J1821" s="4" t="s">
        <v>20</v>
      </c>
      <c r="K1821" s="4" t="s">
        <v>8</v>
      </c>
      <c r="L1821" s="3">
        <v>2921.6</v>
      </c>
      <c r="M1821" s="4" t="s">
        <v>1255</v>
      </c>
      <c r="N1821" s="3">
        <v>0</v>
      </c>
    </row>
    <row r="1822" spans="1:14" hidden="1" x14ac:dyDescent="0.35">
      <c r="A1822">
        <v>2785</v>
      </c>
      <c r="B1822" s="4" t="s">
        <v>328</v>
      </c>
      <c r="C1822" s="4" t="s">
        <v>871</v>
      </c>
      <c r="D1822" s="4" t="s">
        <v>22</v>
      </c>
      <c r="E1822">
        <v>0</v>
      </c>
      <c r="F1822" s="3">
        <v>2763.8575999999998</v>
      </c>
      <c r="G1822" s="2">
        <v>0.63422413793103405</v>
      </c>
      <c r="H1822" s="3">
        <v>0</v>
      </c>
      <c r="I1822" s="1">
        <v>45569</v>
      </c>
      <c r="J1822" s="4" t="s">
        <v>11</v>
      </c>
      <c r="K1822" s="4" t="s">
        <v>40</v>
      </c>
      <c r="L1822" s="3">
        <v>385.61</v>
      </c>
      <c r="M1822" s="4" t="s">
        <v>1255</v>
      </c>
      <c r="N1822" s="3">
        <v>0</v>
      </c>
    </row>
    <row r="1823" spans="1:14" hidden="1" x14ac:dyDescent="0.35">
      <c r="A1823">
        <v>2787</v>
      </c>
      <c r="B1823" s="4" t="s">
        <v>1116</v>
      </c>
      <c r="C1823" s="4" t="s">
        <v>1078</v>
      </c>
      <c r="D1823" s="4" t="s">
        <v>35</v>
      </c>
      <c r="E1823">
        <v>0</v>
      </c>
      <c r="F1823" s="3">
        <v>2763.8575999999998</v>
      </c>
      <c r="G1823" s="2">
        <v>0.63683982683982698</v>
      </c>
      <c r="H1823" s="3">
        <v>0</v>
      </c>
      <c r="I1823" s="1">
        <v>45561</v>
      </c>
      <c r="J1823" s="4" t="s">
        <v>23</v>
      </c>
      <c r="K1823" s="4" t="s">
        <v>40</v>
      </c>
      <c r="L1823" s="3">
        <v>1459.62</v>
      </c>
      <c r="M1823" s="4" t="s">
        <v>1255</v>
      </c>
      <c r="N1823" s="3">
        <v>0</v>
      </c>
    </row>
    <row r="1824" spans="1:14" x14ac:dyDescent="0.35">
      <c r="A1824">
        <v>2788</v>
      </c>
      <c r="B1824" s="4" t="s">
        <v>1117</v>
      </c>
      <c r="C1824" s="4" t="s">
        <v>1118</v>
      </c>
      <c r="D1824" s="4" t="s">
        <v>19</v>
      </c>
      <c r="E1824">
        <v>-1</v>
      </c>
      <c r="F1824" s="3">
        <v>3267.28</v>
      </c>
      <c r="G1824" s="2">
        <v>0.63683982683982698</v>
      </c>
      <c r="H1824" s="3">
        <v>0</v>
      </c>
      <c r="I1824" s="1">
        <v>45742</v>
      </c>
      <c r="J1824" s="4" t="s">
        <v>18</v>
      </c>
      <c r="K1824" s="4" t="s">
        <v>12</v>
      </c>
      <c r="L1824" s="3">
        <v>81.99</v>
      </c>
      <c r="M1824" s="4" t="s">
        <v>1255</v>
      </c>
      <c r="N1824" s="3">
        <v>-3267.28</v>
      </c>
    </row>
    <row r="1825" spans="1:14" x14ac:dyDescent="0.35">
      <c r="A1825">
        <v>2789</v>
      </c>
      <c r="B1825" s="4" t="s">
        <v>1119</v>
      </c>
      <c r="C1825" s="4" t="s">
        <v>976</v>
      </c>
      <c r="D1825" s="4" t="s">
        <v>14</v>
      </c>
      <c r="E1825">
        <v>3</v>
      </c>
      <c r="F1825" s="3">
        <v>3735.56</v>
      </c>
      <c r="G1825" s="2">
        <v>0.63683982683982698</v>
      </c>
      <c r="H1825" s="3">
        <v>0</v>
      </c>
      <c r="I1825" s="1">
        <v>45742</v>
      </c>
      <c r="J1825" s="4" t="s">
        <v>20</v>
      </c>
      <c r="K1825" s="4" t="s">
        <v>8</v>
      </c>
      <c r="L1825" s="3">
        <v>-690.11</v>
      </c>
      <c r="M1825" s="4" t="s">
        <v>1255</v>
      </c>
      <c r="N1825" s="3">
        <v>11206.68</v>
      </c>
    </row>
    <row r="1826" spans="1:14" x14ac:dyDescent="0.35">
      <c r="A1826">
        <v>2790</v>
      </c>
      <c r="B1826" s="4" t="s">
        <v>274</v>
      </c>
      <c r="C1826" s="4" t="s">
        <v>78</v>
      </c>
      <c r="D1826" s="4" t="s">
        <v>16</v>
      </c>
      <c r="E1826">
        <v>3</v>
      </c>
      <c r="F1826" s="3">
        <v>2675.27</v>
      </c>
      <c r="G1826" s="2">
        <v>0.41</v>
      </c>
      <c r="H1826" s="3">
        <v>4735.2299999999996</v>
      </c>
      <c r="I1826" s="1">
        <v>45605</v>
      </c>
      <c r="J1826" s="4" t="s">
        <v>7</v>
      </c>
      <c r="K1826" s="4" t="s">
        <v>12</v>
      </c>
      <c r="L1826" s="3">
        <v>1960.51</v>
      </c>
      <c r="M1826" s="4" t="s">
        <v>1256</v>
      </c>
      <c r="N1826" s="3">
        <v>8025.81</v>
      </c>
    </row>
    <row r="1827" spans="1:14" hidden="1" x14ac:dyDescent="0.35">
      <c r="A1827">
        <v>2791</v>
      </c>
      <c r="B1827" s="4" t="s">
        <v>141</v>
      </c>
      <c r="C1827" s="4" t="s">
        <v>50</v>
      </c>
      <c r="D1827" s="4" t="s">
        <v>26</v>
      </c>
      <c r="E1827">
        <v>3</v>
      </c>
      <c r="F1827" s="3">
        <v>2759.7256000000002</v>
      </c>
      <c r="G1827" s="2">
        <v>0.63782608695652199</v>
      </c>
      <c r="H1827" s="3">
        <v>0</v>
      </c>
      <c r="I1827" s="1">
        <v>45604</v>
      </c>
      <c r="J1827" s="4" t="s">
        <v>20</v>
      </c>
      <c r="K1827" s="4" t="s">
        <v>40</v>
      </c>
      <c r="L1827" s="3">
        <v>-166.3</v>
      </c>
      <c r="M1827" s="4" t="s">
        <v>1255</v>
      </c>
      <c r="N1827" s="3">
        <v>8279.1767999999993</v>
      </c>
    </row>
    <row r="1828" spans="1:14" x14ac:dyDescent="0.35">
      <c r="A1828">
        <v>2792</v>
      </c>
      <c r="B1828" s="4" t="s">
        <v>185</v>
      </c>
      <c r="C1828" s="4" t="s">
        <v>968</v>
      </c>
      <c r="D1828" s="4" t="s">
        <v>28</v>
      </c>
      <c r="E1828">
        <v>0</v>
      </c>
      <c r="F1828" s="3">
        <v>1039.1500000000001</v>
      </c>
      <c r="G1828" s="2">
        <v>0.63782608695652199</v>
      </c>
      <c r="H1828" s="3">
        <v>0</v>
      </c>
      <c r="I1828" s="1">
        <v>45604</v>
      </c>
      <c r="J1828" s="4" t="s">
        <v>20</v>
      </c>
      <c r="K1828" s="4" t="s">
        <v>8</v>
      </c>
      <c r="L1828" s="3">
        <v>2620.13</v>
      </c>
      <c r="M1828" s="4" t="s">
        <v>1255</v>
      </c>
      <c r="N1828" s="3">
        <v>0</v>
      </c>
    </row>
    <row r="1829" spans="1:14" x14ac:dyDescent="0.35">
      <c r="A1829">
        <v>2793</v>
      </c>
      <c r="B1829" s="4" t="s">
        <v>388</v>
      </c>
      <c r="C1829" s="4" t="s">
        <v>613</v>
      </c>
      <c r="D1829" s="4" t="s">
        <v>14</v>
      </c>
      <c r="E1829">
        <v>-2</v>
      </c>
      <c r="F1829" s="3">
        <v>4836.47</v>
      </c>
      <c r="G1829" s="2">
        <v>0.63782608695652199</v>
      </c>
      <c r="H1829" s="3">
        <v>0</v>
      </c>
      <c r="I1829" s="1">
        <v>45735</v>
      </c>
      <c r="J1829" s="4" t="s">
        <v>9</v>
      </c>
      <c r="K1829" s="4" t="s">
        <v>8</v>
      </c>
      <c r="L1829" s="3">
        <v>-608.29999999999995</v>
      </c>
      <c r="M1829" s="4" t="s">
        <v>1255</v>
      </c>
      <c r="N1829" s="3">
        <v>-9672.94</v>
      </c>
    </row>
    <row r="1830" spans="1:14" x14ac:dyDescent="0.35">
      <c r="A1830">
        <v>2794</v>
      </c>
      <c r="B1830" s="4" t="s">
        <v>212</v>
      </c>
      <c r="C1830" s="4" t="s">
        <v>909</v>
      </c>
      <c r="D1830" s="4" t="s">
        <v>31</v>
      </c>
      <c r="E1830">
        <v>0</v>
      </c>
      <c r="F1830" s="3">
        <v>2764.8101999999999</v>
      </c>
      <c r="G1830" s="2">
        <v>0.63782608695652199</v>
      </c>
      <c r="H1830" s="3">
        <v>0</v>
      </c>
      <c r="I1830" s="1">
        <v>45685</v>
      </c>
      <c r="J1830" s="4" t="s">
        <v>18</v>
      </c>
      <c r="K1830" s="4" t="s">
        <v>8</v>
      </c>
      <c r="L1830" s="3">
        <v>2860.66</v>
      </c>
      <c r="M1830" s="4" t="s">
        <v>1255</v>
      </c>
      <c r="N1830" s="3">
        <v>0</v>
      </c>
    </row>
    <row r="1831" spans="1:14" x14ac:dyDescent="0.35">
      <c r="A1831">
        <v>2795</v>
      </c>
      <c r="B1831" s="4" t="s">
        <v>278</v>
      </c>
      <c r="C1831" s="4" t="s">
        <v>82</v>
      </c>
      <c r="D1831" s="4" t="s">
        <v>16</v>
      </c>
      <c r="E1831">
        <v>0</v>
      </c>
      <c r="F1831" s="3">
        <v>2758.9580999999998</v>
      </c>
      <c r="G1831" s="2">
        <v>0.63782608695652199</v>
      </c>
      <c r="H1831" s="3">
        <v>0</v>
      </c>
      <c r="I1831" s="1">
        <v>45685</v>
      </c>
      <c r="J1831" s="4" t="s">
        <v>11</v>
      </c>
      <c r="K1831" s="4" t="s">
        <v>8</v>
      </c>
      <c r="L1831" s="3">
        <v>984.22</v>
      </c>
      <c r="M1831" s="4" t="s">
        <v>1255</v>
      </c>
      <c r="N1831" s="3">
        <v>0</v>
      </c>
    </row>
    <row r="1832" spans="1:14" hidden="1" x14ac:dyDescent="0.35">
      <c r="A1832">
        <v>2796</v>
      </c>
      <c r="B1832" s="4" t="s">
        <v>214</v>
      </c>
      <c r="C1832" s="4" t="s">
        <v>1024</v>
      </c>
      <c r="D1832" s="4" t="s">
        <v>10</v>
      </c>
      <c r="E1832">
        <v>3</v>
      </c>
      <c r="F1832" s="3">
        <v>2758.9580999999998</v>
      </c>
      <c r="G1832" s="2">
        <v>0.63782608695652199</v>
      </c>
      <c r="H1832" s="3">
        <v>0</v>
      </c>
      <c r="I1832" s="1">
        <v>45685</v>
      </c>
      <c r="J1832" s="4" t="s">
        <v>7</v>
      </c>
      <c r="K1832" s="4" t="s">
        <v>40</v>
      </c>
      <c r="L1832" s="3">
        <v>2.81</v>
      </c>
      <c r="M1832" s="4" t="s">
        <v>1255</v>
      </c>
      <c r="N1832" s="3">
        <v>8276.8742999999995</v>
      </c>
    </row>
    <row r="1833" spans="1:14" x14ac:dyDescent="0.35">
      <c r="A1833">
        <v>2797</v>
      </c>
      <c r="B1833" s="4" t="s">
        <v>1120</v>
      </c>
      <c r="C1833" s="4" t="s">
        <v>1121</v>
      </c>
      <c r="D1833" s="4" t="s">
        <v>14</v>
      </c>
      <c r="E1833">
        <v>-1</v>
      </c>
      <c r="F1833" s="3">
        <v>1257.81</v>
      </c>
      <c r="G1833" s="2">
        <v>0.63782608695652199</v>
      </c>
      <c r="H1833" s="3">
        <v>0</v>
      </c>
      <c r="I1833" s="1">
        <v>45796</v>
      </c>
      <c r="J1833" s="4" t="s">
        <v>9</v>
      </c>
      <c r="K1833" s="4" t="s">
        <v>8</v>
      </c>
      <c r="L1833" s="3">
        <v>2957.6</v>
      </c>
      <c r="M1833" s="4" t="s">
        <v>1255</v>
      </c>
      <c r="N1833" s="3">
        <v>-1257.81</v>
      </c>
    </row>
    <row r="1834" spans="1:14" x14ac:dyDescent="0.35">
      <c r="A1834">
        <v>2798</v>
      </c>
      <c r="B1834" s="4" t="s">
        <v>575</v>
      </c>
      <c r="C1834" s="4" t="s">
        <v>822</v>
      </c>
      <c r="D1834" s="4" t="s">
        <v>25</v>
      </c>
      <c r="E1834">
        <v>0</v>
      </c>
      <c r="F1834" s="3">
        <v>2758.9580999999998</v>
      </c>
      <c r="G1834" s="2">
        <v>0.63782608695652199</v>
      </c>
      <c r="H1834" s="3">
        <v>0</v>
      </c>
      <c r="I1834" s="1">
        <v>45731</v>
      </c>
      <c r="J1834" s="4" t="s">
        <v>20</v>
      </c>
      <c r="K1834" s="4" t="s">
        <v>8</v>
      </c>
      <c r="L1834" s="3">
        <v>386.97</v>
      </c>
      <c r="M1834" s="4" t="s">
        <v>1255</v>
      </c>
      <c r="N1834" s="3">
        <v>0</v>
      </c>
    </row>
    <row r="1835" spans="1:14" hidden="1" x14ac:dyDescent="0.35">
      <c r="A1835">
        <v>2799</v>
      </c>
      <c r="B1835" s="4" t="s">
        <v>60</v>
      </c>
      <c r="C1835" s="4" t="s">
        <v>391</v>
      </c>
      <c r="D1835" s="4" t="s">
        <v>26</v>
      </c>
      <c r="E1835">
        <v>0</v>
      </c>
      <c r="F1835" s="3">
        <v>2763.2105999999999</v>
      </c>
      <c r="G1835" s="2">
        <v>0.63782608695652199</v>
      </c>
      <c r="H1835" s="3">
        <v>0</v>
      </c>
      <c r="I1835" s="1">
        <v>45735</v>
      </c>
      <c r="J1835" s="4" t="s">
        <v>20</v>
      </c>
      <c r="K1835" s="4" t="s">
        <v>40</v>
      </c>
      <c r="L1835" s="3">
        <v>683.04</v>
      </c>
      <c r="M1835" s="4" t="s">
        <v>1255</v>
      </c>
      <c r="N1835" s="3">
        <v>0</v>
      </c>
    </row>
    <row r="1836" spans="1:14" hidden="1" x14ac:dyDescent="0.35">
      <c r="A1836">
        <v>2800</v>
      </c>
      <c r="B1836" s="4" t="s">
        <v>125</v>
      </c>
      <c r="C1836" s="4" t="s">
        <v>618</v>
      </c>
      <c r="D1836" s="4" t="s">
        <v>16</v>
      </c>
      <c r="E1836">
        <v>0</v>
      </c>
      <c r="F1836" s="3">
        <v>3410.38</v>
      </c>
      <c r="G1836" s="2">
        <v>0.63782608695652199</v>
      </c>
      <c r="H1836" s="3">
        <v>0</v>
      </c>
      <c r="I1836" s="1">
        <v>45539</v>
      </c>
      <c r="J1836" s="4" t="s">
        <v>23</v>
      </c>
      <c r="K1836" s="4" t="s">
        <v>40</v>
      </c>
      <c r="L1836" s="3">
        <v>1733.81</v>
      </c>
      <c r="M1836" s="4" t="s">
        <v>1255</v>
      </c>
      <c r="N1836" s="3">
        <v>0</v>
      </c>
    </row>
    <row r="1837" spans="1:14" hidden="1" x14ac:dyDescent="0.35">
      <c r="A1837">
        <v>2801</v>
      </c>
      <c r="B1837" s="4" t="s">
        <v>224</v>
      </c>
      <c r="C1837" s="4" t="s">
        <v>494</v>
      </c>
      <c r="D1837" s="4" t="s">
        <v>33</v>
      </c>
      <c r="E1837">
        <v>0</v>
      </c>
      <c r="F1837" s="3">
        <v>1870.82</v>
      </c>
      <c r="G1837" s="2">
        <v>0.63782608695652199</v>
      </c>
      <c r="H1837" s="3">
        <v>0</v>
      </c>
      <c r="I1837" s="1">
        <v>45539</v>
      </c>
      <c r="J1837" s="4" t="s">
        <v>9</v>
      </c>
      <c r="K1837" s="4" t="s">
        <v>40</v>
      </c>
      <c r="L1837" s="3">
        <v>-45.08</v>
      </c>
      <c r="M1837" s="4" t="s">
        <v>1255</v>
      </c>
      <c r="N1837" s="3">
        <v>0</v>
      </c>
    </row>
    <row r="1838" spans="1:14" hidden="1" x14ac:dyDescent="0.35">
      <c r="A1838">
        <v>2802</v>
      </c>
      <c r="B1838" s="4" t="s">
        <v>379</v>
      </c>
      <c r="C1838" s="4" t="s">
        <v>531</v>
      </c>
      <c r="D1838" s="4" t="s">
        <v>22</v>
      </c>
      <c r="E1838">
        <v>-1</v>
      </c>
      <c r="F1838" s="3">
        <v>2761.3721</v>
      </c>
      <c r="G1838" s="2">
        <v>0.63782608695652199</v>
      </c>
      <c r="H1838" s="3">
        <v>0</v>
      </c>
      <c r="I1838" s="1">
        <v>45539</v>
      </c>
      <c r="J1838" s="4" t="s">
        <v>18</v>
      </c>
      <c r="K1838" s="4" t="s">
        <v>40</v>
      </c>
      <c r="L1838" s="3">
        <v>365.63</v>
      </c>
      <c r="M1838" s="4" t="s">
        <v>1255</v>
      </c>
      <c r="N1838" s="3">
        <v>-2761.3721</v>
      </c>
    </row>
    <row r="1839" spans="1:14" hidden="1" x14ac:dyDescent="0.35">
      <c r="A1839">
        <v>2803</v>
      </c>
      <c r="B1839" s="4" t="s">
        <v>200</v>
      </c>
      <c r="C1839" s="4" t="s">
        <v>411</v>
      </c>
      <c r="D1839" s="4" t="s">
        <v>15</v>
      </c>
      <c r="E1839">
        <v>5</v>
      </c>
      <c r="F1839" s="3">
        <v>4418.75</v>
      </c>
      <c r="G1839" s="2">
        <v>0.63782608695652199</v>
      </c>
      <c r="H1839" s="3">
        <v>0</v>
      </c>
      <c r="I1839" s="1">
        <v>45151</v>
      </c>
      <c r="J1839" s="4" t="s">
        <v>18</v>
      </c>
      <c r="K1839" s="4" t="s">
        <v>40</v>
      </c>
      <c r="L1839" s="3">
        <v>693.65</v>
      </c>
      <c r="M1839" s="4" t="s">
        <v>1255</v>
      </c>
      <c r="N1839" s="3">
        <v>22093.75</v>
      </c>
    </row>
    <row r="1840" spans="1:14" x14ac:dyDescent="0.35">
      <c r="A1840">
        <v>2804</v>
      </c>
      <c r="B1840" s="4" t="s">
        <v>143</v>
      </c>
      <c r="C1840" s="4" t="s">
        <v>205</v>
      </c>
      <c r="D1840" s="4" t="s">
        <v>19</v>
      </c>
      <c r="E1840">
        <v>6</v>
      </c>
      <c r="F1840" s="3">
        <v>4784</v>
      </c>
      <c r="G1840" s="2">
        <v>0.63782608695652199</v>
      </c>
      <c r="H1840" s="3">
        <v>0</v>
      </c>
      <c r="I1840" s="1">
        <v>45732</v>
      </c>
      <c r="J1840" s="4" t="s">
        <v>11</v>
      </c>
      <c r="K1840" s="4" t="s">
        <v>12</v>
      </c>
      <c r="L1840" s="3">
        <v>2969.42</v>
      </c>
      <c r="M1840" s="4" t="s">
        <v>1255</v>
      </c>
      <c r="N1840" s="3">
        <v>28704</v>
      </c>
    </row>
    <row r="1841" spans="1:14" x14ac:dyDescent="0.35">
      <c r="A1841">
        <v>2805</v>
      </c>
      <c r="B1841" s="4" t="s">
        <v>725</v>
      </c>
      <c r="C1841" s="4" t="s">
        <v>769</v>
      </c>
      <c r="D1841" s="4" t="s">
        <v>38</v>
      </c>
      <c r="E1841">
        <v>0</v>
      </c>
      <c r="F1841" s="3">
        <v>4930.08</v>
      </c>
      <c r="G1841" s="2">
        <v>0.92</v>
      </c>
      <c r="H1841" s="3">
        <v>0</v>
      </c>
      <c r="I1841" s="1">
        <v>45801</v>
      </c>
      <c r="J1841" s="4" t="s">
        <v>18</v>
      </c>
      <c r="K1841" s="4" t="s">
        <v>12</v>
      </c>
      <c r="L1841" s="3">
        <v>623.04999999999995</v>
      </c>
      <c r="M1841" s="4" t="s">
        <v>1255</v>
      </c>
      <c r="N1841" s="3">
        <v>0</v>
      </c>
    </row>
    <row r="1842" spans="1:14" hidden="1" x14ac:dyDescent="0.35">
      <c r="A1842">
        <v>2806</v>
      </c>
      <c r="B1842" s="4" t="s">
        <v>69</v>
      </c>
      <c r="C1842" s="4" t="s">
        <v>176</v>
      </c>
      <c r="D1842" s="4" t="s">
        <v>16</v>
      </c>
      <c r="E1842">
        <v>0</v>
      </c>
      <c r="F1842" s="3">
        <v>2753.3793999999998</v>
      </c>
      <c r="G1842" s="2">
        <v>0.63659388646288195</v>
      </c>
      <c r="H1842" s="3">
        <v>0</v>
      </c>
      <c r="I1842" s="1">
        <v>45569</v>
      </c>
      <c r="J1842" s="4" t="s">
        <v>18</v>
      </c>
      <c r="K1842" s="4" t="s">
        <v>40</v>
      </c>
      <c r="L1842" s="3">
        <v>2658.95</v>
      </c>
      <c r="M1842" s="4" t="s">
        <v>1255</v>
      </c>
      <c r="N1842" s="3">
        <v>0</v>
      </c>
    </row>
    <row r="1843" spans="1:14" x14ac:dyDescent="0.35">
      <c r="A1843">
        <v>2807</v>
      </c>
      <c r="B1843" s="4" t="s">
        <v>294</v>
      </c>
      <c r="C1843" s="4" t="s">
        <v>1122</v>
      </c>
      <c r="D1843" s="4" t="s">
        <v>6</v>
      </c>
      <c r="E1843">
        <v>0</v>
      </c>
      <c r="F1843" s="3">
        <v>3064.28</v>
      </c>
      <c r="G1843" s="2">
        <v>1.04</v>
      </c>
      <c r="H1843" s="3">
        <v>0</v>
      </c>
      <c r="I1843" s="1">
        <v>45516</v>
      </c>
      <c r="J1843" s="4" t="s">
        <v>23</v>
      </c>
      <c r="K1843" s="4" t="s">
        <v>12</v>
      </c>
      <c r="L1843" s="3">
        <v>2540.5300000000002</v>
      </c>
      <c r="M1843" s="4" t="s">
        <v>1255</v>
      </c>
      <c r="N1843" s="3">
        <v>0</v>
      </c>
    </row>
    <row r="1844" spans="1:14" x14ac:dyDescent="0.35">
      <c r="A1844">
        <v>2808</v>
      </c>
      <c r="B1844" s="4" t="s">
        <v>208</v>
      </c>
      <c r="C1844" s="4" t="s">
        <v>1053</v>
      </c>
      <c r="D1844" s="4" t="s">
        <v>38</v>
      </c>
      <c r="E1844">
        <v>0</v>
      </c>
      <c r="F1844" s="3">
        <v>4234.7700000000004</v>
      </c>
      <c r="G1844" s="2">
        <v>0.63482456140350896</v>
      </c>
      <c r="H1844" s="3">
        <v>0</v>
      </c>
      <c r="I1844" s="1">
        <v>45516</v>
      </c>
      <c r="J1844" s="4" t="s">
        <v>7</v>
      </c>
      <c r="K1844" s="4" t="s">
        <v>8</v>
      </c>
      <c r="L1844" s="3">
        <v>-664.44</v>
      </c>
      <c r="M1844" s="4" t="s">
        <v>1255</v>
      </c>
      <c r="N1844" s="3">
        <v>0</v>
      </c>
    </row>
    <row r="1845" spans="1:14" x14ac:dyDescent="0.35">
      <c r="A1845">
        <v>2810</v>
      </c>
      <c r="B1845" s="4" t="s">
        <v>1123</v>
      </c>
      <c r="C1845" s="4" t="s">
        <v>505</v>
      </c>
      <c r="D1845" s="4" t="s">
        <v>16</v>
      </c>
      <c r="E1845">
        <v>0</v>
      </c>
      <c r="F1845" s="3">
        <v>2038.37</v>
      </c>
      <c r="G1845" s="2">
        <v>1.07</v>
      </c>
      <c r="H1845" s="3">
        <v>0</v>
      </c>
      <c r="I1845" s="1">
        <v>45516</v>
      </c>
      <c r="J1845" s="4" t="s">
        <v>11</v>
      </c>
      <c r="K1845" s="4" t="s">
        <v>12</v>
      </c>
      <c r="L1845" s="3">
        <v>1762.96</v>
      </c>
      <c r="M1845" s="4" t="s">
        <v>1255</v>
      </c>
      <c r="N1845" s="3">
        <v>0</v>
      </c>
    </row>
    <row r="1846" spans="1:14" x14ac:dyDescent="0.35">
      <c r="A1846">
        <v>2811</v>
      </c>
      <c r="B1846" s="4" t="s">
        <v>224</v>
      </c>
      <c r="C1846" s="4" t="s">
        <v>104</v>
      </c>
      <c r="D1846" s="4" t="s">
        <v>31</v>
      </c>
      <c r="E1846">
        <v>0</v>
      </c>
      <c r="F1846" s="3">
        <v>4426.1499999999996</v>
      </c>
      <c r="G1846" s="2">
        <v>0.63290748898678395</v>
      </c>
      <c r="H1846" s="3">
        <v>0</v>
      </c>
      <c r="I1846" s="1">
        <v>45657</v>
      </c>
      <c r="J1846" s="4" t="s">
        <v>7</v>
      </c>
      <c r="K1846" s="4" t="s">
        <v>12</v>
      </c>
      <c r="L1846" s="3">
        <v>1639.67</v>
      </c>
      <c r="M1846" s="4" t="s">
        <v>1255</v>
      </c>
      <c r="N1846" s="3">
        <v>0</v>
      </c>
    </row>
    <row r="1847" spans="1:14" x14ac:dyDescent="0.35">
      <c r="A1847">
        <v>2812</v>
      </c>
      <c r="B1847" s="4" t="s">
        <v>687</v>
      </c>
      <c r="C1847" s="4" t="s">
        <v>374</v>
      </c>
      <c r="D1847" s="4" t="s">
        <v>28</v>
      </c>
      <c r="E1847">
        <v>0</v>
      </c>
      <c r="F1847" s="3">
        <v>2743.9475000000002</v>
      </c>
      <c r="G1847" s="2">
        <v>0.63290748898678395</v>
      </c>
      <c r="H1847" s="3">
        <v>0</v>
      </c>
      <c r="I1847" s="1">
        <v>45727</v>
      </c>
      <c r="J1847" s="4" t="s">
        <v>20</v>
      </c>
      <c r="K1847" s="4" t="s">
        <v>12</v>
      </c>
      <c r="L1847" s="3">
        <v>-662.74</v>
      </c>
      <c r="M1847" s="4" t="s">
        <v>1255</v>
      </c>
      <c r="N1847" s="3">
        <v>0</v>
      </c>
    </row>
    <row r="1848" spans="1:14" hidden="1" x14ac:dyDescent="0.35">
      <c r="A1848">
        <v>2813</v>
      </c>
      <c r="B1848" s="4" t="s">
        <v>317</v>
      </c>
      <c r="C1848" s="4" t="s">
        <v>374</v>
      </c>
      <c r="D1848" s="4" t="s">
        <v>14</v>
      </c>
      <c r="E1848">
        <v>0</v>
      </c>
      <c r="F1848" s="3">
        <v>2739.0574000000001</v>
      </c>
      <c r="G1848" s="2">
        <v>0.41</v>
      </c>
      <c r="H1848" s="3">
        <v>0</v>
      </c>
      <c r="I1848" s="1">
        <v>45565</v>
      </c>
      <c r="J1848" s="4" t="s">
        <v>9</v>
      </c>
      <c r="K1848" s="4" t="s">
        <v>40</v>
      </c>
      <c r="L1848" s="3">
        <v>-756.66</v>
      </c>
      <c r="M1848" s="4" t="s">
        <v>1255</v>
      </c>
      <c r="N1848" s="3">
        <v>0</v>
      </c>
    </row>
    <row r="1849" spans="1:14" x14ac:dyDescent="0.35">
      <c r="A1849">
        <v>2814</v>
      </c>
      <c r="B1849" s="4" t="s">
        <v>800</v>
      </c>
      <c r="C1849" s="4" t="s">
        <v>450</v>
      </c>
      <c r="D1849" s="4" t="s">
        <v>16</v>
      </c>
      <c r="E1849">
        <v>0</v>
      </c>
      <c r="F1849" s="3">
        <v>1888.27</v>
      </c>
      <c r="G1849" s="2">
        <v>0.63389380530973505</v>
      </c>
      <c r="H1849" s="3">
        <v>0</v>
      </c>
      <c r="I1849" s="1">
        <v>45682</v>
      </c>
      <c r="J1849" s="4" t="s">
        <v>11</v>
      </c>
      <c r="K1849" s="4" t="s">
        <v>12</v>
      </c>
      <c r="L1849" s="3">
        <v>2441.5100000000002</v>
      </c>
      <c r="M1849" s="4" t="s">
        <v>1255</v>
      </c>
      <c r="N1849" s="3">
        <v>0</v>
      </c>
    </row>
    <row r="1850" spans="1:14" x14ac:dyDescent="0.35">
      <c r="A1850">
        <v>2816</v>
      </c>
      <c r="B1850" s="4" t="s">
        <v>882</v>
      </c>
      <c r="C1850" s="4" t="s">
        <v>518</v>
      </c>
      <c r="D1850" s="4" t="s">
        <v>30</v>
      </c>
      <c r="E1850">
        <v>0</v>
      </c>
      <c r="F1850" s="3">
        <v>3817.72</v>
      </c>
      <c r="G1850" s="2">
        <v>0.34</v>
      </c>
      <c r="H1850" s="3">
        <v>0</v>
      </c>
      <c r="I1850" s="1">
        <v>45628</v>
      </c>
      <c r="J1850" s="4" t="s">
        <v>9</v>
      </c>
      <c r="K1850" s="4" t="s">
        <v>12</v>
      </c>
      <c r="L1850" s="3">
        <v>-69.09</v>
      </c>
      <c r="M1850" s="4" t="s">
        <v>1255</v>
      </c>
      <c r="N1850" s="3">
        <v>0</v>
      </c>
    </row>
    <row r="1851" spans="1:14" x14ac:dyDescent="0.35">
      <c r="A1851">
        <v>2817</v>
      </c>
      <c r="B1851" s="4" t="s">
        <v>183</v>
      </c>
      <c r="C1851" s="4" t="s">
        <v>95</v>
      </c>
      <c r="D1851" s="4" t="s">
        <v>17</v>
      </c>
      <c r="E1851">
        <v>0</v>
      </c>
      <c r="F1851" s="3">
        <v>2742.4721</v>
      </c>
      <c r="G1851" s="2">
        <v>0.36</v>
      </c>
      <c r="H1851" s="3">
        <v>0</v>
      </c>
      <c r="I1851" s="1">
        <v>45770</v>
      </c>
      <c r="J1851" s="4" t="s">
        <v>11</v>
      </c>
      <c r="K1851" s="4" t="s">
        <v>8</v>
      </c>
      <c r="L1851" s="3">
        <v>495.32</v>
      </c>
      <c r="M1851" s="4" t="s">
        <v>1255</v>
      </c>
      <c r="N1851" s="3">
        <v>0</v>
      </c>
    </row>
    <row r="1852" spans="1:14" x14ac:dyDescent="0.35">
      <c r="A1852">
        <v>2818</v>
      </c>
      <c r="B1852" s="4" t="s">
        <v>298</v>
      </c>
      <c r="C1852" s="4" t="s">
        <v>427</v>
      </c>
      <c r="D1852" s="4" t="s">
        <v>25</v>
      </c>
      <c r="E1852">
        <v>0</v>
      </c>
      <c r="F1852" s="3">
        <v>739.57</v>
      </c>
      <c r="G1852" s="2">
        <v>0.63642857142857201</v>
      </c>
      <c r="H1852" s="3">
        <v>0</v>
      </c>
      <c r="I1852" s="1">
        <v>45760</v>
      </c>
      <c r="J1852" s="4" t="s">
        <v>11</v>
      </c>
      <c r="K1852" s="4" t="s">
        <v>8</v>
      </c>
      <c r="L1852" s="3">
        <v>1148.8699999999999</v>
      </c>
      <c r="M1852" s="4" t="s">
        <v>1255</v>
      </c>
      <c r="N1852" s="3">
        <v>0</v>
      </c>
    </row>
    <row r="1853" spans="1:14" x14ac:dyDescent="0.35">
      <c r="A1853">
        <v>2819</v>
      </c>
      <c r="B1853" s="4" t="s">
        <v>325</v>
      </c>
      <c r="C1853" s="4" t="s">
        <v>858</v>
      </c>
      <c r="D1853" s="4" t="s">
        <v>33</v>
      </c>
      <c r="E1853">
        <v>-1</v>
      </c>
      <c r="F1853" s="3">
        <v>2739.3189000000002</v>
      </c>
      <c r="G1853" s="2">
        <v>0.63642857142857201</v>
      </c>
      <c r="H1853" s="3">
        <v>0</v>
      </c>
      <c r="I1853" s="1">
        <v>45760</v>
      </c>
      <c r="J1853" s="4" t="s">
        <v>9</v>
      </c>
      <c r="K1853" s="4" t="s">
        <v>8</v>
      </c>
      <c r="L1853" s="3">
        <v>526.19000000000005</v>
      </c>
      <c r="M1853" s="4" t="s">
        <v>1255</v>
      </c>
      <c r="N1853" s="3">
        <v>-2739.3189000000002</v>
      </c>
    </row>
    <row r="1854" spans="1:14" x14ac:dyDescent="0.35">
      <c r="A1854">
        <v>2820</v>
      </c>
      <c r="B1854" s="4" t="s">
        <v>141</v>
      </c>
      <c r="C1854" s="4" t="s">
        <v>149</v>
      </c>
      <c r="D1854" s="4" t="s">
        <v>35</v>
      </c>
      <c r="E1854">
        <v>1</v>
      </c>
      <c r="F1854" s="3">
        <v>2454.71</v>
      </c>
      <c r="G1854" s="2">
        <v>0.1</v>
      </c>
      <c r="H1854" s="3">
        <v>2209.2399999999998</v>
      </c>
      <c r="I1854" s="1">
        <v>45294</v>
      </c>
      <c r="J1854" s="4" t="s">
        <v>11</v>
      </c>
      <c r="K1854" s="4" t="s">
        <v>12</v>
      </c>
      <c r="L1854" s="3">
        <v>2850.37</v>
      </c>
      <c r="M1854" s="4" t="s">
        <v>1256</v>
      </c>
      <c r="N1854" s="3">
        <v>2454.71</v>
      </c>
    </row>
    <row r="1855" spans="1:14" x14ac:dyDescent="0.35">
      <c r="A1855">
        <v>2821</v>
      </c>
      <c r="B1855" s="4" t="s">
        <v>672</v>
      </c>
      <c r="C1855" s="4" t="s">
        <v>442</v>
      </c>
      <c r="D1855" s="4" t="s">
        <v>25</v>
      </c>
      <c r="E1855">
        <v>0</v>
      </c>
      <c r="F1855" s="3">
        <v>2745.2004999999999</v>
      </c>
      <c r="G1855" s="2">
        <v>1.28</v>
      </c>
      <c r="H1855" s="3">
        <v>0</v>
      </c>
      <c r="I1855" s="1">
        <v>45644</v>
      </c>
      <c r="J1855" s="4" t="s">
        <v>9</v>
      </c>
      <c r="K1855" s="4" t="s">
        <v>8</v>
      </c>
      <c r="L1855" s="3">
        <v>412.63</v>
      </c>
      <c r="M1855" s="4" t="s">
        <v>1255</v>
      </c>
      <c r="N1855" s="3">
        <v>0</v>
      </c>
    </row>
    <row r="1856" spans="1:14" hidden="1" x14ac:dyDescent="0.35">
      <c r="A1856">
        <v>2822</v>
      </c>
      <c r="B1856" s="4" t="s">
        <v>228</v>
      </c>
      <c r="C1856" s="4" t="s">
        <v>1005</v>
      </c>
      <c r="D1856" s="4" t="s">
        <v>26</v>
      </c>
      <c r="E1856">
        <v>-2</v>
      </c>
      <c r="F1856" s="3">
        <v>3864.37</v>
      </c>
      <c r="G1856" s="2">
        <v>0.635945945945946</v>
      </c>
      <c r="H1856" s="3">
        <v>0</v>
      </c>
      <c r="I1856" s="1">
        <v>45725</v>
      </c>
      <c r="J1856" s="4" t="s">
        <v>18</v>
      </c>
      <c r="K1856" s="4" t="s">
        <v>40</v>
      </c>
      <c r="L1856" s="3">
        <v>957.65</v>
      </c>
      <c r="M1856" s="4" t="s">
        <v>1255</v>
      </c>
      <c r="N1856" s="3">
        <v>-7728.74</v>
      </c>
    </row>
    <row r="1857" spans="1:14" x14ac:dyDescent="0.35">
      <c r="A1857">
        <v>2823</v>
      </c>
      <c r="B1857" s="4" t="s">
        <v>143</v>
      </c>
      <c r="C1857" s="4" t="s">
        <v>158</v>
      </c>
      <c r="D1857" s="4" t="s">
        <v>27</v>
      </c>
      <c r="E1857">
        <v>0</v>
      </c>
      <c r="F1857" s="3">
        <v>2746.0574000000001</v>
      </c>
      <c r="G1857" s="2">
        <v>0.635945945945946</v>
      </c>
      <c r="H1857" s="3">
        <v>0</v>
      </c>
      <c r="I1857" s="1">
        <v>45542</v>
      </c>
      <c r="J1857" s="4" t="s">
        <v>9</v>
      </c>
      <c r="K1857" s="4" t="s">
        <v>8</v>
      </c>
      <c r="L1857" s="3">
        <v>-724.81</v>
      </c>
      <c r="M1857" s="4" t="s">
        <v>1255</v>
      </c>
      <c r="N1857" s="3">
        <v>0</v>
      </c>
    </row>
    <row r="1858" spans="1:14" x14ac:dyDescent="0.35">
      <c r="A1858">
        <v>2824</v>
      </c>
      <c r="B1858" s="4" t="s">
        <v>702</v>
      </c>
      <c r="C1858" s="4" t="s">
        <v>242</v>
      </c>
      <c r="D1858" s="4" t="s">
        <v>29</v>
      </c>
      <c r="E1858">
        <v>0</v>
      </c>
      <c r="F1858" s="3">
        <v>2742.7487999999998</v>
      </c>
      <c r="G1858" s="2">
        <v>1.08</v>
      </c>
      <c r="H1858" s="3">
        <v>0</v>
      </c>
      <c r="I1858" s="1">
        <v>45618</v>
      </c>
      <c r="J1858" s="4" t="s">
        <v>7</v>
      </c>
      <c r="K1858" s="4" t="s">
        <v>8</v>
      </c>
      <c r="L1858" s="3">
        <v>1113.29</v>
      </c>
      <c r="M1858" s="4" t="s">
        <v>1255</v>
      </c>
      <c r="N1858" s="3">
        <v>0</v>
      </c>
    </row>
    <row r="1859" spans="1:14" x14ac:dyDescent="0.35">
      <c r="A1859">
        <v>2825</v>
      </c>
      <c r="B1859" s="4" t="s">
        <v>122</v>
      </c>
      <c r="C1859" s="4" t="s">
        <v>1124</v>
      </c>
      <c r="D1859" s="4" t="s">
        <v>14</v>
      </c>
      <c r="E1859">
        <v>0</v>
      </c>
      <c r="F1859" s="3">
        <v>2742.7487999999998</v>
      </c>
      <c r="G1859" s="2">
        <v>0.63393665158371004</v>
      </c>
      <c r="H1859" s="3">
        <v>0</v>
      </c>
      <c r="I1859" s="1">
        <v>45618</v>
      </c>
      <c r="J1859" s="4" t="s">
        <v>9</v>
      </c>
      <c r="K1859" s="4" t="s">
        <v>12</v>
      </c>
      <c r="L1859" s="3">
        <v>2935.9</v>
      </c>
      <c r="M1859" s="4" t="s">
        <v>1255</v>
      </c>
      <c r="N1859" s="3">
        <v>0</v>
      </c>
    </row>
    <row r="1860" spans="1:14" x14ac:dyDescent="0.35">
      <c r="A1860">
        <v>2826</v>
      </c>
      <c r="B1860" s="4" t="s">
        <v>139</v>
      </c>
      <c r="C1860" s="4" t="s">
        <v>1125</v>
      </c>
      <c r="D1860" s="4" t="s">
        <v>26</v>
      </c>
      <c r="E1860">
        <v>-1</v>
      </c>
      <c r="F1860" s="3">
        <v>2742.7487999999998</v>
      </c>
      <c r="G1860" s="2">
        <v>0.63393665158371004</v>
      </c>
      <c r="H1860" s="3">
        <v>0</v>
      </c>
      <c r="I1860" s="1">
        <v>45618</v>
      </c>
      <c r="J1860" s="4" t="s">
        <v>11</v>
      </c>
      <c r="K1860" s="4" t="s">
        <v>8</v>
      </c>
      <c r="L1860" s="3">
        <v>2275.7399999999998</v>
      </c>
      <c r="M1860" s="4" t="s">
        <v>1255</v>
      </c>
      <c r="N1860" s="3">
        <v>-2742.7487999999998</v>
      </c>
    </row>
    <row r="1861" spans="1:14" hidden="1" x14ac:dyDescent="0.35">
      <c r="A1861">
        <v>2827</v>
      </c>
      <c r="B1861" s="4" t="s">
        <v>373</v>
      </c>
      <c r="C1861" s="4" t="s">
        <v>444</v>
      </c>
      <c r="D1861" s="4" t="s">
        <v>6</v>
      </c>
      <c r="E1861">
        <v>0</v>
      </c>
      <c r="F1861" s="3">
        <v>3996.87</v>
      </c>
      <c r="G1861" s="2">
        <v>0.63393665158371004</v>
      </c>
      <c r="H1861" s="3">
        <v>0</v>
      </c>
      <c r="I1861" s="1">
        <v>45538</v>
      </c>
      <c r="J1861" s="4" t="s">
        <v>11</v>
      </c>
      <c r="K1861" s="4" t="s">
        <v>40</v>
      </c>
      <c r="L1861" s="3">
        <v>496.23</v>
      </c>
      <c r="M1861" s="4" t="s">
        <v>1255</v>
      </c>
      <c r="N1861" s="3">
        <v>0</v>
      </c>
    </row>
    <row r="1862" spans="1:14" x14ac:dyDescent="0.35">
      <c r="A1862">
        <v>2828</v>
      </c>
      <c r="B1862" s="4" t="s">
        <v>988</v>
      </c>
      <c r="C1862" s="4" t="s">
        <v>982</v>
      </c>
      <c r="D1862" s="4" t="s">
        <v>13</v>
      </c>
      <c r="E1862">
        <v>0</v>
      </c>
      <c r="F1862" s="3">
        <v>2963.02</v>
      </c>
      <c r="G1862" s="2">
        <v>0.63393665158371004</v>
      </c>
      <c r="H1862" s="3">
        <v>0</v>
      </c>
      <c r="I1862" s="1">
        <v>45825</v>
      </c>
      <c r="J1862" s="4" t="s">
        <v>18</v>
      </c>
      <c r="K1862" s="4" t="s">
        <v>12</v>
      </c>
      <c r="L1862" s="3">
        <v>180.31</v>
      </c>
      <c r="M1862" s="4" t="s">
        <v>1255</v>
      </c>
      <c r="N1862" s="3">
        <v>0</v>
      </c>
    </row>
    <row r="1863" spans="1:14" x14ac:dyDescent="0.35">
      <c r="A1863">
        <v>2829</v>
      </c>
      <c r="B1863" s="4" t="s">
        <v>779</v>
      </c>
      <c r="C1863" s="4" t="s">
        <v>924</v>
      </c>
      <c r="D1863" s="4" t="s">
        <v>30</v>
      </c>
      <c r="E1863">
        <v>0</v>
      </c>
      <c r="F1863" s="3">
        <v>4817.45</v>
      </c>
      <c r="G1863" s="2">
        <v>1.07</v>
      </c>
      <c r="H1863" s="3">
        <v>0</v>
      </c>
      <c r="I1863" s="1">
        <v>45825</v>
      </c>
      <c r="J1863" s="4" t="s">
        <v>20</v>
      </c>
      <c r="K1863" s="4" t="s">
        <v>12</v>
      </c>
      <c r="L1863" s="3">
        <v>2048.06</v>
      </c>
      <c r="M1863" s="4" t="s">
        <v>1255</v>
      </c>
      <c r="N1863" s="3">
        <v>0</v>
      </c>
    </row>
    <row r="1864" spans="1:14" hidden="1" x14ac:dyDescent="0.35">
      <c r="A1864">
        <v>2830</v>
      </c>
      <c r="B1864" s="4" t="s">
        <v>330</v>
      </c>
      <c r="C1864" s="4" t="s">
        <v>496</v>
      </c>
      <c r="D1864" s="4" t="s">
        <v>15</v>
      </c>
      <c r="E1864">
        <v>0</v>
      </c>
      <c r="F1864" s="3">
        <v>3588.42</v>
      </c>
      <c r="G1864" s="2">
        <v>0.04</v>
      </c>
      <c r="H1864" s="3">
        <v>0</v>
      </c>
      <c r="I1864" s="1">
        <v>45820</v>
      </c>
      <c r="J1864" s="4" t="s">
        <v>7</v>
      </c>
      <c r="K1864" s="4" t="s">
        <v>40</v>
      </c>
      <c r="L1864" s="3">
        <v>1952.28</v>
      </c>
      <c r="M1864" s="4" t="s">
        <v>1255</v>
      </c>
      <c r="N1864" s="3">
        <v>0</v>
      </c>
    </row>
    <row r="1865" spans="1:14" x14ac:dyDescent="0.35">
      <c r="A1865">
        <v>2831</v>
      </c>
      <c r="B1865" s="4" t="s">
        <v>284</v>
      </c>
      <c r="C1865" s="4" t="s">
        <v>349</v>
      </c>
      <c r="D1865" s="4" t="s">
        <v>17</v>
      </c>
      <c r="E1865">
        <v>0</v>
      </c>
      <c r="F1865" s="3">
        <v>2732.1545000000001</v>
      </c>
      <c r="G1865" s="2">
        <v>0.63465753424657501</v>
      </c>
      <c r="H1865" s="3">
        <v>0</v>
      </c>
      <c r="I1865" s="1">
        <v>45495</v>
      </c>
      <c r="J1865" s="4" t="s">
        <v>9</v>
      </c>
      <c r="K1865" s="4" t="s">
        <v>12</v>
      </c>
      <c r="L1865" s="3">
        <v>2091.3000000000002</v>
      </c>
      <c r="M1865" s="4" t="s">
        <v>1255</v>
      </c>
      <c r="N1865" s="3">
        <v>0</v>
      </c>
    </row>
    <row r="1866" spans="1:14" hidden="1" x14ac:dyDescent="0.35">
      <c r="A1866">
        <v>2832</v>
      </c>
      <c r="B1866" s="4" t="s">
        <v>1126</v>
      </c>
      <c r="C1866" s="4" t="s">
        <v>433</v>
      </c>
      <c r="D1866" s="4" t="s">
        <v>29</v>
      </c>
      <c r="E1866">
        <v>0</v>
      </c>
      <c r="F1866" s="3">
        <v>2729.5907999999999</v>
      </c>
      <c r="G1866" s="2">
        <v>0.56000000000000005</v>
      </c>
      <c r="H1866" s="3">
        <v>0</v>
      </c>
      <c r="I1866" s="1">
        <v>45572</v>
      </c>
      <c r="J1866" s="4" t="s">
        <v>11</v>
      </c>
      <c r="K1866" s="4" t="s">
        <v>40</v>
      </c>
      <c r="L1866" s="3">
        <v>-402.75</v>
      </c>
      <c r="M1866" s="4" t="s">
        <v>1255</v>
      </c>
      <c r="N1866" s="3">
        <v>0</v>
      </c>
    </row>
    <row r="1867" spans="1:14" x14ac:dyDescent="0.35">
      <c r="A1867">
        <v>2833</v>
      </c>
      <c r="B1867" s="4" t="s">
        <v>1127</v>
      </c>
      <c r="C1867" s="4" t="s">
        <v>376</v>
      </c>
      <c r="D1867" s="4" t="s">
        <v>32</v>
      </c>
      <c r="E1867">
        <v>5</v>
      </c>
      <c r="F1867" s="3">
        <v>4273.33</v>
      </c>
      <c r="G1867" s="2">
        <v>0.63500000000000001</v>
      </c>
      <c r="H1867" s="3">
        <v>0</v>
      </c>
      <c r="I1867" s="1">
        <v>45572</v>
      </c>
      <c r="J1867" s="4" t="s">
        <v>18</v>
      </c>
      <c r="K1867" s="4" t="s">
        <v>8</v>
      </c>
      <c r="L1867" s="3">
        <v>900.12</v>
      </c>
      <c r="M1867" s="4" t="s">
        <v>1255</v>
      </c>
      <c r="N1867" s="3">
        <v>21366.65</v>
      </c>
    </row>
    <row r="1868" spans="1:14" x14ac:dyDescent="0.35">
      <c r="A1868">
        <v>2834</v>
      </c>
      <c r="B1868" s="4" t="s">
        <v>559</v>
      </c>
      <c r="C1868" s="4" t="s">
        <v>1128</v>
      </c>
      <c r="D1868" s="4" t="s">
        <v>34</v>
      </c>
      <c r="E1868">
        <v>-2</v>
      </c>
      <c r="F1868" s="3">
        <v>3522.98</v>
      </c>
      <c r="G1868" s="2">
        <v>0.63500000000000001</v>
      </c>
      <c r="H1868" s="3">
        <v>0</v>
      </c>
      <c r="I1868" s="1">
        <v>45597</v>
      </c>
      <c r="J1868" s="4" t="s">
        <v>7</v>
      </c>
      <c r="K1868" s="4" t="s">
        <v>8</v>
      </c>
      <c r="L1868" s="3">
        <v>2242.67</v>
      </c>
      <c r="M1868" s="4" t="s">
        <v>1255</v>
      </c>
      <c r="N1868" s="3">
        <v>-7045.96</v>
      </c>
    </row>
    <row r="1869" spans="1:14" x14ac:dyDescent="0.35">
      <c r="A1869">
        <v>2835</v>
      </c>
      <c r="B1869" s="4" t="s">
        <v>85</v>
      </c>
      <c r="C1869" s="4" t="s">
        <v>577</v>
      </c>
      <c r="D1869" s="4" t="s">
        <v>24</v>
      </c>
      <c r="E1869">
        <v>5</v>
      </c>
      <c r="F1869" s="3">
        <v>2724.9549999999999</v>
      </c>
      <c r="G1869" s="2">
        <v>0.98</v>
      </c>
      <c r="H1869" s="3">
        <v>0</v>
      </c>
      <c r="I1869" s="1">
        <v>45839</v>
      </c>
      <c r="J1869" s="4" t="s">
        <v>23</v>
      </c>
      <c r="K1869" s="4" t="s">
        <v>12</v>
      </c>
      <c r="L1869" s="3">
        <v>-618.55999999999995</v>
      </c>
      <c r="M1869" s="4" t="s">
        <v>1255</v>
      </c>
      <c r="N1869" s="3">
        <v>13624.775</v>
      </c>
    </row>
    <row r="1870" spans="1:14" x14ac:dyDescent="0.35">
      <c r="A1870">
        <v>2836</v>
      </c>
      <c r="B1870" s="4" t="s">
        <v>183</v>
      </c>
      <c r="C1870" s="4" t="s">
        <v>329</v>
      </c>
      <c r="D1870" s="4" t="s">
        <v>31</v>
      </c>
      <c r="E1870">
        <v>4</v>
      </c>
      <c r="F1870" s="3">
        <v>4609.95</v>
      </c>
      <c r="G1870" s="2">
        <v>0.63341013824884795</v>
      </c>
      <c r="H1870" s="3">
        <v>0</v>
      </c>
      <c r="I1870" s="1">
        <v>45448</v>
      </c>
      <c r="J1870" s="4" t="s">
        <v>18</v>
      </c>
      <c r="K1870" s="4" t="s">
        <v>12</v>
      </c>
      <c r="L1870" s="3">
        <v>-154.75</v>
      </c>
      <c r="M1870" s="4" t="s">
        <v>1255</v>
      </c>
      <c r="N1870" s="3">
        <v>18439.8</v>
      </c>
    </row>
    <row r="1871" spans="1:14" x14ac:dyDescent="0.35">
      <c r="A1871">
        <v>2837</v>
      </c>
      <c r="B1871" s="4" t="s">
        <v>279</v>
      </c>
      <c r="C1871" s="4" t="s">
        <v>494</v>
      </c>
      <c r="D1871" s="4" t="s">
        <v>6</v>
      </c>
      <c r="E1871">
        <v>0</v>
      </c>
      <c r="F1871" s="3">
        <v>4443.01</v>
      </c>
      <c r="G1871" s="2">
        <v>0.63341013824884795</v>
      </c>
      <c r="H1871" s="3">
        <v>0</v>
      </c>
      <c r="I1871" s="1">
        <v>45743</v>
      </c>
      <c r="J1871" s="4" t="s">
        <v>18</v>
      </c>
      <c r="K1871" s="4" t="s">
        <v>12</v>
      </c>
      <c r="L1871" s="3">
        <v>-919.16</v>
      </c>
      <c r="M1871" s="4" t="s">
        <v>1255</v>
      </c>
      <c r="N1871" s="3">
        <v>0</v>
      </c>
    </row>
    <row r="1872" spans="1:14" x14ac:dyDescent="0.35">
      <c r="A1872">
        <v>2838</v>
      </c>
      <c r="B1872" s="4" t="s">
        <v>256</v>
      </c>
      <c r="C1872" s="4" t="s">
        <v>889</v>
      </c>
      <c r="D1872" s="4" t="s">
        <v>31</v>
      </c>
      <c r="E1872">
        <v>0</v>
      </c>
      <c r="F1872" s="3">
        <v>2716.8492000000001</v>
      </c>
      <c r="G1872" s="2">
        <v>0.97</v>
      </c>
      <c r="H1872" s="3">
        <v>0</v>
      </c>
      <c r="I1872" s="1">
        <v>45743</v>
      </c>
      <c r="J1872" s="4" t="s">
        <v>11</v>
      </c>
      <c r="K1872" s="4" t="s">
        <v>12</v>
      </c>
      <c r="L1872" s="3">
        <v>182.38</v>
      </c>
      <c r="M1872" s="4" t="s">
        <v>1255</v>
      </c>
      <c r="N1872" s="3">
        <v>0</v>
      </c>
    </row>
    <row r="1873" spans="1:14" hidden="1" x14ac:dyDescent="0.35">
      <c r="A1873">
        <v>2839</v>
      </c>
      <c r="B1873" s="4" t="s">
        <v>81</v>
      </c>
      <c r="C1873" s="4" t="s">
        <v>676</v>
      </c>
      <c r="D1873" s="4" t="s">
        <v>29</v>
      </c>
      <c r="E1873">
        <v>0</v>
      </c>
      <c r="F1873" s="3">
        <v>561.24</v>
      </c>
      <c r="G1873" s="2">
        <v>0.631851851851852</v>
      </c>
      <c r="H1873" s="3">
        <v>0</v>
      </c>
      <c r="I1873" s="1">
        <v>45589</v>
      </c>
      <c r="J1873" s="4" t="s">
        <v>23</v>
      </c>
      <c r="K1873" s="4" t="s">
        <v>40</v>
      </c>
      <c r="L1873" s="3">
        <v>2551.12</v>
      </c>
      <c r="M1873" s="4" t="s">
        <v>1255</v>
      </c>
      <c r="N1873" s="3">
        <v>0</v>
      </c>
    </row>
    <row r="1874" spans="1:14" x14ac:dyDescent="0.35">
      <c r="A1874">
        <v>2840</v>
      </c>
      <c r="B1874" s="4" t="s">
        <v>441</v>
      </c>
      <c r="C1874" s="4" t="s">
        <v>1129</v>
      </c>
      <c r="D1874" s="4" t="s">
        <v>27</v>
      </c>
      <c r="E1874">
        <v>0</v>
      </c>
      <c r="F1874" s="3">
        <v>2297.54</v>
      </c>
      <c r="G1874" s="2">
        <v>0.631851851851852</v>
      </c>
      <c r="H1874" s="3">
        <v>0</v>
      </c>
      <c r="I1874" s="1">
        <v>45739</v>
      </c>
      <c r="J1874" s="4" t="s">
        <v>23</v>
      </c>
      <c r="K1874" s="4" t="s">
        <v>12</v>
      </c>
      <c r="L1874" s="3">
        <v>490.32</v>
      </c>
      <c r="M1874" s="4" t="s">
        <v>1255</v>
      </c>
      <c r="N1874" s="3">
        <v>0</v>
      </c>
    </row>
    <row r="1875" spans="1:14" x14ac:dyDescent="0.35">
      <c r="A1875">
        <v>2841</v>
      </c>
      <c r="B1875" s="4" t="s">
        <v>684</v>
      </c>
      <c r="C1875" s="4" t="s">
        <v>1029</v>
      </c>
      <c r="D1875" s="4" t="s">
        <v>32</v>
      </c>
      <c r="E1875">
        <v>0</v>
      </c>
      <c r="F1875" s="3">
        <v>4154.05</v>
      </c>
      <c r="G1875" s="2">
        <v>0.631851851851852</v>
      </c>
      <c r="H1875" s="3">
        <v>0</v>
      </c>
      <c r="I1875" s="1">
        <v>45665</v>
      </c>
      <c r="J1875" s="4" t="s">
        <v>11</v>
      </c>
      <c r="K1875" s="4" t="s">
        <v>12</v>
      </c>
      <c r="L1875" s="3">
        <v>265</v>
      </c>
      <c r="M1875" s="4" t="s">
        <v>1255</v>
      </c>
      <c r="N1875" s="3">
        <v>0</v>
      </c>
    </row>
    <row r="1876" spans="1:14" x14ac:dyDescent="0.35">
      <c r="A1876">
        <v>2842</v>
      </c>
      <c r="B1876" s="4" t="s">
        <v>510</v>
      </c>
      <c r="C1876" s="4" t="s">
        <v>649</v>
      </c>
      <c r="D1876" s="4" t="s">
        <v>19</v>
      </c>
      <c r="E1876">
        <v>0</v>
      </c>
      <c r="F1876" s="3">
        <v>1812.58</v>
      </c>
      <c r="G1876" s="2">
        <v>0.631851851851852</v>
      </c>
      <c r="H1876" s="3">
        <v>0</v>
      </c>
      <c r="I1876" s="1">
        <v>45560</v>
      </c>
      <c r="J1876" s="4" t="s">
        <v>7</v>
      </c>
      <c r="K1876" s="4" t="s">
        <v>12</v>
      </c>
      <c r="L1876" s="3">
        <v>445.27</v>
      </c>
      <c r="M1876" s="4" t="s">
        <v>1255</v>
      </c>
      <c r="N1876" s="3">
        <v>0</v>
      </c>
    </row>
    <row r="1877" spans="1:14" x14ac:dyDescent="0.35">
      <c r="A1877">
        <v>2843</v>
      </c>
      <c r="B1877" s="4" t="s">
        <v>955</v>
      </c>
      <c r="C1877" s="4" t="s">
        <v>82</v>
      </c>
      <c r="D1877" s="4" t="s">
        <v>28</v>
      </c>
      <c r="E1877">
        <v>0</v>
      </c>
      <c r="F1877" s="3">
        <v>1110.1099999999999</v>
      </c>
      <c r="G1877" s="2">
        <v>0.631851851851852</v>
      </c>
      <c r="H1877" s="3">
        <v>0</v>
      </c>
      <c r="I1877" s="1">
        <v>45679</v>
      </c>
      <c r="J1877" s="4" t="s">
        <v>11</v>
      </c>
      <c r="K1877" s="4" t="s">
        <v>12</v>
      </c>
      <c r="L1877" s="3">
        <v>2926.44</v>
      </c>
      <c r="M1877" s="4" t="s">
        <v>1255</v>
      </c>
      <c r="N1877" s="3">
        <v>0</v>
      </c>
    </row>
    <row r="1878" spans="1:14" hidden="1" x14ac:dyDescent="0.35">
      <c r="A1878">
        <v>2844</v>
      </c>
      <c r="B1878" s="4" t="s">
        <v>77</v>
      </c>
      <c r="C1878" s="4" t="s">
        <v>401</v>
      </c>
      <c r="D1878" s="4" t="s">
        <v>21</v>
      </c>
      <c r="E1878">
        <v>0</v>
      </c>
      <c r="F1878" s="3">
        <v>2549.59</v>
      </c>
      <c r="G1878" s="2">
        <v>0.631851851851852</v>
      </c>
      <c r="H1878" s="3">
        <v>0</v>
      </c>
      <c r="I1878" s="1">
        <v>45431</v>
      </c>
      <c r="J1878" s="4" t="s">
        <v>7</v>
      </c>
      <c r="K1878" s="4" t="s">
        <v>40</v>
      </c>
      <c r="L1878" s="3">
        <v>2612.63</v>
      </c>
      <c r="M1878" s="4" t="s">
        <v>1255</v>
      </c>
      <c r="N1878" s="3">
        <v>0</v>
      </c>
    </row>
    <row r="1879" spans="1:14" x14ac:dyDescent="0.35">
      <c r="A1879">
        <v>2845</v>
      </c>
      <c r="B1879" s="4" t="s">
        <v>224</v>
      </c>
      <c r="C1879" s="4" t="s">
        <v>236</v>
      </c>
      <c r="D1879" s="4" t="s">
        <v>30</v>
      </c>
      <c r="E1879">
        <v>-2</v>
      </c>
      <c r="F1879" s="3">
        <v>2722.7647999999999</v>
      </c>
      <c r="G1879" s="2">
        <v>0.631851851851852</v>
      </c>
      <c r="H1879" s="3">
        <v>0</v>
      </c>
      <c r="I1879" s="1">
        <v>45751</v>
      </c>
      <c r="J1879" s="4" t="s">
        <v>7</v>
      </c>
      <c r="K1879" s="4" t="s">
        <v>12</v>
      </c>
      <c r="L1879" s="3">
        <v>-693.63</v>
      </c>
      <c r="M1879" s="4" t="s">
        <v>1255</v>
      </c>
      <c r="N1879" s="3">
        <v>-5445.5295999999998</v>
      </c>
    </row>
    <row r="1880" spans="1:14" hidden="1" x14ac:dyDescent="0.35">
      <c r="A1880">
        <v>2846</v>
      </c>
      <c r="B1880" s="4" t="s">
        <v>758</v>
      </c>
      <c r="C1880" s="4" t="s">
        <v>149</v>
      </c>
      <c r="D1880" s="4" t="s">
        <v>38</v>
      </c>
      <c r="E1880">
        <v>-2</v>
      </c>
      <c r="F1880" s="3">
        <v>2525.04</v>
      </c>
      <c r="G1880" s="2">
        <v>0.3</v>
      </c>
      <c r="H1880" s="3">
        <v>-3535.06</v>
      </c>
      <c r="I1880" s="1">
        <v>45560</v>
      </c>
      <c r="J1880" s="4" t="s">
        <v>23</v>
      </c>
      <c r="K1880" s="4" t="s">
        <v>40</v>
      </c>
      <c r="L1880" s="3">
        <v>1003.34</v>
      </c>
      <c r="M1880" s="4" t="s">
        <v>1255</v>
      </c>
      <c r="N1880" s="3">
        <v>-5050.08</v>
      </c>
    </row>
    <row r="1881" spans="1:14" x14ac:dyDescent="0.35">
      <c r="A1881">
        <v>2847</v>
      </c>
      <c r="B1881" s="4" t="s">
        <v>1130</v>
      </c>
      <c r="C1881" s="4" t="s">
        <v>80</v>
      </c>
      <c r="D1881" s="4" t="s">
        <v>29</v>
      </c>
      <c r="E1881">
        <v>0</v>
      </c>
      <c r="F1881" s="3">
        <v>3424.29</v>
      </c>
      <c r="G1881" s="2">
        <v>1.08</v>
      </c>
      <c r="H1881" s="3">
        <v>0</v>
      </c>
      <c r="I1881" s="1">
        <v>45516</v>
      </c>
      <c r="J1881" s="4" t="s">
        <v>20</v>
      </c>
      <c r="K1881" s="4" t="s">
        <v>12</v>
      </c>
      <c r="L1881" s="3">
        <v>2560.3200000000002</v>
      </c>
      <c r="M1881" s="4" t="s">
        <v>1255</v>
      </c>
      <c r="N1881" s="3">
        <v>0</v>
      </c>
    </row>
    <row r="1882" spans="1:14" x14ac:dyDescent="0.35">
      <c r="A1882">
        <v>2848</v>
      </c>
      <c r="B1882" s="4" t="s">
        <v>581</v>
      </c>
      <c r="C1882" s="4" t="s">
        <v>683</v>
      </c>
      <c r="D1882" s="4" t="s">
        <v>34</v>
      </c>
      <c r="E1882">
        <v>2</v>
      </c>
      <c r="F1882" s="3">
        <v>2723.9131000000002</v>
      </c>
      <c r="G1882" s="2">
        <v>0.63130841121495396</v>
      </c>
      <c r="H1882" s="3">
        <v>0</v>
      </c>
      <c r="I1882" s="1">
        <v>45535</v>
      </c>
      <c r="J1882" s="4" t="s">
        <v>9</v>
      </c>
      <c r="K1882" s="4" t="s">
        <v>8</v>
      </c>
      <c r="L1882" s="3">
        <v>2638.28</v>
      </c>
      <c r="M1882" s="4" t="s">
        <v>1255</v>
      </c>
      <c r="N1882" s="3">
        <v>5447.8262000000004</v>
      </c>
    </row>
    <row r="1883" spans="1:14" x14ac:dyDescent="0.35">
      <c r="A1883">
        <v>2849</v>
      </c>
      <c r="B1883" s="4" t="s">
        <v>262</v>
      </c>
      <c r="C1883" s="4" t="s">
        <v>898</v>
      </c>
      <c r="D1883" s="4" t="s">
        <v>19</v>
      </c>
      <c r="E1883">
        <v>0</v>
      </c>
      <c r="F1883" s="3">
        <v>2721.7379999999998</v>
      </c>
      <c r="G1883" s="2">
        <v>0.35</v>
      </c>
      <c r="H1883" s="3">
        <v>0</v>
      </c>
      <c r="I1883" s="1">
        <v>45535</v>
      </c>
      <c r="J1883" s="4" t="s">
        <v>11</v>
      </c>
      <c r="K1883" s="4" t="s">
        <v>12</v>
      </c>
      <c r="L1883" s="3">
        <v>1750.23</v>
      </c>
      <c r="M1883" s="4" t="s">
        <v>1255</v>
      </c>
      <c r="N1883" s="3">
        <v>0</v>
      </c>
    </row>
    <row r="1884" spans="1:14" x14ac:dyDescent="0.35">
      <c r="A1884">
        <v>2850</v>
      </c>
      <c r="B1884" s="4" t="s">
        <v>1131</v>
      </c>
      <c r="C1884" s="4" t="s">
        <v>362</v>
      </c>
      <c r="D1884" s="4" t="s">
        <v>6</v>
      </c>
      <c r="E1884">
        <v>0</v>
      </c>
      <c r="F1884" s="3">
        <v>2687.96</v>
      </c>
      <c r="G1884" s="2">
        <v>0.63262910798122096</v>
      </c>
      <c r="H1884" s="3">
        <v>0</v>
      </c>
      <c r="I1884" s="1">
        <v>45559</v>
      </c>
      <c r="J1884" s="4" t="s">
        <v>7</v>
      </c>
      <c r="K1884" s="4" t="s">
        <v>12</v>
      </c>
      <c r="L1884" s="3">
        <v>2288</v>
      </c>
      <c r="M1884" s="4" t="s">
        <v>1255</v>
      </c>
      <c r="N1884" s="3">
        <v>0</v>
      </c>
    </row>
    <row r="1885" spans="1:14" x14ac:dyDescent="0.35">
      <c r="A1885">
        <v>2851</v>
      </c>
      <c r="B1885" s="4" t="s">
        <v>1132</v>
      </c>
      <c r="C1885" s="4" t="s">
        <v>1133</v>
      </c>
      <c r="D1885" s="4" t="s">
        <v>17</v>
      </c>
      <c r="E1885">
        <v>0</v>
      </c>
      <c r="F1885" s="3">
        <v>1525.28</v>
      </c>
      <c r="G1885" s="2">
        <v>0.63262910798122096</v>
      </c>
      <c r="H1885" s="3">
        <v>0</v>
      </c>
      <c r="I1885" s="1">
        <v>45543</v>
      </c>
      <c r="J1885" s="4" t="s">
        <v>23</v>
      </c>
      <c r="K1885" s="4" t="s">
        <v>8</v>
      </c>
      <c r="L1885" s="3">
        <v>-560.49</v>
      </c>
      <c r="M1885" s="4" t="s">
        <v>1255</v>
      </c>
      <c r="N1885" s="3">
        <v>0</v>
      </c>
    </row>
    <row r="1886" spans="1:14" hidden="1" x14ac:dyDescent="0.35">
      <c r="A1886">
        <v>2852</v>
      </c>
      <c r="B1886" s="4" t="s">
        <v>330</v>
      </c>
      <c r="C1886" s="4" t="s">
        <v>443</v>
      </c>
      <c r="D1886" s="4" t="s">
        <v>29</v>
      </c>
      <c r="E1886">
        <v>0</v>
      </c>
      <c r="F1886" s="3">
        <v>1816.76</v>
      </c>
      <c r="G1886" s="2">
        <v>0.63262910798122096</v>
      </c>
      <c r="H1886" s="3">
        <v>0</v>
      </c>
      <c r="I1886" s="1">
        <v>45543</v>
      </c>
      <c r="J1886" s="4" t="s">
        <v>11</v>
      </c>
      <c r="K1886" s="4" t="s">
        <v>40</v>
      </c>
      <c r="L1886" s="3">
        <v>630.13</v>
      </c>
      <c r="M1886" s="4" t="s">
        <v>1255</v>
      </c>
      <c r="N1886" s="3">
        <v>0</v>
      </c>
    </row>
    <row r="1887" spans="1:14" x14ac:dyDescent="0.35">
      <c r="A1887">
        <v>2853</v>
      </c>
      <c r="B1887" s="4" t="s">
        <v>998</v>
      </c>
      <c r="C1887" s="4" t="s">
        <v>650</v>
      </c>
      <c r="D1887" s="4" t="s">
        <v>28</v>
      </c>
      <c r="E1887">
        <v>0</v>
      </c>
      <c r="F1887" s="3">
        <v>1212.44</v>
      </c>
      <c r="G1887" s="2">
        <v>0.89</v>
      </c>
      <c r="H1887" s="3">
        <v>0</v>
      </c>
      <c r="I1887" s="1">
        <v>45860</v>
      </c>
      <c r="J1887" s="4" t="s">
        <v>11</v>
      </c>
      <c r="K1887" s="4" t="s">
        <v>8</v>
      </c>
      <c r="L1887" s="3">
        <v>175.39</v>
      </c>
      <c r="M1887" s="4" t="s">
        <v>1255</v>
      </c>
      <c r="N1887" s="3">
        <v>0</v>
      </c>
    </row>
    <row r="1888" spans="1:14" x14ac:dyDescent="0.35">
      <c r="A1888">
        <v>2854</v>
      </c>
      <c r="B1888" s="4" t="s">
        <v>224</v>
      </c>
      <c r="C1888" s="4" t="s">
        <v>78</v>
      </c>
      <c r="D1888" s="4" t="s">
        <v>6</v>
      </c>
      <c r="E1888">
        <v>0</v>
      </c>
      <c r="F1888" s="3">
        <v>3303.02</v>
      </c>
      <c r="G1888" s="2">
        <v>0.7</v>
      </c>
      <c r="H1888" s="3">
        <v>0</v>
      </c>
      <c r="I1888" s="1">
        <v>45860</v>
      </c>
      <c r="J1888" s="4" t="s">
        <v>11</v>
      </c>
      <c r="K1888" s="4" t="s">
        <v>12</v>
      </c>
      <c r="L1888" s="3">
        <v>276.29000000000002</v>
      </c>
      <c r="M1888" s="4" t="s">
        <v>1255</v>
      </c>
      <c r="N1888" s="3">
        <v>0</v>
      </c>
    </row>
    <row r="1889" spans="1:14" hidden="1" x14ac:dyDescent="0.35">
      <c r="A1889">
        <v>2855</v>
      </c>
      <c r="B1889" s="4" t="s">
        <v>372</v>
      </c>
      <c r="C1889" s="4" t="s">
        <v>1134</v>
      </c>
      <c r="D1889" s="4" t="s">
        <v>6</v>
      </c>
      <c r="E1889">
        <v>0</v>
      </c>
      <c r="F1889" s="3">
        <v>1831.4</v>
      </c>
      <c r="G1889" s="2">
        <v>0.63109004739336505</v>
      </c>
      <c r="H1889" s="3">
        <v>0</v>
      </c>
      <c r="I1889" s="1">
        <v>45584</v>
      </c>
      <c r="J1889" s="4" t="s">
        <v>23</v>
      </c>
      <c r="K1889" s="4" t="s">
        <v>40</v>
      </c>
      <c r="L1889" s="3">
        <v>719.33</v>
      </c>
      <c r="M1889" s="4" t="s">
        <v>1255</v>
      </c>
      <c r="N1889" s="3">
        <v>0</v>
      </c>
    </row>
    <row r="1890" spans="1:14" x14ac:dyDescent="0.35">
      <c r="A1890">
        <v>2856</v>
      </c>
      <c r="B1890" s="4" t="s">
        <v>141</v>
      </c>
      <c r="C1890" s="4" t="s">
        <v>44</v>
      </c>
      <c r="D1890" s="4" t="s">
        <v>25</v>
      </c>
      <c r="E1890">
        <v>0</v>
      </c>
      <c r="F1890" s="3">
        <v>2731.4011999999998</v>
      </c>
      <c r="G1890" s="2">
        <v>0.63109004739336505</v>
      </c>
      <c r="H1890" s="3">
        <v>0</v>
      </c>
      <c r="I1890" s="1">
        <v>45584</v>
      </c>
      <c r="J1890" s="4" t="s">
        <v>23</v>
      </c>
      <c r="K1890" s="4" t="s">
        <v>12</v>
      </c>
      <c r="L1890" s="3">
        <v>1448.8</v>
      </c>
      <c r="M1890" s="4" t="s">
        <v>1255</v>
      </c>
      <c r="N1890" s="3">
        <v>0</v>
      </c>
    </row>
    <row r="1891" spans="1:14" x14ac:dyDescent="0.35">
      <c r="A1891">
        <v>2857</v>
      </c>
      <c r="B1891" s="4" t="s">
        <v>612</v>
      </c>
      <c r="C1891" s="4" t="s">
        <v>78</v>
      </c>
      <c r="D1891" s="4" t="s">
        <v>21</v>
      </c>
      <c r="E1891">
        <v>5</v>
      </c>
      <c r="F1891" s="3">
        <v>2734.2492999999999</v>
      </c>
      <c r="G1891" s="2">
        <v>0.63109004739336505</v>
      </c>
      <c r="H1891" s="3">
        <v>0</v>
      </c>
      <c r="I1891" s="1">
        <v>45777</v>
      </c>
      <c r="J1891" s="4" t="s">
        <v>11</v>
      </c>
      <c r="K1891" s="4" t="s">
        <v>12</v>
      </c>
      <c r="L1891" s="3">
        <v>-625.91999999999996</v>
      </c>
      <c r="M1891" s="4" t="s">
        <v>1255</v>
      </c>
      <c r="N1891" s="3">
        <v>13671.246499999999</v>
      </c>
    </row>
    <row r="1892" spans="1:14" x14ac:dyDescent="0.35">
      <c r="A1892">
        <v>2858</v>
      </c>
      <c r="B1892" s="4" t="s">
        <v>143</v>
      </c>
      <c r="C1892" s="4" t="s">
        <v>468</v>
      </c>
      <c r="D1892" s="4" t="s">
        <v>16</v>
      </c>
      <c r="E1892">
        <v>-1</v>
      </c>
      <c r="F1892" s="3">
        <v>3270.29</v>
      </c>
      <c r="G1892" s="2">
        <v>0.63109004739336505</v>
      </c>
      <c r="H1892" s="3">
        <v>0</v>
      </c>
      <c r="I1892" s="1">
        <v>45695</v>
      </c>
      <c r="J1892" s="4" t="s">
        <v>20</v>
      </c>
      <c r="K1892" s="4" t="s">
        <v>8</v>
      </c>
      <c r="L1892" s="3">
        <v>-539.25</v>
      </c>
      <c r="M1892" s="4" t="s">
        <v>1255</v>
      </c>
      <c r="N1892" s="3">
        <v>-3270.29</v>
      </c>
    </row>
    <row r="1893" spans="1:14" x14ac:dyDescent="0.35">
      <c r="A1893">
        <v>2859</v>
      </c>
      <c r="B1893" s="4" t="s">
        <v>130</v>
      </c>
      <c r="C1893" s="4" t="s">
        <v>277</v>
      </c>
      <c r="D1893" s="4" t="s">
        <v>19</v>
      </c>
      <c r="E1893">
        <v>0</v>
      </c>
      <c r="F1893" s="3">
        <v>2734.2492999999999</v>
      </c>
      <c r="G1893" s="2">
        <v>0.78</v>
      </c>
      <c r="H1893" s="3">
        <v>0</v>
      </c>
      <c r="I1893" s="1">
        <v>45451</v>
      </c>
      <c r="J1893" s="4" t="s">
        <v>18</v>
      </c>
      <c r="K1893" s="4" t="s">
        <v>12</v>
      </c>
      <c r="L1893" s="3">
        <v>1686.29</v>
      </c>
      <c r="M1893" s="4" t="s">
        <v>1255</v>
      </c>
      <c r="N1893" s="3">
        <v>0</v>
      </c>
    </row>
    <row r="1894" spans="1:14" hidden="1" x14ac:dyDescent="0.35">
      <c r="A1894">
        <v>2860</v>
      </c>
      <c r="B1894" s="4" t="s">
        <v>813</v>
      </c>
      <c r="C1894" s="4" t="s">
        <v>285</v>
      </c>
      <c r="D1894" s="4" t="s">
        <v>21</v>
      </c>
      <c r="E1894">
        <v>0</v>
      </c>
      <c r="F1894" s="3">
        <v>4428.24</v>
      </c>
      <c r="G1894" s="2">
        <v>0.09</v>
      </c>
      <c r="H1894" s="3">
        <v>0</v>
      </c>
      <c r="I1894" s="1">
        <v>45451</v>
      </c>
      <c r="J1894" s="4" t="s">
        <v>11</v>
      </c>
      <c r="K1894" s="4" t="s">
        <v>40</v>
      </c>
      <c r="L1894" s="3">
        <v>-641.59</v>
      </c>
      <c r="M1894" s="4" t="s">
        <v>1255</v>
      </c>
      <c r="N1894" s="3">
        <v>0</v>
      </c>
    </row>
    <row r="1895" spans="1:14" hidden="1" x14ac:dyDescent="0.35">
      <c r="A1895">
        <v>2861</v>
      </c>
      <c r="B1895" s="4" t="s">
        <v>894</v>
      </c>
      <c r="C1895" s="4" t="s">
        <v>790</v>
      </c>
      <c r="D1895" s="4" t="s">
        <v>24</v>
      </c>
      <c r="E1895">
        <v>4</v>
      </c>
      <c r="F1895" s="3">
        <v>2732.5475999999999</v>
      </c>
      <c r="G1895" s="2">
        <v>0.06</v>
      </c>
      <c r="H1895" s="3">
        <v>0</v>
      </c>
      <c r="I1895" s="1">
        <v>45839</v>
      </c>
      <c r="J1895" s="4" t="s">
        <v>7</v>
      </c>
      <c r="K1895" s="4" t="s">
        <v>40</v>
      </c>
      <c r="L1895" s="3">
        <v>-936.94</v>
      </c>
      <c r="M1895" s="4" t="s">
        <v>1255</v>
      </c>
      <c r="N1895" s="3">
        <v>10930.190399999999</v>
      </c>
    </row>
    <row r="1896" spans="1:14" x14ac:dyDescent="0.35">
      <c r="A1896">
        <v>2862</v>
      </c>
      <c r="B1896" s="4" t="s">
        <v>1135</v>
      </c>
      <c r="C1896" s="4" t="s">
        <v>793</v>
      </c>
      <c r="D1896" s="4" t="s">
        <v>21</v>
      </c>
      <c r="E1896">
        <v>0</v>
      </c>
      <c r="F1896" s="3">
        <v>2727.1473000000001</v>
      </c>
      <c r="G1896" s="2">
        <v>0.63572115384615402</v>
      </c>
      <c r="H1896" s="3">
        <v>0</v>
      </c>
      <c r="I1896" s="1">
        <v>45839</v>
      </c>
      <c r="J1896" s="4" t="s">
        <v>20</v>
      </c>
      <c r="K1896" s="4" t="s">
        <v>8</v>
      </c>
      <c r="L1896" s="3">
        <v>824.88</v>
      </c>
      <c r="M1896" s="4" t="s">
        <v>1255</v>
      </c>
      <c r="N1896" s="3">
        <v>0</v>
      </c>
    </row>
    <row r="1897" spans="1:14" x14ac:dyDescent="0.35">
      <c r="A1897">
        <v>2863</v>
      </c>
      <c r="B1897" s="4" t="s">
        <v>695</v>
      </c>
      <c r="C1897" s="4" t="s">
        <v>1136</v>
      </c>
      <c r="D1897" s="4" t="s">
        <v>38</v>
      </c>
      <c r="E1897">
        <v>6</v>
      </c>
      <c r="F1897" s="3">
        <v>1459.76</v>
      </c>
      <c r="G1897" s="2">
        <v>1.18</v>
      </c>
      <c r="H1897" s="3">
        <v>-1576.54</v>
      </c>
      <c r="I1897" s="1">
        <v>45425</v>
      </c>
      <c r="J1897" s="4" t="s">
        <v>18</v>
      </c>
      <c r="K1897" s="4" t="s">
        <v>12</v>
      </c>
      <c r="L1897" s="3">
        <v>2541</v>
      </c>
      <c r="M1897" s="4" t="s">
        <v>1255</v>
      </c>
      <c r="N1897" s="3">
        <v>8758.56</v>
      </c>
    </row>
    <row r="1898" spans="1:14" hidden="1" x14ac:dyDescent="0.35">
      <c r="A1898">
        <v>2864</v>
      </c>
      <c r="B1898" s="4" t="s">
        <v>195</v>
      </c>
      <c r="C1898" s="4" t="s">
        <v>950</v>
      </c>
      <c r="D1898" s="4" t="s">
        <v>34</v>
      </c>
      <c r="E1898">
        <v>5</v>
      </c>
      <c r="F1898" s="3">
        <v>2535.29</v>
      </c>
      <c r="G1898" s="2">
        <v>0.63309178743961403</v>
      </c>
      <c r="H1898" s="3">
        <v>0</v>
      </c>
      <c r="I1898" s="1">
        <v>45500</v>
      </c>
      <c r="J1898" s="4" t="s">
        <v>18</v>
      </c>
      <c r="K1898" s="4" t="s">
        <v>40</v>
      </c>
      <c r="L1898" s="3">
        <v>-456.39</v>
      </c>
      <c r="M1898" s="4" t="s">
        <v>1255</v>
      </c>
      <c r="N1898" s="3">
        <v>12676.45</v>
      </c>
    </row>
    <row r="1899" spans="1:14" x14ac:dyDescent="0.35">
      <c r="A1899">
        <v>2865</v>
      </c>
      <c r="B1899" s="4" t="s">
        <v>517</v>
      </c>
      <c r="C1899" s="4" t="s">
        <v>95</v>
      </c>
      <c r="D1899" s="4" t="s">
        <v>16</v>
      </c>
      <c r="E1899">
        <v>0</v>
      </c>
      <c r="F1899" s="3">
        <v>2043.3</v>
      </c>
      <c r="G1899" s="2">
        <v>0.33</v>
      </c>
      <c r="H1899" s="3">
        <v>0</v>
      </c>
      <c r="I1899" s="1">
        <v>45500</v>
      </c>
      <c r="J1899" s="4" t="s">
        <v>9</v>
      </c>
      <c r="K1899" s="4" t="s">
        <v>12</v>
      </c>
      <c r="L1899" s="3">
        <v>-389.95</v>
      </c>
      <c r="M1899" s="4" t="s">
        <v>1255</v>
      </c>
      <c r="N1899" s="3">
        <v>0</v>
      </c>
    </row>
    <row r="1900" spans="1:14" hidden="1" x14ac:dyDescent="0.35">
      <c r="A1900">
        <v>2866</v>
      </c>
      <c r="B1900" s="4" t="s">
        <v>139</v>
      </c>
      <c r="C1900" s="4" t="s">
        <v>796</v>
      </c>
      <c r="D1900" s="4" t="s">
        <v>32</v>
      </c>
      <c r="E1900">
        <v>0</v>
      </c>
      <c r="F1900" s="3">
        <v>2731.8243000000002</v>
      </c>
      <c r="G1900" s="2">
        <v>0.63456310679611705</v>
      </c>
      <c r="H1900" s="3">
        <v>0</v>
      </c>
      <c r="I1900" s="1">
        <v>45730</v>
      </c>
      <c r="J1900" s="4" t="s">
        <v>18</v>
      </c>
      <c r="K1900" s="4" t="s">
        <v>40</v>
      </c>
      <c r="L1900" s="3">
        <v>883.66</v>
      </c>
      <c r="M1900" s="4" t="s">
        <v>1255</v>
      </c>
      <c r="N1900" s="3">
        <v>0</v>
      </c>
    </row>
    <row r="1901" spans="1:14" x14ac:dyDescent="0.35">
      <c r="A1901">
        <v>2867</v>
      </c>
      <c r="B1901" s="4" t="s">
        <v>1137</v>
      </c>
      <c r="C1901" s="4" t="s">
        <v>182</v>
      </c>
      <c r="D1901" s="4" t="s">
        <v>32</v>
      </c>
      <c r="E1901">
        <v>0</v>
      </c>
      <c r="F1901" s="3">
        <v>2734.0382</v>
      </c>
      <c r="G1901" s="2">
        <v>0.63456310679611705</v>
      </c>
      <c r="H1901" s="3">
        <v>0</v>
      </c>
      <c r="I1901" s="1">
        <v>45730</v>
      </c>
      <c r="J1901" s="4" t="s">
        <v>7</v>
      </c>
      <c r="K1901" s="4" t="s">
        <v>8</v>
      </c>
      <c r="L1901" s="3">
        <v>478.82</v>
      </c>
      <c r="M1901" s="4" t="s">
        <v>1255</v>
      </c>
      <c r="N1901" s="3">
        <v>0</v>
      </c>
    </row>
    <row r="1902" spans="1:14" x14ac:dyDescent="0.35">
      <c r="A1902">
        <v>2868</v>
      </c>
      <c r="B1902" s="4" t="s">
        <v>1138</v>
      </c>
      <c r="C1902" s="4" t="s">
        <v>349</v>
      </c>
      <c r="D1902" s="4" t="s">
        <v>19</v>
      </c>
      <c r="E1902">
        <v>4</v>
      </c>
      <c r="F1902" s="3">
        <v>1392.21</v>
      </c>
      <c r="G1902" s="2">
        <v>0.63456310679611705</v>
      </c>
      <c r="H1902" s="3">
        <v>0</v>
      </c>
      <c r="I1902" s="1">
        <v>45611</v>
      </c>
      <c r="J1902" s="4" t="s">
        <v>18</v>
      </c>
      <c r="K1902" s="4" t="s">
        <v>12</v>
      </c>
      <c r="L1902" s="3">
        <v>758.3</v>
      </c>
      <c r="M1902" s="4" t="s">
        <v>1255</v>
      </c>
      <c r="N1902" s="3">
        <v>5568.84</v>
      </c>
    </row>
    <row r="1903" spans="1:14" x14ac:dyDescent="0.35">
      <c r="A1903">
        <v>2869</v>
      </c>
      <c r="B1903" s="4" t="s">
        <v>1087</v>
      </c>
      <c r="C1903" s="4" t="s">
        <v>1139</v>
      </c>
      <c r="D1903" s="4" t="s">
        <v>17</v>
      </c>
      <c r="E1903">
        <v>0</v>
      </c>
      <c r="F1903" s="3">
        <v>4238.91</v>
      </c>
      <c r="G1903" s="2">
        <v>0.63456310679611705</v>
      </c>
      <c r="H1903" s="3">
        <v>0</v>
      </c>
      <c r="I1903" s="1">
        <v>45611</v>
      </c>
      <c r="J1903" s="4" t="s">
        <v>23</v>
      </c>
      <c r="K1903" s="4" t="s">
        <v>12</v>
      </c>
      <c r="L1903" s="3">
        <v>-746.44</v>
      </c>
      <c r="M1903" s="4" t="s">
        <v>1255</v>
      </c>
      <c r="N1903" s="3">
        <v>0</v>
      </c>
    </row>
    <row r="1904" spans="1:14" x14ac:dyDescent="0.35">
      <c r="A1904">
        <v>2870</v>
      </c>
      <c r="B1904" s="4" t="s">
        <v>358</v>
      </c>
      <c r="C1904" s="4" t="s">
        <v>242</v>
      </c>
      <c r="D1904" s="4" t="s">
        <v>32</v>
      </c>
      <c r="E1904">
        <v>2</v>
      </c>
      <c r="F1904" s="3">
        <v>839.34</v>
      </c>
      <c r="G1904" s="2">
        <v>0.63456310679611705</v>
      </c>
      <c r="H1904" s="3">
        <v>0</v>
      </c>
      <c r="I1904" s="1">
        <v>45580</v>
      </c>
      <c r="J1904" s="4" t="s">
        <v>20</v>
      </c>
      <c r="K1904" s="4" t="s">
        <v>8</v>
      </c>
      <c r="L1904" s="3">
        <v>367.87</v>
      </c>
      <c r="M1904" s="4" t="s">
        <v>1255</v>
      </c>
      <c r="N1904" s="3">
        <v>1678.68</v>
      </c>
    </row>
    <row r="1905" spans="1:14" x14ac:dyDescent="0.35">
      <c r="A1905">
        <v>2871</v>
      </c>
      <c r="B1905" s="4" t="s">
        <v>89</v>
      </c>
      <c r="C1905" s="4" t="s">
        <v>523</v>
      </c>
      <c r="D1905" s="4" t="s">
        <v>25</v>
      </c>
      <c r="E1905">
        <v>0</v>
      </c>
      <c r="F1905" s="3">
        <v>2733.5106000000001</v>
      </c>
      <c r="G1905" s="2">
        <v>0.63456310679611705</v>
      </c>
      <c r="H1905" s="3">
        <v>0</v>
      </c>
      <c r="I1905" s="1">
        <v>45751</v>
      </c>
      <c r="J1905" s="4" t="s">
        <v>11</v>
      </c>
      <c r="K1905" s="4" t="s">
        <v>8</v>
      </c>
      <c r="L1905" s="3">
        <v>2126.04</v>
      </c>
      <c r="M1905" s="4" t="s">
        <v>1255</v>
      </c>
      <c r="N1905" s="3">
        <v>0</v>
      </c>
    </row>
    <row r="1906" spans="1:14" hidden="1" x14ac:dyDescent="0.35">
      <c r="A1906">
        <v>2872</v>
      </c>
      <c r="B1906" s="4" t="s">
        <v>143</v>
      </c>
      <c r="C1906" s="4" t="s">
        <v>664</v>
      </c>
      <c r="D1906" s="4" t="s">
        <v>21</v>
      </c>
      <c r="E1906">
        <v>-1</v>
      </c>
      <c r="F1906" s="3">
        <v>2739.6605</v>
      </c>
      <c r="G1906" s="2">
        <v>0.63456310679611705</v>
      </c>
      <c r="H1906" s="3">
        <v>0</v>
      </c>
      <c r="I1906" s="1">
        <v>45593</v>
      </c>
      <c r="J1906" s="4" t="s">
        <v>18</v>
      </c>
      <c r="K1906" s="4" t="s">
        <v>40</v>
      </c>
      <c r="L1906" s="3">
        <v>148.19999999999999</v>
      </c>
      <c r="M1906" s="4" t="s">
        <v>1255</v>
      </c>
      <c r="N1906" s="3">
        <v>-2739.6605</v>
      </c>
    </row>
    <row r="1907" spans="1:14" x14ac:dyDescent="0.35">
      <c r="A1907">
        <v>2873</v>
      </c>
      <c r="B1907" s="4" t="s">
        <v>262</v>
      </c>
      <c r="C1907" s="4" t="s">
        <v>1140</v>
      </c>
      <c r="D1907" s="4" t="s">
        <v>13</v>
      </c>
      <c r="E1907">
        <v>5</v>
      </c>
      <c r="F1907" s="3">
        <v>1354.14</v>
      </c>
      <c r="G1907" s="2">
        <v>0.63456310679611705</v>
      </c>
      <c r="H1907" s="3">
        <v>0</v>
      </c>
      <c r="I1907" s="1">
        <v>45740</v>
      </c>
      <c r="J1907" s="4" t="s">
        <v>9</v>
      </c>
      <c r="K1907" s="4" t="s">
        <v>12</v>
      </c>
      <c r="L1907" s="3">
        <v>2535.62</v>
      </c>
      <c r="M1907" s="4" t="s">
        <v>1255</v>
      </c>
      <c r="N1907" s="3">
        <v>6770.7</v>
      </c>
    </row>
    <row r="1908" spans="1:14" hidden="1" x14ac:dyDescent="0.35">
      <c r="A1908">
        <v>2874</v>
      </c>
      <c r="B1908" s="4" t="s">
        <v>228</v>
      </c>
      <c r="C1908" s="4" t="s">
        <v>619</v>
      </c>
      <c r="D1908" s="4" t="s">
        <v>16</v>
      </c>
      <c r="E1908">
        <v>0</v>
      </c>
      <c r="F1908" s="3">
        <v>3754.23</v>
      </c>
      <c r="G1908" s="2">
        <v>0.87</v>
      </c>
      <c r="H1908" s="3">
        <v>0</v>
      </c>
      <c r="I1908" s="1">
        <v>45561</v>
      </c>
      <c r="J1908" s="4" t="s">
        <v>11</v>
      </c>
      <c r="K1908" s="4" t="s">
        <v>40</v>
      </c>
      <c r="L1908" s="3">
        <v>-153.77000000000001</v>
      </c>
      <c r="M1908" s="4" t="s">
        <v>1255</v>
      </c>
      <c r="N1908" s="3">
        <v>0</v>
      </c>
    </row>
    <row r="1909" spans="1:14" x14ac:dyDescent="0.35">
      <c r="A1909">
        <v>2875</v>
      </c>
      <c r="B1909" s="4" t="s">
        <v>122</v>
      </c>
      <c r="C1909" s="4" t="s">
        <v>973</v>
      </c>
      <c r="D1909" s="4" t="s">
        <v>10</v>
      </c>
      <c r="E1909">
        <v>2</v>
      </c>
      <c r="F1909" s="3">
        <v>2744.1736000000001</v>
      </c>
      <c r="G1909" s="2">
        <v>0.63341463414634203</v>
      </c>
      <c r="H1909" s="3">
        <v>0</v>
      </c>
      <c r="I1909" s="1">
        <v>45609</v>
      </c>
      <c r="J1909" s="4" t="s">
        <v>7</v>
      </c>
      <c r="K1909" s="4" t="s">
        <v>12</v>
      </c>
      <c r="L1909" s="3">
        <v>1291.9000000000001</v>
      </c>
      <c r="M1909" s="4" t="s">
        <v>1255</v>
      </c>
      <c r="N1909" s="3">
        <v>5488.3472000000002</v>
      </c>
    </row>
    <row r="1910" spans="1:14" x14ac:dyDescent="0.35">
      <c r="A1910">
        <v>2876</v>
      </c>
      <c r="B1910" s="4" t="s">
        <v>687</v>
      </c>
      <c r="C1910" s="4" t="s">
        <v>345</v>
      </c>
      <c r="D1910" s="4" t="s">
        <v>21</v>
      </c>
      <c r="E1910">
        <v>6</v>
      </c>
      <c r="F1910" s="3">
        <v>3824.82</v>
      </c>
      <c r="G1910" s="2">
        <v>0.82</v>
      </c>
      <c r="H1910" s="3">
        <v>4130.8100000000004</v>
      </c>
      <c r="I1910" s="1">
        <v>45506</v>
      </c>
      <c r="J1910" s="4" t="s">
        <v>18</v>
      </c>
      <c r="K1910" s="4" t="s">
        <v>8</v>
      </c>
      <c r="L1910" s="3">
        <v>688.53</v>
      </c>
      <c r="M1910" s="4" t="s">
        <v>1256</v>
      </c>
      <c r="N1910" s="3">
        <v>22948.92</v>
      </c>
    </row>
    <row r="1911" spans="1:14" x14ac:dyDescent="0.35">
      <c r="A1911">
        <v>2877</v>
      </c>
      <c r="B1911" s="4" t="s">
        <v>1008</v>
      </c>
      <c r="C1911" s="4" t="s">
        <v>1141</v>
      </c>
      <c r="D1911" s="4" t="s">
        <v>29</v>
      </c>
      <c r="E1911">
        <v>0</v>
      </c>
      <c r="F1911" s="3">
        <v>2740.8726999999999</v>
      </c>
      <c r="G1911" s="2">
        <v>0.28999999999999998</v>
      </c>
      <c r="H1911" s="3">
        <v>0</v>
      </c>
      <c r="I1911" s="1">
        <v>45506</v>
      </c>
      <c r="J1911" s="4" t="s">
        <v>23</v>
      </c>
      <c r="K1911" s="4" t="s">
        <v>12</v>
      </c>
      <c r="L1911" s="3">
        <v>2293.59</v>
      </c>
      <c r="M1911" s="4" t="s">
        <v>1255</v>
      </c>
      <c r="N1911" s="3">
        <v>0</v>
      </c>
    </row>
    <row r="1912" spans="1:14" x14ac:dyDescent="0.35">
      <c r="A1912">
        <v>2878</v>
      </c>
      <c r="B1912" s="4" t="s">
        <v>69</v>
      </c>
      <c r="C1912" s="4" t="s">
        <v>792</v>
      </c>
      <c r="D1912" s="4" t="s">
        <v>27</v>
      </c>
      <c r="E1912">
        <v>0</v>
      </c>
      <c r="F1912" s="3">
        <v>2737.3188</v>
      </c>
      <c r="G1912" s="2">
        <v>0.63418719211822605</v>
      </c>
      <c r="H1912" s="3">
        <v>0</v>
      </c>
      <c r="I1912" s="1">
        <v>45663</v>
      </c>
      <c r="J1912" s="4" t="s">
        <v>23</v>
      </c>
      <c r="K1912" s="4" t="s">
        <v>8</v>
      </c>
      <c r="L1912" s="3">
        <v>2309.5500000000002</v>
      </c>
      <c r="M1912" s="4" t="s">
        <v>1255</v>
      </c>
      <c r="N1912" s="3">
        <v>0</v>
      </c>
    </row>
    <row r="1913" spans="1:14" x14ac:dyDescent="0.35">
      <c r="A1913">
        <v>2879</v>
      </c>
      <c r="B1913" s="4" t="s">
        <v>274</v>
      </c>
      <c r="C1913" s="4" t="s">
        <v>826</v>
      </c>
      <c r="D1913" s="4" t="s">
        <v>27</v>
      </c>
      <c r="E1913">
        <v>0</v>
      </c>
      <c r="F1913" s="3">
        <v>2737.3188</v>
      </c>
      <c r="G1913" s="2">
        <v>0.02</v>
      </c>
      <c r="H1913" s="3">
        <v>0</v>
      </c>
      <c r="I1913" s="1">
        <v>45663</v>
      </c>
      <c r="J1913" s="4" t="s">
        <v>7</v>
      </c>
      <c r="K1913" s="4" t="s">
        <v>12</v>
      </c>
      <c r="L1913" s="3">
        <v>1146.23</v>
      </c>
      <c r="M1913" s="4" t="s">
        <v>1255</v>
      </c>
      <c r="N1913" s="3">
        <v>0</v>
      </c>
    </row>
    <row r="1914" spans="1:14" x14ac:dyDescent="0.35">
      <c r="A1914">
        <v>2880</v>
      </c>
      <c r="B1914" s="4" t="s">
        <v>861</v>
      </c>
      <c r="C1914" s="4" t="s">
        <v>505</v>
      </c>
      <c r="D1914" s="4" t="s">
        <v>14</v>
      </c>
      <c r="E1914">
        <v>0</v>
      </c>
      <c r="F1914" s="3">
        <v>2737.3188</v>
      </c>
      <c r="G1914" s="2">
        <v>0.63722772277227702</v>
      </c>
      <c r="H1914" s="3">
        <v>0</v>
      </c>
      <c r="I1914" s="1">
        <v>45823</v>
      </c>
      <c r="J1914" s="4" t="s">
        <v>11</v>
      </c>
      <c r="K1914" s="4" t="s">
        <v>8</v>
      </c>
      <c r="L1914" s="3">
        <v>970.22</v>
      </c>
      <c r="M1914" s="4" t="s">
        <v>1255</v>
      </c>
      <c r="N1914" s="3">
        <v>0</v>
      </c>
    </row>
    <row r="1915" spans="1:14" x14ac:dyDescent="0.35">
      <c r="A1915">
        <v>2881</v>
      </c>
      <c r="B1915" s="4" t="s">
        <v>174</v>
      </c>
      <c r="C1915" s="4" t="s">
        <v>553</v>
      </c>
      <c r="D1915" s="4" t="s">
        <v>16</v>
      </c>
      <c r="E1915">
        <v>-2</v>
      </c>
      <c r="F1915" s="3">
        <v>2737.3188</v>
      </c>
      <c r="G1915" s="2">
        <v>0.63722772277227702</v>
      </c>
      <c r="H1915" s="3">
        <v>0</v>
      </c>
      <c r="I1915" s="1">
        <v>45538</v>
      </c>
      <c r="J1915" s="4" t="s">
        <v>23</v>
      </c>
      <c r="K1915" s="4" t="s">
        <v>8</v>
      </c>
      <c r="L1915" s="3">
        <v>1850.77</v>
      </c>
      <c r="M1915" s="4" t="s">
        <v>1255</v>
      </c>
      <c r="N1915" s="3">
        <v>-5474.6376</v>
      </c>
    </row>
    <row r="1916" spans="1:14" hidden="1" x14ac:dyDescent="0.35">
      <c r="A1916">
        <v>2882</v>
      </c>
      <c r="B1916" s="4" t="s">
        <v>81</v>
      </c>
      <c r="C1916" s="4" t="s">
        <v>234</v>
      </c>
      <c r="D1916" s="4" t="s">
        <v>35</v>
      </c>
      <c r="E1916">
        <v>3</v>
      </c>
      <c r="F1916" s="3">
        <v>583.53</v>
      </c>
      <c r="G1916" s="2">
        <v>0.63722772277227702</v>
      </c>
      <c r="H1916" s="3">
        <v>0</v>
      </c>
      <c r="I1916" s="1">
        <v>45701</v>
      </c>
      <c r="J1916" s="4" t="s">
        <v>11</v>
      </c>
      <c r="K1916" s="4" t="s">
        <v>40</v>
      </c>
      <c r="L1916" s="3">
        <v>2334.42</v>
      </c>
      <c r="M1916" s="4" t="s">
        <v>1255</v>
      </c>
      <c r="N1916" s="3">
        <v>1750.59</v>
      </c>
    </row>
    <row r="1917" spans="1:14" x14ac:dyDescent="0.35">
      <c r="A1917">
        <v>2883</v>
      </c>
      <c r="B1917" s="4" t="s">
        <v>85</v>
      </c>
      <c r="C1917" s="4" t="s">
        <v>774</v>
      </c>
      <c r="D1917" s="4" t="s">
        <v>28</v>
      </c>
      <c r="E1917">
        <v>0</v>
      </c>
      <c r="F1917" s="3">
        <v>2320.7600000000002</v>
      </c>
      <c r="G1917" s="2">
        <v>0.63722772277227702</v>
      </c>
      <c r="H1917" s="3">
        <v>0</v>
      </c>
      <c r="I1917" s="1">
        <v>45850</v>
      </c>
      <c r="J1917" s="4" t="s">
        <v>9</v>
      </c>
      <c r="K1917" s="4" t="s">
        <v>8</v>
      </c>
      <c r="L1917" s="3">
        <v>2529.16</v>
      </c>
      <c r="M1917" s="4" t="s">
        <v>1255</v>
      </c>
      <c r="N1917" s="3">
        <v>0</v>
      </c>
    </row>
    <row r="1918" spans="1:14" x14ac:dyDescent="0.35">
      <c r="A1918">
        <v>2884</v>
      </c>
      <c r="B1918" s="4" t="s">
        <v>538</v>
      </c>
      <c r="C1918" s="4" t="s">
        <v>529</v>
      </c>
      <c r="D1918" s="4" t="s">
        <v>32</v>
      </c>
      <c r="E1918">
        <v>2</v>
      </c>
      <c r="F1918" s="3">
        <v>2744.4036999999998</v>
      </c>
      <c r="G1918" s="2">
        <v>0.4</v>
      </c>
      <c r="H1918" s="3">
        <v>0</v>
      </c>
      <c r="I1918" s="1">
        <v>45701</v>
      </c>
      <c r="J1918" s="4" t="s">
        <v>20</v>
      </c>
      <c r="K1918" s="4" t="s">
        <v>12</v>
      </c>
      <c r="L1918" s="3">
        <v>896.38</v>
      </c>
      <c r="M1918" s="4" t="s">
        <v>1255</v>
      </c>
      <c r="N1918" s="3">
        <v>5488.8073999999997</v>
      </c>
    </row>
    <row r="1919" spans="1:14" x14ac:dyDescent="0.35">
      <c r="A1919">
        <v>2885</v>
      </c>
      <c r="B1919" s="4" t="s">
        <v>319</v>
      </c>
      <c r="C1919" s="4" t="s">
        <v>1002</v>
      </c>
      <c r="D1919" s="4" t="s">
        <v>26</v>
      </c>
      <c r="E1919">
        <v>2</v>
      </c>
      <c r="F1919" s="3">
        <v>2666.48</v>
      </c>
      <c r="G1919" s="2">
        <v>0.63840796019900503</v>
      </c>
      <c r="H1919" s="3">
        <v>0</v>
      </c>
      <c r="I1919" s="1">
        <v>45776</v>
      </c>
      <c r="J1919" s="4" t="s">
        <v>20</v>
      </c>
      <c r="K1919" s="4" t="s">
        <v>12</v>
      </c>
      <c r="L1919" s="3">
        <v>-17.89</v>
      </c>
      <c r="M1919" s="4" t="s">
        <v>1255</v>
      </c>
      <c r="N1919" s="3">
        <v>5332.96</v>
      </c>
    </row>
    <row r="1920" spans="1:14" x14ac:dyDescent="0.35">
      <c r="A1920">
        <v>2886</v>
      </c>
      <c r="B1920" s="4" t="s">
        <v>1071</v>
      </c>
      <c r="C1920" s="4" t="s">
        <v>683</v>
      </c>
      <c r="D1920" s="4" t="s">
        <v>28</v>
      </c>
      <c r="E1920">
        <v>0</v>
      </c>
      <c r="F1920" s="3">
        <v>3229.15</v>
      </c>
      <c r="G1920" s="2">
        <v>1.03</v>
      </c>
      <c r="H1920" s="3">
        <v>0</v>
      </c>
      <c r="I1920" s="1">
        <v>45747</v>
      </c>
      <c r="J1920" s="4" t="s">
        <v>9</v>
      </c>
      <c r="K1920" s="4" t="s">
        <v>12</v>
      </c>
      <c r="L1920" s="3">
        <v>175.26</v>
      </c>
      <c r="M1920" s="4" t="s">
        <v>1255</v>
      </c>
      <c r="N1920" s="3">
        <v>0</v>
      </c>
    </row>
    <row r="1921" spans="1:14" x14ac:dyDescent="0.35">
      <c r="A1921">
        <v>2887</v>
      </c>
      <c r="B1921" s="4" t="s">
        <v>421</v>
      </c>
      <c r="C1921" s="4" t="s">
        <v>925</v>
      </c>
      <c r="D1921" s="4" t="s">
        <v>16</v>
      </c>
      <c r="E1921">
        <v>0</v>
      </c>
      <c r="F1921" s="3">
        <v>3331.72</v>
      </c>
      <c r="G1921" s="2">
        <v>1.25</v>
      </c>
      <c r="H1921" s="3">
        <v>0</v>
      </c>
      <c r="I1921" s="1">
        <v>45747</v>
      </c>
      <c r="J1921" s="4" t="s">
        <v>11</v>
      </c>
      <c r="K1921" s="4" t="s">
        <v>12</v>
      </c>
      <c r="L1921" s="3">
        <v>-267.95999999999998</v>
      </c>
      <c r="M1921" s="4" t="s">
        <v>1255</v>
      </c>
      <c r="N1921" s="3">
        <v>0</v>
      </c>
    </row>
    <row r="1922" spans="1:14" hidden="1" x14ac:dyDescent="0.35">
      <c r="A1922">
        <v>2888</v>
      </c>
      <c r="B1922" s="4" t="s">
        <v>183</v>
      </c>
      <c r="C1922" s="4" t="s">
        <v>1142</v>
      </c>
      <c r="D1922" s="4" t="s">
        <v>17</v>
      </c>
      <c r="E1922">
        <v>-1</v>
      </c>
      <c r="F1922" s="3">
        <v>2744.4594999999999</v>
      </c>
      <c r="G1922" s="2">
        <v>0.63336683417085404</v>
      </c>
      <c r="H1922" s="3">
        <v>0</v>
      </c>
      <c r="I1922" s="1">
        <v>45148</v>
      </c>
      <c r="J1922" s="4" t="s">
        <v>9</v>
      </c>
      <c r="K1922" s="4" t="s">
        <v>40</v>
      </c>
      <c r="L1922" s="3">
        <v>2007.16</v>
      </c>
      <c r="M1922" s="4" t="s">
        <v>1255</v>
      </c>
      <c r="N1922" s="3">
        <v>-2744.4594999999999</v>
      </c>
    </row>
    <row r="1923" spans="1:14" hidden="1" x14ac:dyDescent="0.35">
      <c r="A1923">
        <v>2889</v>
      </c>
      <c r="B1923" s="4" t="s">
        <v>960</v>
      </c>
      <c r="C1923" s="4" t="s">
        <v>925</v>
      </c>
      <c r="D1923" s="4" t="s">
        <v>13</v>
      </c>
      <c r="E1923">
        <v>5</v>
      </c>
      <c r="F1923" s="3">
        <v>2742.502</v>
      </c>
      <c r="G1923" s="2">
        <v>0.63336683417085404</v>
      </c>
      <c r="H1923" s="3">
        <v>0</v>
      </c>
      <c r="I1923" s="1">
        <v>45130</v>
      </c>
      <c r="J1923" s="4" t="s">
        <v>23</v>
      </c>
      <c r="K1923" s="4" t="s">
        <v>40</v>
      </c>
      <c r="L1923" s="3">
        <v>1874.28</v>
      </c>
      <c r="M1923" s="4" t="s">
        <v>1255</v>
      </c>
      <c r="N1923" s="3">
        <v>13712.51</v>
      </c>
    </row>
    <row r="1924" spans="1:14" hidden="1" x14ac:dyDescent="0.35">
      <c r="A1924">
        <v>2890</v>
      </c>
      <c r="B1924" s="4" t="s">
        <v>292</v>
      </c>
      <c r="C1924" s="4" t="s">
        <v>1143</v>
      </c>
      <c r="D1924" s="4" t="s">
        <v>25</v>
      </c>
      <c r="E1924">
        <v>1</v>
      </c>
      <c r="F1924" s="3">
        <v>2357.36</v>
      </c>
      <c r="G1924" s="2">
        <v>0.63336683417085404</v>
      </c>
      <c r="H1924" s="3">
        <v>0</v>
      </c>
      <c r="I1924" s="1">
        <v>45413</v>
      </c>
      <c r="J1924" s="4" t="s">
        <v>20</v>
      </c>
      <c r="K1924" s="4" t="s">
        <v>40</v>
      </c>
      <c r="L1924" s="3">
        <v>468.3</v>
      </c>
      <c r="M1924" s="4" t="s">
        <v>1255</v>
      </c>
      <c r="N1924" s="3">
        <v>2357.36</v>
      </c>
    </row>
    <row r="1925" spans="1:14" hidden="1" x14ac:dyDescent="0.35">
      <c r="A1925">
        <v>2891</v>
      </c>
      <c r="B1925" s="4" t="s">
        <v>1144</v>
      </c>
      <c r="C1925" s="4" t="s">
        <v>50</v>
      </c>
      <c r="D1925" s="4" t="s">
        <v>10</v>
      </c>
      <c r="E1925">
        <v>0</v>
      </c>
      <c r="F1925" s="3">
        <v>2742.502</v>
      </c>
      <c r="G1925" s="2">
        <v>0.63336683417085404</v>
      </c>
      <c r="H1925" s="3">
        <v>0</v>
      </c>
      <c r="I1925" s="1">
        <v>45413</v>
      </c>
      <c r="J1925" s="4" t="s">
        <v>9</v>
      </c>
      <c r="K1925" s="4" t="s">
        <v>40</v>
      </c>
      <c r="L1925" s="3">
        <v>-363.86</v>
      </c>
      <c r="M1925" s="4" t="s">
        <v>1255</v>
      </c>
      <c r="N1925" s="3">
        <v>0</v>
      </c>
    </row>
    <row r="1926" spans="1:14" hidden="1" x14ac:dyDescent="0.35">
      <c r="A1926">
        <v>2892</v>
      </c>
      <c r="B1926" s="4" t="s">
        <v>1145</v>
      </c>
      <c r="C1926" s="4" t="s">
        <v>917</v>
      </c>
      <c r="D1926" s="4" t="s">
        <v>14</v>
      </c>
      <c r="E1926">
        <v>0</v>
      </c>
      <c r="F1926" s="3">
        <v>2743.7901000000002</v>
      </c>
      <c r="G1926" s="2">
        <v>0.63336683417085404</v>
      </c>
      <c r="H1926" s="3">
        <v>0</v>
      </c>
      <c r="I1926" s="1">
        <v>45519</v>
      </c>
      <c r="J1926" s="4" t="s">
        <v>9</v>
      </c>
      <c r="K1926" s="4" t="s">
        <v>40</v>
      </c>
      <c r="L1926" s="3">
        <v>-502.19</v>
      </c>
      <c r="M1926" s="4" t="s">
        <v>1255</v>
      </c>
      <c r="N1926" s="3">
        <v>0</v>
      </c>
    </row>
    <row r="1927" spans="1:14" x14ac:dyDescent="0.35">
      <c r="A1927">
        <v>2893</v>
      </c>
      <c r="B1927" s="4" t="s">
        <v>85</v>
      </c>
      <c r="C1927" s="4" t="s">
        <v>1146</v>
      </c>
      <c r="D1927" s="4" t="s">
        <v>13</v>
      </c>
      <c r="E1927">
        <v>0</v>
      </c>
      <c r="F1927" s="3">
        <v>2743.7901000000002</v>
      </c>
      <c r="G1927" s="2">
        <v>0.63336683417085404</v>
      </c>
      <c r="H1927" s="3">
        <v>0</v>
      </c>
      <c r="I1927" s="1">
        <v>45542</v>
      </c>
      <c r="J1927" s="4" t="s">
        <v>18</v>
      </c>
      <c r="K1927" s="4" t="s">
        <v>12</v>
      </c>
      <c r="L1927" s="3">
        <v>1825.47</v>
      </c>
      <c r="M1927" s="4" t="s">
        <v>1255</v>
      </c>
      <c r="N1927" s="3">
        <v>0</v>
      </c>
    </row>
    <row r="1928" spans="1:14" x14ac:dyDescent="0.35">
      <c r="A1928">
        <v>2894</v>
      </c>
      <c r="B1928" s="4" t="s">
        <v>1071</v>
      </c>
      <c r="C1928" s="4" t="s">
        <v>465</v>
      </c>
      <c r="D1928" s="4" t="s">
        <v>13</v>
      </c>
      <c r="E1928">
        <v>3</v>
      </c>
      <c r="F1928" s="3">
        <v>2743.7901000000002</v>
      </c>
      <c r="G1928" s="2">
        <v>0.63336683417085404</v>
      </c>
      <c r="H1928" s="3">
        <v>0</v>
      </c>
      <c r="I1928" s="1">
        <v>45542</v>
      </c>
      <c r="J1928" s="4" t="s">
        <v>18</v>
      </c>
      <c r="K1928" s="4" t="s">
        <v>12</v>
      </c>
      <c r="L1928" s="3">
        <v>1479.24</v>
      </c>
      <c r="M1928" s="4" t="s">
        <v>1255</v>
      </c>
      <c r="N1928" s="3">
        <v>8231.3703000000005</v>
      </c>
    </row>
    <row r="1929" spans="1:14" x14ac:dyDescent="0.35">
      <c r="A1929">
        <v>2896</v>
      </c>
      <c r="B1929" s="4" t="s">
        <v>340</v>
      </c>
      <c r="C1929" s="4" t="s">
        <v>209</v>
      </c>
      <c r="D1929" s="4" t="s">
        <v>25</v>
      </c>
      <c r="E1929">
        <v>0</v>
      </c>
      <c r="F1929" s="3">
        <v>2743.7901000000002</v>
      </c>
      <c r="G1929" s="2">
        <v>0.634848484848485</v>
      </c>
      <c r="H1929" s="3">
        <v>0</v>
      </c>
      <c r="I1929" s="1">
        <v>45552</v>
      </c>
      <c r="J1929" s="4" t="s">
        <v>23</v>
      </c>
      <c r="K1929" s="4" t="s">
        <v>8</v>
      </c>
      <c r="L1929" s="3">
        <v>2760.7</v>
      </c>
      <c r="M1929" s="4" t="s">
        <v>1255</v>
      </c>
      <c r="N1929" s="3">
        <v>0</v>
      </c>
    </row>
    <row r="1930" spans="1:14" x14ac:dyDescent="0.35">
      <c r="A1930">
        <v>2897</v>
      </c>
      <c r="B1930" s="4" t="s">
        <v>85</v>
      </c>
      <c r="C1930" s="4" t="s">
        <v>122</v>
      </c>
      <c r="D1930" s="4" t="s">
        <v>30</v>
      </c>
      <c r="E1930">
        <v>1</v>
      </c>
      <c r="F1930" s="3">
        <v>1194.44</v>
      </c>
      <c r="G1930" s="2">
        <v>0.634848484848485</v>
      </c>
      <c r="H1930" s="3">
        <v>0</v>
      </c>
      <c r="I1930" s="1">
        <v>45824</v>
      </c>
      <c r="J1930" s="4" t="s">
        <v>7</v>
      </c>
      <c r="K1930" s="4" t="s">
        <v>12</v>
      </c>
      <c r="L1930" s="3">
        <v>1048.51</v>
      </c>
      <c r="M1930" s="4" t="s">
        <v>1255</v>
      </c>
      <c r="N1930" s="3">
        <v>1194.44</v>
      </c>
    </row>
    <row r="1931" spans="1:14" x14ac:dyDescent="0.35">
      <c r="A1931">
        <v>2898</v>
      </c>
      <c r="B1931" s="4" t="s">
        <v>43</v>
      </c>
      <c r="C1931" s="4" t="s">
        <v>937</v>
      </c>
      <c r="D1931" s="4" t="s">
        <v>25</v>
      </c>
      <c r="E1931">
        <v>6</v>
      </c>
      <c r="F1931" s="3">
        <v>2740.9402</v>
      </c>
      <c r="G1931" s="2">
        <v>0.54</v>
      </c>
      <c r="H1931" s="3">
        <v>0</v>
      </c>
      <c r="I1931" s="1">
        <v>45795</v>
      </c>
      <c r="J1931" s="4" t="s">
        <v>7</v>
      </c>
      <c r="K1931" s="4" t="s">
        <v>12</v>
      </c>
      <c r="L1931" s="3">
        <v>-274.57</v>
      </c>
      <c r="M1931" s="4" t="s">
        <v>1255</v>
      </c>
      <c r="N1931" s="3">
        <v>16445.641199999998</v>
      </c>
    </row>
    <row r="1932" spans="1:14" x14ac:dyDescent="0.35">
      <c r="A1932">
        <v>2899</v>
      </c>
      <c r="B1932" s="4" t="s">
        <v>328</v>
      </c>
      <c r="C1932" s="4" t="s">
        <v>297</v>
      </c>
      <c r="D1932" s="4" t="s">
        <v>19</v>
      </c>
      <c r="E1932">
        <v>2</v>
      </c>
      <c r="F1932" s="3">
        <v>3086.59</v>
      </c>
      <c r="G1932" s="2">
        <v>0.635329949238578</v>
      </c>
      <c r="H1932" s="3">
        <v>0</v>
      </c>
      <c r="I1932" s="1">
        <v>45683</v>
      </c>
      <c r="J1932" s="4" t="s">
        <v>7</v>
      </c>
      <c r="K1932" s="4" t="s">
        <v>8</v>
      </c>
      <c r="L1932" s="3">
        <v>-745.27</v>
      </c>
      <c r="M1932" s="4" t="s">
        <v>1255</v>
      </c>
      <c r="N1932" s="3">
        <v>6173.18</v>
      </c>
    </row>
    <row r="1933" spans="1:14" x14ac:dyDescent="0.35">
      <c r="A1933">
        <v>2900</v>
      </c>
      <c r="B1933" s="4" t="s">
        <v>319</v>
      </c>
      <c r="C1933" s="4" t="s">
        <v>495</v>
      </c>
      <c r="D1933" s="4" t="s">
        <v>25</v>
      </c>
      <c r="E1933">
        <v>0</v>
      </c>
      <c r="F1933" s="3">
        <v>2746.1473000000001</v>
      </c>
      <c r="G1933" s="2">
        <v>0.635329949238578</v>
      </c>
      <c r="H1933" s="3">
        <v>0</v>
      </c>
      <c r="I1933" s="1">
        <v>45683</v>
      </c>
      <c r="J1933" s="4" t="s">
        <v>9</v>
      </c>
      <c r="K1933" s="4" t="s">
        <v>12</v>
      </c>
      <c r="L1933" s="3">
        <v>36.92</v>
      </c>
      <c r="M1933" s="4" t="s">
        <v>1255</v>
      </c>
      <c r="N1933" s="3">
        <v>0</v>
      </c>
    </row>
    <row r="1934" spans="1:14" x14ac:dyDescent="0.35">
      <c r="A1934">
        <v>2901</v>
      </c>
      <c r="B1934" s="4" t="s">
        <v>1081</v>
      </c>
      <c r="C1934" s="4" t="s">
        <v>817</v>
      </c>
      <c r="D1934" s="4" t="s">
        <v>22</v>
      </c>
      <c r="E1934">
        <v>2</v>
      </c>
      <c r="F1934" s="3">
        <v>1817.71</v>
      </c>
      <c r="G1934" s="2">
        <v>0.635329949238578</v>
      </c>
      <c r="H1934" s="3">
        <v>0</v>
      </c>
      <c r="I1934" s="1">
        <v>45775</v>
      </c>
      <c r="J1934" s="4" t="s">
        <v>11</v>
      </c>
      <c r="K1934" s="4" t="s">
        <v>8</v>
      </c>
      <c r="L1934" s="3">
        <v>391.06</v>
      </c>
      <c r="M1934" s="4" t="s">
        <v>1255</v>
      </c>
      <c r="N1934" s="3">
        <v>3635.42</v>
      </c>
    </row>
    <row r="1935" spans="1:14" hidden="1" x14ac:dyDescent="0.35">
      <c r="A1935">
        <v>2902</v>
      </c>
      <c r="B1935" s="4" t="s">
        <v>79</v>
      </c>
      <c r="C1935" s="4" t="s">
        <v>329</v>
      </c>
      <c r="D1935" s="4" t="s">
        <v>16</v>
      </c>
      <c r="E1935">
        <v>5</v>
      </c>
      <c r="F1935" s="3">
        <v>3153.37</v>
      </c>
      <c r="G1935" s="2">
        <v>0.635329949238578</v>
      </c>
      <c r="H1935" s="3">
        <v>0</v>
      </c>
      <c r="I1935" s="1">
        <v>45563</v>
      </c>
      <c r="J1935" s="4" t="s">
        <v>18</v>
      </c>
      <c r="K1935" s="4" t="s">
        <v>40</v>
      </c>
      <c r="L1935" s="3">
        <v>-594.19000000000005</v>
      </c>
      <c r="M1935" s="4" t="s">
        <v>1255</v>
      </c>
      <c r="N1935" s="3">
        <v>15766.85</v>
      </c>
    </row>
    <row r="1936" spans="1:14" x14ac:dyDescent="0.35">
      <c r="A1936">
        <v>2903</v>
      </c>
      <c r="B1936" s="4" t="s">
        <v>363</v>
      </c>
      <c r="C1936" s="4" t="s">
        <v>769</v>
      </c>
      <c r="D1936" s="4" t="s">
        <v>26</v>
      </c>
      <c r="E1936">
        <v>0</v>
      </c>
      <c r="F1936" s="3">
        <v>2748.1405</v>
      </c>
      <c r="G1936" s="2">
        <v>0.635329949238578</v>
      </c>
      <c r="H1936" s="3">
        <v>0</v>
      </c>
      <c r="I1936" s="1">
        <v>45563</v>
      </c>
      <c r="J1936" s="4" t="s">
        <v>23</v>
      </c>
      <c r="K1936" s="4" t="s">
        <v>8</v>
      </c>
      <c r="L1936" s="3">
        <v>2232.1799999999998</v>
      </c>
      <c r="M1936" s="4" t="s">
        <v>1255</v>
      </c>
      <c r="N1936" s="3">
        <v>0</v>
      </c>
    </row>
    <row r="1937" spans="1:14" x14ac:dyDescent="0.35">
      <c r="A1937">
        <v>2904</v>
      </c>
      <c r="B1937" s="4" t="s">
        <v>164</v>
      </c>
      <c r="C1937" s="4" t="s">
        <v>175</v>
      </c>
      <c r="D1937" s="4" t="s">
        <v>15</v>
      </c>
      <c r="E1937">
        <v>5</v>
      </c>
      <c r="F1937" s="3">
        <v>1202.73</v>
      </c>
      <c r="G1937" s="2">
        <v>0.635329949238578</v>
      </c>
      <c r="H1937" s="3">
        <v>0</v>
      </c>
      <c r="I1937" s="1">
        <v>45599</v>
      </c>
      <c r="J1937" s="4" t="s">
        <v>23</v>
      </c>
      <c r="K1937" s="4" t="s">
        <v>8</v>
      </c>
      <c r="L1937" s="3">
        <v>658.6</v>
      </c>
      <c r="M1937" s="4" t="s">
        <v>1255</v>
      </c>
      <c r="N1937" s="3">
        <v>6013.65</v>
      </c>
    </row>
    <row r="1938" spans="1:14" x14ac:dyDescent="0.35">
      <c r="A1938">
        <v>2905</v>
      </c>
      <c r="B1938" s="4" t="s">
        <v>1092</v>
      </c>
      <c r="C1938" s="4" t="s">
        <v>1024</v>
      </c>
      <c r="D1938" s="4" t="s">
        <v>21</v>
      </c>
      <c r="E1938">
        <v>0</v>
      </c>
      <c r="F1938" s="3">
        <v>1478.93</v>
      </c>
      <c r="G1938" s="2">
        <v>0.635329949238578</v>
      </c>
      <c r="H1938" s="3">
        <v>0</v>
      </c>
      <c r="I1938" s="1">
        <v>45715</v>
      </c>
      <c r="J1938" s="4" t="s">
        <v>23</v>
      </c>
      <c r="K1938" s="4" t="s">
        <v>8</v>
      </c>
      <c r="L1938" s="3">
        <v>25.28</v>
      </c>
      <c r="M1938" s="4" t="s">
        <v>1255</v>
      </c>
      <c r="N1938" s="3">
        <v>0</v>
      </c>
    </row>
    <row r="1939" spans="1:14" hidden="1" x14ac:dyDescent="0.35">
      <c r="A1939">
        <v>2906</v>
      </c>
      <c r="B1939" s="4" t="s">
        <v>379</v>
      </c>
      <c r="C1939" s="4" t="s">
        <v>238</v>
      </c>
      <c r="D1939" s="4" t="s">
        <v>31</v>
      </c>
      <c r="E1939">
        <v>0</v>
      </c>
      <c r="F1939" s="3">
        <v>2752.0319</v>
      </c>
      <c r="G1939" s="2">
        <v>0.25</v>
      </c>
      <c r="H1939" s="3">
        <v>0</v>
      </c>
      <c r="I1939" s="1">
        <v>45539</v>
      </c>
      <c r="J1939" s="4" t="s">
        <v>9</v>
      </c>
      <c r="K1939" s="4" t="s">
        <v>40</v>
      </c>
      <c r="L1939" s="3">
        <v>-116.3</v>
      </c>
      <c r="M1939" s="4" t="s">
        <v>1255</v>
      </c>
      <c r="N1939" s="3">
        <v>0</v>
      </c>
    </row>
    <row r="1940" spans="1:14" x14ac:dyDescent="0.35">
      <c r="A1940">
        <v>2907</v>
      </c>
      <c r="B1940" s="4" t="s">
        <v>964</v>
      </c>
      <c r="C1940" s="4" t="s">
        <v>1147</v>
      </c>
      <c r="D1940" s="4" t="s">
        <v>28</v>
      </c>
      <c r="E1940">
        <v>0</v>
      </c>
      <c r="F1940" s="3">
        <v>2756.3917999999999</v>
      </c>
      <c r="G1940" s="2">
        <v>0.637295918367347</v>
      </c>
      <c r="H1940" s="3">
        <v>0</v>
      </c>
      <c r="I1940" s="1">
        <v>45778</v>
      </c>
      <c r="J1940" s="4" t="s">
        <v>23</v>
      </c>
      <c r="K1940" s="4" t="s">
        <v>12</v>
      </c>
      <c r="L1940" s="3">
        <v>-782.3</v>
      </c>
      <c r="M1940" s="4" t="s">
        <v>1255</v>
      </c>
      <c r="N1940" s="3">
        <v>0</v>
      </c>
    </row>
    <row r="1941" spans="1:14" x14ac:dyDescent="0.35">
      <c r="A1941">
        <v>2908</v>
      </c>
      <c r="B1941" s="4" t="s">
        <v>563</v>
      </c>
      <c r="C1941" s="4" t="s">
        <v>1148</v>
      </c>
      <c r="D1941" s="4" t="s">
        <v>21</v>
      </c>
      <c r="E1941">
        <v>0</v>
      </c>
      <c r="F1941" s="3">
        <v>2756.3917999999999</v>
      </c>
      <c r="G1941" s="2">
        <v>0.51</v>
      </c>
      <c r="H1941" s="3">
        <v>0</v>
      </c>
      <c r="I1941" s="1">
        <v>45136</v>
      </c>
      <c r="J1941" s="4" t="s">
        <v>20</v>
      </c>
      <c r="K1941" s="4" t="s">
        <v>8</v>
      </c>
      <c r="L1941" s="3">
        <v>-61.23</v>
      </c>
      <c r="M1941" s="4" t="s">
        <v>1255</v>
      </c>
      <c r="N1941" s="3">
        <v>0</v>
      </c>
    </row>
    <row r="1942" spans="1:14" x14ac:dyDescent="0.35">
      <c r="A1942">
        <v>2909</v>
      </c>
      <c r="B1942" s="4" t="s">
        <v>1149</v>
      </c>
      <c r="C1942" s="4" t="s">
        <v>263</v>
      </c>
      <c r="D1942" s="4" t="s">
        <v>15</v>
      </c>
      <c r="E1942">
        <v>0</v>
      </c>
      <c r="F1942" s="3">
        <v>2928.84</v>
      </c>
      <c r="G1942" s="2">
        <v>0.63794871794871799</v>
      </c>
      <c r="H1942" s="3">
        <v>0</v>
      </c>
      <c r="I1942" s="1">
        <v>45727</v>
      </c>
      <c r="J1942" s="4" t="s">
        <v>7</v>
      </c>
      <c r="K1942" s="4" t="s">
        <v>12</v>
      </c>
      <c r="L1942" s="3">
        <v>-477.2</v>
      </c>
      <c r="M1942" s="4" t="s">
        <v>1255</v>
      </c>
      <c r="N1942" s="3">
        <v>0</v>
      </c>
    </row>
    <row r="1943" spans="1:14" x14ac:dyDescent="0.35">
      <c r="A1943">
        <v>2910</v>
      </c>
      <c r="B1943" s="4" t="s">
        <v>121</v>
      </c>
      <c r="C1943" s="4" t="s">
        <v>293</v>
      </c>
      <c r="D1943" s="4" t="s">
        <v>31</v>
      </c>
      <c r="E1943">
        <v>0</v>
      </c>
      <c r="F1943" s="3">
        <v>1027.54</v>
      </c>
      <c r="G1943" s="2">
        <v>0.55000000000000004</v>
      </c>
      <c r="H1943" s="3">
        <v>0</v>
      </c>
      <c r="I1943" s="1">
        <v>45678</v>
      </c>
      <c r="J1943" s="4" t="s">
        <v>9</v>
      </c>
      <c r="K1943" s="4" t="s">
        <v>8</v>
      </c>
      <c r="L1943" s="3">
        <v>-580.87</v>
      </c>
      <c r="M1943" s="4" t="s">
        <v>1255</v>
      </c>
      <c r="N1943" s="3">
        <v>0</v>
      </c>
    </row>
    <row r="1944" spans="1:14" x14ac:dyDescent="0.35">
      <c r="A1944">
        <v>2911</v>
      </c>
      <c r="B1944" s="4" t="s">
        <v>228</v>
      </c>
      <c r="C1944" s="4" t="s">
        <v>205</v>
      </c>
      <c r="D1944" s="4" t="s">
        <v>17</v>
      </c>
      <c r="E1944">
        <v>1</v>
      </c>
      <c r="F1944" s="3">
        <v>2755.7991999999999</v>
      </c>
      <c r="G1944" s="2">
        <v>0.63840206185567006</v>
      </c>
      <c r="H1944" s="3">
        <v>0</v>
      </c>
      <c r="I1944" s="1">
        <v>45678</v>
      </c>
      <c r="J1944" s="4" t="s">
        <v>9</v>
      </c>
      <c r="K1944" s="4" t="s">
        <v>12</v>
      </c>
      <c r="L1944" s="3">
        <v>2672.56</v>
      </c>
      <c r="M1944" s="4" t="s">
        <v>1255</v>
      </c>
      <c r="N1944" s="3">
        <v>2755.7991999999999</v>
      </c>
    </row>
    <row r="1945" spans="1:14" hidden="1" x14ac:dyDescent="0.35">
      <c r="A1945">
        <v>2912</v>
      </c>
      <c r="B1945" s="4" t="s">
        <v>406</v>
      </c>
      <c r="C1945" s="4" t="s">
        <v>484</v>
      </c>
      <c r="D1945" s="4" t="s">
        <v>29</v>
      </c>
      <c r="E1945">
        <v>0</v>
      </c>
      <c r="F1945" s="3">
        <v>2761.7586999999999</v>
      </c>
      <c r="G1945" s="2">
        <v>0.63840206185567006</v>
      </c>
      <c r="H1945" s="3">
        <v>0</v>
      </c>
      <c r="I1945" s="1">
        <v>45506</v>
      </c>
      <c r="J1945" s="4" t="s">
        <v>20</v>
      </c>
      <c r="K1945" s="4" t="s">
        <v>40</v>
      </c>
      <c r="L1945" s="3">
        <v>-97.77</v>
      </c>
      <c r="M1945" s="4" t="s">
        <v>1255</v>
      </c>
      <c r="N1945" s="3">
        <v>0</v>
      </c>
    </row>
    <row r="1946" spans="1:14" x14ac:dyDescent="0.35">
      <c r="A1946">
        <v>2913</v>
      </c>
      <c r="B1946" s="4" t="s">
        <v>535</v>
      </c>
      <c r="C1946" s="4" t="s">
        <v>500</v>
      </c>
      <c r="D1946" s="4" t="s">
        <v>22</v>
      </c>
      <c r="E1946">
        <v>0</v>
      </c>
      <c r="F1946" s="3">
        <v>2761.7586999999999</v>
      </c>
      <c r="G1946" s="2">
        <v>0.63840206185567006</v>
      </c>
      <c r="H1946" s="3">
        <v>0</v>
      </c>
      <c r="I1946" s="1">
        <v>45506</v>
      </c>
      <c r="J1946" s="4" t="s">
        <v>9</v>
      </c>
      <c r="K1946" s="4" t="s">
        <v>8</v>
      </c>
      <c r="L1946" s="3">
        <v>1693.76</v>
      </c>
      <c r="M1946" s="4" t="s">
        <v>1255</v>
      </c>
      <c r="N1946" s="3">
        <v>0</v>
      </c>
    </row>
    <row r="1947" spans="1:14" hidden="1" x14ac:dyDescent="0.35">
      <c r="A1947">
        <v>2914</v>
      </c>
      <c r="B1947" s="4" t="s">
        <v>439</v>
      </c>
      <c r="C1947" s="4" t="s">
        <v>1150</v>
      </c>
      <c r="D1947" s="4" t="s">
        <v>14</v>
      </c>
      <c r="E1947">
        <v>0</v>
      </c>
      <c r="F1947" s="3">
        <v>2761.7586999999999</v>
      </c>
      <c r="G1947" s="2">
        <v>1.03</v>
      </c>
      <c r="H1947" s="3">
        <v>0</v>
      </c>
      <c r="I1947" s="1">
        <v>45281</v>
      </c>
      <c r="J1947" s="4" t="s">
        <v>7</v>
      </c>
      <c r="K1947" s="4" t="s">
        <v>40</v>
      </c>
      <c r="L1947" s="3">
        <v>2321.6</v>
      </c>
      <c r="M1947" s="4" t="s">
        <v>1255</v>
      </c>
      <c r="N1947" s="3">
        <v>0</v>
      </c>
    </row>
    <row r="1948" spans="1:14" hidden="1" x14ac:dyDescent="0.35">
      <c r="A1948">
        <v>2915</v>
      </c>
      <c r="B1948" s="4" t="s">
        <v>219</v>
      </c>
      <c r="C1948" s="4" t="s">
        <v>1000</v>
      </c>
      <c r="D1948" s="4" t="s">
        <v>14</v>
      </c>
      <c r="E1948">
        <v>0</v>
      </c>
      <c r="F1948" s="3">
        <v>3022.15</v>
      </c>
      <c r="G1948" s="2">
        <v>0.63637305699481805</v>
      </c>
      <c r="H1948" s="3">
        <v>0</v>
      </c>
      <c r="I1948" s="1">
        <v>45645</v>
      </c>
      <c r="J1948" s="4" t="s">
        <v>7</v>
      </c>
      <c r="K1948" s="4" t="s">
        <v>40</v>
      </c>
      <c r="L1948" s="3">
        <v>-528.82000000000005</v>
      </c>
      <c r="M1948" s="4" t="s">
        <v>1255</v>
      </c>
      <c r="N1948" s="3">
        <v>0</v>
      </c>
    </row>
    <row r="1949" spans="1:14" x14ac:dyDescent="0.35">
      <c r="A1949">
        <v>2916</v>
      </c>
      <c r="B1949" s="4" t="s">
        <v>466</v>
      </c>
      <c r="C1949" s="4" t="s">
        <v>203</v>
      </c>
      <c r="D1949" s="4" t="s">
        <v>30</v>
      </c>
      <c r="E1949">
        <v>0</v>
      </c>
      <c r="F1949" s="3">
        <v>2483.4899999999998</v>
      </c>
      <c r="G1949" s="2">
        <v>0.63637305699481805</v>
      </c>
      <c r="H1949" s="3">
        <v>0</v>
      </c>
      <c r="I1949" s="1">
        <v>45758</v>
      </c>
      <c r="J1949" s="4" t="s">
        <v>9</v>
      </c>
      <c r="K1949" s="4" t="s">
        <v>12</v>
      </c>
      <c r="L1949" s="3">
        <v>370.61</v>
      </c>
      <c r="M1949" s="4" t="s">
        <v>1255</v>
      </c>
      <c r="N1949" s="3">
        <v>0</v>
      </c>
    </row>
    <row r="1950" spans="1:14" hidden="1" x14ac:dyDescent="0.35">
      <c r="A1950">
        <v>2918</v>
      </c>
      <c r="B1950" s="4" t="s">
        <v>110</v>
      </c>
      <c r="C1950" s="4" t="s">
        <v>958</v>
      </c>
      <c r="D1950" s="4" t="s">
        <v>22</v>
      </c>
      <c r="E1950">
        <v>0</v>
      </c>
      <c r="F1950" s="3">
        <v>2761.8208</v>
      </c>
      <c r="G1950" s="2">
        <v>0.63637305699481805</v>
      </c>
      <c r="H1950" s="3">
        <v>0</v>
      </c>
      <c r="I1950" s="1">
        <v>45761</v>
      </c>
      <c r="J1950" s="4" t="s">
        <v>7</v>
      </c>
      <c r="K1950" s="4" t="s">
        <v>40</v>
      </c>
      <c r="L1950" s="3">
        <v>899.98</v>
      </c>
      <c r="M1950" s="4" t="s">
        <v>1255</v>
      </c>
      <c r="N1950" s="3">
        <v>0</v>
      </c>
    </row>
    <row r="1951" spans="1:14" x14ac:dyDescent="0.35">
      <c r="A1951">
        <v>2919</v>
      </c>
      <c r="B1951" s="4" t="s">
        <v>183</v>
      </c>
      <c r="C1951" s="4" t="s">
        <v>633</v>
      </c>
      <c r="D1951" s="4" t="s">
        <v>6</v>
      </c>
      <c r="E1951">
        <v>2</v>
      </c>
      <c r="F1951" s="3">
        <v>535.62</v>
      </c>
      <c r="G1951" s="2">
        <v>0.63637305699481805</v>
      </c>
      <c r="H1951" s="3">
        <v>0</v>
      </c>
      <c r="I1951" s="1">
        <v>45500</v>
      </c>
      <c r="J1951" s="4" t="s">
        <v>18</v>
      </c>
      <c r="K1951" s="4" t="s">
        <v>8</v>
      </c>
      <c r="L1951" s="3">
        <v>-637.47</v>
      </c>
      <c r="M1951" s="4" t="s">
        <v>1255</v>
      </c>
      <c r="N1951" s="3">
        <v>1071.24</v>
      </c>
    </row>
    <row r="1952" spans="1:14" hidden="1" x14ac:dyDescent="0.35">
      <c r="A1952">
        <v>2920</v>
      </c>
      <c r="B1952" s="4" t="s">
        <v>121</v>
      </c>
      <c r="C1952" s="4" t="s">
        <v>82</v>
      </c>
      <c r="D1952" s="4" t="s">
        <v>14</v>
      </c>
      <c r="E1952">
        <v>1</v>
      </c>
      <c r="F1952" s="3">
        <v>2764.1534999999999</v>
      </c>
      <c r="G1952" s="2">
        <v>1.3</v>
      </c>
      <c r="H1952" s="3">
        <v>0</v>
      </c>
      <c r="I1952" s="1">
        <v>45648</v>
      </c>
      <c r="J1952" s="4" t="s">
        <v>23</v>
      </c>
      <c r="K1952" s="4" t="s">
        <v>40</v>
      </c>
      <c r="L1952" s="3">
        <v>489.94</v>
      </c>
      <c r="M1952" s="4" t="s">
        <v>1255</v>
      </c>
      <c r="N1952" s="3">
        <v>2764.1534999999999</v>
      </c>
    </row>
    <row r="1953" spans="1:14" hidden="1" x14ac:dyDescent="0.35">
      <c r="A1953">
        <v>2921</v>
      </c>
      <c r="B1953" s="4" t="s">
        <v>79</v>
      </c>
      <c r="C1953" s="4" t="s">
        <v>374</v>
      </c>
      <c r="D1953" s="4" t="s">
        <v>22</v>
      </c>
      <c r="E1953">
        <v>6</v>
      </c>
      <c r="F1953" s="3">
        <v>2771.9456</v>
      </c>
      <c r="G1953" s="2">
        <v>0.63291666666666602</v>
      </c>
      <c r="H1953" s="3">
        <v>0</v>
      </c>
      <c r="I1953" s="1">
        <v>45826</v>
      </c>
      <c r="J1953" s="4" t="s">
        <v>23</v>
      </c>
      <c r="K1953" s="4" t="s">
        <v>40</v>
      </c>
      <c r="L1953" s="3">
        <v>-821.17</v>
      </c>
      <c r="M1953" s="4" t="s">
        <v>1255</v>
      </c>
      <c r="N1953" s="3">
        <v>16631.673599999998</v>
      </c>
    </row>
    <row r="1954" spans="1:14" x14ac:dyDescent="0.35">
      <c r="A1954">
        <v>2922</v>
      </c>
      <c r="B1954" s="4" t="s">
        <v>342</v>
      </c>
      <c r="C1954" s="4" t="s">
        <v>971</v>
      </c>
      <c r="D1954" s="4" t="s">
        <v>34</v>
      </c>
      <c r="E1954">
        <v>0</v>
      </c>
      <c r="F1954" s="3">
        <v>2488.9499999999998</v>
      </c>
      <c r="G1954" s="2">
        <v>1.23</v>
      </c>
      <c r="H1954" s="3">
        <v>0</v>
      </c>
      <c r="I1954" s="1">
        <v>45826</v>
      </c>
      <c r="J1954" s="4" t="s">
        <v>23</v>
      </c>
      <c r="K1954" s="4" t="s">
        <v>8</v>
      </c>
      <c r="L1954" s="3">
        <v>2827.47</v>
      </c>
      <c r="M1954" s="4" t="s">
        <v>1255</v>
      </c>
      <c r="N1954" s="3">
        <v>0</v>
      </c>
    </row>
    <row r="1955" spans="1:14" x14ac:dyDescent="0.35">
      <c r="A1955">
        <v>2923</v>
      </c>
      <c r="B1955" s="4" t="s">
        <v>1149</v>
      </c>
      <c r="C1955" s="4" t="s">
        <v>293</v>
      </c>
      <c r="D1955" s="4" t="s">
        <v>19</v>
      </c>
      <c r="E1955">
        <v>0</v>
      </c>
      <c r="F1955" s="3">
        <v>2771.9456</v>
      </c>
      <c r="G1955" s="2">
        <v>0.17</v>
      </c>
      <c r="H1955" s="3">
        <v>0</v>
      </c>
      <c r="I1955" s="1">
        <v>45311</v>
      </c>
      <c r="J1955" s="4" t="s">
        <v>23</v>
      </c>
      <c r="K1955" s="4" t="s">
        <v>8</v>
      </c>
      <c r="L1955" s="3">
        <v>-674.63</v>
      </c>
      <c r="M1955" s="4" t="s">
        <v>1255</v>
      </c>
      <c r="N1955" s="3">
        <v>0</v>
      </c>
    </row>
    <row r="1956" spans="1:14" hidden="1" x14ac:dyDescent="0.35">
      <c r="A1956">
        <v>2924</v>
      </c>
      <c r="B1956" s="4" t="s">
        <v>690</v>
      </c>
      <c r="C1956" s="4" t="s">
        <v>649</v>
      </c>
      <c r="D1956" s="4" t="s">
        <v>27</v>
      </c>
      <c r="E1956">
        <v>0</v>
      </c>
      <c r="F1956" s="3">
        <v>4151.88</v>
      </c>
      <c r="G1956" s="2">
        <v>0.05</v>
      </c>
      <c r="H1956" s="3">
        <v>0</v>
      </c>
      <c r="I1956" s="1">
        <v>45746</v>
      </c>
      <c r="J1956" s="4" t="s">
        <v>20</v>
      </c>
      <c r="K1956" s="4" t="s">
        <v>40</v>
      </c>
      <c r="L1956" s="3">
        <v>577.77</v>
      </c>
      <c r="M1956" s="4" t="s">
        <v>1255</v>
      </c>
      <c r="N1956" s="3">
        <v>0</v>
      </c>
    </row>
    <row r="1957" spans="1:14" hidden="1" x14ac:dyDescent="0.35">
      <c r="A1957">
        <v>2926</v>
      </c>
      <c r="B1957" s="4" t="s">
        <v>284</v>
      </c>
      <c r="C1957" s="4" t="s">
        <v>376</v>
      </c>
      <c r="D1957" s="4" t="s">
        <v>25</v>
      </c>
      <c r="E1957">
        <v>4</v>
      </c>
      <c r="F1957" s="3">
        <v>3263.06</v>
      </c>
      <c r="G1957" s="2">
        <v>0.16</v>
      </c>
      <c r="H1957" s="3">
        <v>10963.88</v>
      </c>
      <c r="I1957" s="1">
        <v>45611</v>
      </c>
      <c r="J1957" s="4" t="s">
        <v>11</v>
      </c>
      <c r="K1957" s="4" t="s">
        <v>40</v>
      </c>
      <c r="L1957" s="3">
        <v>2428.73</v>
      </c>
      <c r="M1957" s="4" t="s">
        <v>1256</v>
      </c>
      <c r="N1957" s="3">
        <v>13052.24</v>
      </c>
    </row>
    <row r="1958" spans="1:14" x14ac:dyDescent="0.35">
      <c r="A1958">
        <v>2927</v>
      </c>
      <c r="B1958" s="4" t="s">
        <v>60</v>
      </c>
      <c r="C1958" s="4" t="s">
        <v>400</v>
      </c>
      <c r="D1958" s="4" t="s">
        <v>25</v>
      </c>
      <c r="E1958">
        <v>0</v>
      </c>
      <c r="F1958" s="3">
        <v>2774.4097999999999</v>
      </c>
      <c r="G1958" s="2">
        <v>0.63781914893616998</v>
      </c>
      <c r="H1958" s="3">
        <v>0</v>
      </c>
      <c r="I1958" s="1">
        <v>45859</v>
      </c>
      <c r="J1958" s="4" t="s">
        <v>11</v>
      </c>
      <c r="K1958" s="4" t="s">
        <v>12</v>
      </c>
      <c r="L1958" s="3">
        <v>-674.94</v>
      </c>
      <c r="M1958" s="4" t="s">
        <v>1255</v>
      </c>
      <c r="N1958" s="3">
        <v>0</v>
      </c>
    </row>
    <row r="1959" spans="1:14" hidden="1" x14ac:dyDescent="0.35">
      <c r="A1959">
        <v>2928</v>
      </c>
      <c r="B1959" s="4" t="s">
        <v>172</v>
      </c>
      <c r="C1959" s="4" t="s">
        <v>1151</v>
      </c>
      <c r="D1959" s="4" t="s">
        <v>22</v>
      </c>
      <c r="E1959">
        <v>0</v>
      </c>
      <c r="F1959" s="3">
        <v>2772.6770000000001</v>
      </c>
      <c r="G1959" s="2">
        <v>0.78</v>
      </c>
      <c r="H1959" s="3">
        <v>0</v>
      </c>
      <c r="I1959" s="1">
        <v>45597</v>
      </c>
      <c r="J1959" s="4" t="s">
        <v>7</v>
      </c>
      <c r="K1959" s="4" t="s">
        <v>40</v>
      </c>
      <c r="L1959" s="3">
        <v>642.22</v>
      </c>
      <c r="M1959" s="4" t="s">
        <v>1255</v>
      </c>
      <c r="N1959" s="3">
        <v>0</v>
      </c>
    </row>
    <row r="1960" spans="1:14" x14ac:dyDescent="0.35">
      <c r="A1960">
        <v>2929</v>
      </c>
      <c r="B1960" s="4" t="s">
        <v>167</v>
      </c>
      <c r="C1960" s="4" t="s">
        <v>186</v>
      </c>
      <c r="D1960" s="4" t="s">
        <v>26</v>
      </c>
      <c r="E1960">
        <v>0</v>
      </c>
      <c r="F1960" s="3">
        <v>4733.41</v>
      </c>
      <c r="G1960" s="2">
        <v>1.1299999999999999</v>
      </c>
      <c r="H1960" s="3">
        <v>0</v>
      </c>
      <c r="I1960" s="1">
        <v>45637</v>
      </c>
      <c r="J1960" s="4" t="s">
        <v>18</v>
      </c>
      <c r="K1960" s="4" t="s">
        <v>8</v>
      </c>
      <c r="L1960" s="3">
        <v>2459.5</v>
      </c>
      <c r="M1960" s="4" t="s">
        <v>1255</v>
      </c>
      <c r="N1960" s="3">
        <v>0</v>
      </c>
    </row>
    <row r="1961" spans="1:14" hidden="1" x14ac:dyDescent="0.35">
      <c r="A1961">
        <v>2930</v>
      </c>
      <c r="B1961" s="4" t="s">
        <v>164</v>
      </c>
      <c r="C1961" s="4" t="s">
        <v>431</v>
      </c>
      <c r="D1961" s="4" t="s">
        <v>25</v>
      </c>
      <c r="E1961">
        <v>0</v>
      </c>
      <c r="F1961" s="3">
        <v>2642.73</v>
      </c>
      <c r="G1961" s="2">
        <v>0.09</v>
      </c>
      <c r="H1961" s="3">
        <v>0</v>
      </c>
      <c r="I1961" s="1">
        <v>45709</v>
      </c>
      <c r="J1961" s="4" t="s">
        <v>9</v>
      </c>
      <c r="K1961" s="4" t="s">
        <v>40</v>
      </c>
      <c r="L1961" s="3">
        <v>996.68</v>
      </c>
      <c r="M1961" s="4" t="s">
        <v>1255</v>
      </c>
      <c r="N1961" s="3">
        <v>0</v>
      </c>
    </row>
    <row r="1962" spans="1:14" hidden="1" x14ac:dyDescent="0.35">
      <c r="A1962">
        <v>2931</v>
      </c>
      <c r="B1962" s="4" t="s">
        <v>89</v>
      </c>
      <c r="C1962" s="4" t="s">
        <v>95</v>
      </c>
      <c r="D1962" s="4" t="s">
        <v>32</v>
      </c>
      <c r="E1962">
        <v>0</v>
      </c>
      <c r="F1962" s="3">
        <v>2629.78</v>
      </c>
      <c r="G1962" s="2">
        <v>1.3</v>
      </c>
      <c r="H1962" s="3">
        <v>0</v>
      </c>
      <c r="I1962" s="1">
        <v>45709</v>
      </c>
      <c r="J1962" s="4" t="s">
        <v>7</v>
      </c>
      <c r="K1962" s="4" t="s">
        <v>40</v>
      </c>
      <c r="L1962" s="3">
        <v>2826.2</v>
      </c>
      <c r="M1962" s="4" t="s">
        <v>1255</v>
      </c>
      <c r="N1962" s="3">
        <v>0</v>
      </c>
    </row>
    <row r="1963" spans="1:14" x14ac:dyDescent="0.35">
      <c r="A1963">
        <v>2932</v>
      </c>
      <c r="B1963" s="4" t="s">
        <v>944</v>
      </c>
      <c r="C1963" s="4" t="s">
        <v>878</v>
      </c>
      <c r="D1963" s="4" t="s">
        <v>22</v>
      </c>
      <c r="E1963">
        <v>0</v>
      </c>
      <c r="F1963" s="3">
        <v>2766.1385</v>
      </c>
      <c r="G1963" s="2">
        <v>0.63375000000000004</v>
      </c>
      <c r="H1963" s="3">
        <v>0</v>
      </c>
      <c r="I1963" s="1">
        <v>45571</v>
      </c>
      <c r="J1963" s="4" t="s">
        <v>23</v>
      </c>
      <c r="K1963" s="4" t="s">
        <v>12</v>
      </c>
      <c r="L1963" s="3">
        <v>700.64</v>
      </c>
      <c r="M1963" s="4" t="s">
        <v>1255</v>
      </c>
      <c r="N1963" s="3">
        <v>0</v>
      </c>
    </row>
    <row r="1964" spans="1:14" x14ac:dyDescent="0.35">
      <c r="A1964">
        <v>2933</v>
      </c>
      <c r="B1964" s="4" t="s">
        <v>198</v>
      </c>
      <c r="C1964" s="4" t="s">
        <v>173</v>
      </c>
      <c r="D1964" s="4" t="s">
        <v>21</v>
      </c>
      <c r="E1964">
        <v>0</v>
      </c>
      <c r="F1964" s="3">
        <v>2891</v>
      </c>
      <c r="G1964" s="2">
        <v>0.63375000000000004</v>
      </c>
      <c r="H1964" s="3">
        <v>0</v>
      </c>
      <c r="I1964" s="1">
        <v>45760</v>
      </c>
      <c r="J1964" s="4" t="s">
        <v>7</v>
      </c>
      <c r="K1964" s="4" t="s">
        <v>8</v>
      </c>
      <c r="L1964" s="3">
        <v>1279.32</v>
      </c>
      <c r="M1964" s="4" t="s">
        <v>1255</v>
      </c>
      <c r="N1964" s="3">
        <v>0</v>
      </c>
    </row>
    <row r="1965" spans="1:14" hidden="1" x14ac:dyDescent="0.35">
      <c r="A1965">
        <v>2934</v>
      </c>
      <c r="B1965" s="4" t="s">
        <v>758</v>
      </c>
      <c r="C1965" s="4" t="s">
        <v>144</v>
      </c>
      <c r="D1965" s="4" t="s">
        <v>25</v>
      </c>
      <c r="E1965">
        <v>5</v>
      </c>
      <c r="F1965" s="3">
        <v>2766.6271999999999</v>
      </c>
      <c r="G1965" s="2">
        <v>0.63375000000000004</v>
      </c>
      <c r="H1965" s="3">
        <v>0</v>
      </c>
      <c r="I1965" s="1">
        <v>45656</v>
      </c>
      <c r="J1965" s="4" t="s">
        <v>9</v>
      </c>
      <c r="K1965" s="4" t="s">
        <v>40</v>
      </c>
      <c r="L1965" s="3">
        <v>-811.78</v>
      </c>
      <c r="M1965" s="4" t="s">
        <v>1255</v>
      </c>
      <c r="N1965" s="3">
        <v>13833.136</v>
      </c>
    </row>
    <row r="1966" spans="1:14" x14ac:dyDescent="0.35">
      <c r="A1966">
        <v>2935</v>
      </c>
      <c r="B1966" s="4" t="s">
        <v>363</v>
      </c>
      <c r="C1966" s="4" t="s">
        <v>74</v>
      </c>
      <c r="D1966" s="4" t="s">
        <v>13</v>
      </c>
      <c r="E1966">
        <v>0</v>
      </c>
      <c r="F1966" s="3">
        <v>3681.08</v>
      </c>
      <c r="G1966" s="2">
        <v>0.63375000000000004</v>
      </c>
      <c r="H1966" s="3">
        <v>0</v>
      </c>
      <c r="I1966" s="1">
        <v>45656</v>
      </c>
      <c r="J1966" s="4" t="s">
        <v>23</v>
      </c>
      <c r="K1966" s="4" t="s">
        <v>12</v>
      </c>
      <c r="L1966" s="3">
        <v>2705.42</v>
      </c>
      <c r="M1966" s="4" t="s">
        <v>1255</v>
      </c>
      <c r="N1966" s="3">
        <v>0</v>
      </c>
    </row>
    <row r="1967" spans="1:14" x14ac:dyDescent="0.35">
      <c r="A1967">
        <v>2936</v>
      </c>
      <c r="B1967" s="4" t="s">
        <v>164</v>
      </c>
      <c r="C1967" s="4" t="s">
        <v>80</v>
      </c>
      <c r="D1967" s="4" t="s">
        <v>13</v>
      </c>
      <c r="E1967">
        <v>0</v>
      </c>
      <c r="F1967" s="3">
        <v>4487.5</v>
      </c>
      <c r="G1967" s="2">
        <v>0.63375000000000004</v>
      </c>
      <c r="H1967" s="3">
        <v>0</v>
      </c>
      <c r="I1967" s="1">
        <v>45831</v>
      </c>
      <c r="J1967" s="4" t="s">
        <v>20</v>
      </c>
      <c r="K1967" s="4" t="s">
        <v>12</v>
      </c>
      <c r="L1967" s="3">
        <v>2518.5300000000002</v>
      </c>
      <c r="M1967" s="4" t="s">
        <v>1255</v>
      </c>
      <c r="N1967" s="3">
        <v>0</v>
      </c>
    </row>
    <row r="1968" spans="1:14" hidden="1" x14ac:dyDescent="0.35">
      <c r="A1968">
        <v>2937</v>
      </c>
      <c r="B1968" s="4" t="s">
        <v>563</v>
      </c>
      <c r="C1968" s="4" t="s">
        <v>149</v>
      </c>
      <c r="D1968" s="4" t="s">
        <v>19</v>
      </c>
      <c r="E1968">
        <v>-2</v>
      </c>
      <c r="F1968" s="3">
        <v>2762.8769000000002</v>
      </c>
      <c r="G1968" s="2">
        <v>0.63375000000000004</v>
      </c>
      <c r="H1968" s="3">
        <v>0</v>
      </c>
      <c r="I1968" s="1">
        <v>45625</v>
      </c>
      <c r="J1968" s="4" t="s">
        <v>11</v>
      </c>
      <c r="K1968" s="4" t="s">
        <v>40</v>
      </c>
      <c r="L1968" s="3">
        <v>-889.53</v>
      </c>
      <c r="M1968" s="4" t="s">
        <v>1255</v>
      </c>
      <c r="N1968" s="3">
        <v>-5525.7538000000004</v>
      </c>
    </row>
    <row r="1969" spans="1:14" x14ac:dyDescent="0.35">
      <c r="A1969">
        <v>2938</v>
      </c>
      <c r="B1969" s="4" t="s">
        <v>690</v>
      </c>
      <c r="C1969" s="4" t="s">
        <v>329</v>
      </c>
      <c r="D1969" s="4" t="s">
        <v>29</v>
      </c>
      <c r="E1969">
        <v>0</v>
      </c>
      <c r="F1969" s="3">
        <v>2429.63</v>
      </c>
      <c r="G1969" s="2">
        <v>0.63375000000000004</v>
      </c>
      <c r="H1969" s="3">
        <v>0</v>
      </c>
      <c r="I1969" s="1">
        <v>45625</v>
      </c>
      <c r="J1969" s="4" t="s">
        <v>9</v>
      </c>
      <c r="K1969" s="4" t="s">
        <v>12</v>
      </c>
      <c r="L1969" s="3">
        <v>-7.17</v>
      </c>
      <c r="M1969" s="4" t="s">
        <v>1255</v>
      </c>
      <c r="N1969" s="3">
        <v>0</v>
      </c>
    </row>
    <row r="1970" spans="1:14" hidden="1" x14ac:dyDescent="0.35">
      <c r="A1970">
        <v>2939</v>
      </c>
      <c r="B1970" s="4" t="s">
        <v>846</v>
      </c>
      <c r="C1970" s="4" t="s">
        <v>280</v>
      </c>
      <c r="D1970" s="4" t="s">
        <v>22</v>
      </c>
      <c r="E1970">
        <v>0</v>
      </c>
      <c r="F1970" s="3">
        <v>2756.6282999999999</v>
      </c>
      <c r="G1970" s="2">
        <v>0.63375000000000004</v>
      </c>
      <c r="H1970" s="3">
        <v>0</v>
      </c>
      <c r="I1970" s="1">
        <v>45680</v>
      </c>
      <c r="J1970" s="4" t="s">
        <v>18</v>
      </c>
      <c r="K1970" s="4" t="s">
        <v>40</v>
      </c>
      <c r="L1970" s="3">
        <v>2143.94</v>
      </c>
      <c r="M1970" s="4" t="s">
        <v>1255</v>
      </c>
      <c r="N1970" s="3">
        <v>0</v>
      </c>
    </row>
    <row r="1971" spans="1:14" x14ac:dyDescent="0.35">
      <c r="A1971">
        <v>2940</v>
      </c>
      <c r="B1971" s="4" t="s">
        <v>644</v>
      </c>
      <c r="C1971" s="4" t="s">
        <v>924</v>
      </c>
      <c r="D1971" s="4" t="s">
        <v>38</v>
      </c>
      <c r="E1971">
        <v>0</v>
      </c>
      <c r="F1971" s="3">
        <v>2757.8173999999999</v>
      </c>
      <c r="G1971" s="2">
        <v>0.63375000000000004</v>
      </c>
      <c r="H1971" s="3">
        <v>0</v>
      </c>
      <c r="I1971" s="1">
        <v>45697</v>
      </c>
      <c r="J1971" s="4" t="s">
        <v>23</v>
      </c>
      <c r="K1971" s="4" t="s">
        <v>8</v>
      </c>
      <c r="L1971" s="3">
        <v>1992.92</v>
      </c>
      <c r="M1971" s="4" t="s">
        <v>1255</v>
      </c>
      <c r="N1971" s="3">
        <v>0</v>
      </c>
    </row>
    <row r="1972" spans="1:14" x14ac:dyDescent="0.35">
      <c r="A1972">
        <v>2941</v>
      </c>
      <c r="B1972" s="4" t="s">
        <v>210</v>
      </c>
      <c r="C1972" s="4" t="s">
        <v>82</v>
      </c>
      <c r="D1972" s="4" t="s">
        <v>10</v>
      </c>
      <c r="E1972">
        <v>0</v>
      </c>
      <c r="F1972" s="3">
        <v>2144.36</v>
      </c>
      <c r="G1972" s="2">
        <v>0.63375000000000004</v>
      </c>
      <c r="H1972" s="3">
        <v>0</v>
      </c>
      <c r="I1972" s="1">
        <v>45497</v>
      </c>
      <c r="J1972" s="4" t="s">
        <v>20</v>
      </c>
      <c r="K1972" s="4" t="s">
        <v>8</v>
      </c>
      <c r="L1972" s="3">
        <v>1435.03</v>
      </c>
      <c r="M1972" s="4" t="s">
        <v>1255</v>
      </c>
      <c r="N1972" s="3">
        <v>0</v>
      </c>
    </row>
    <row r="1973" spans="1:14" hidden="1" x14ac:dyDescent="0.35">
      <c r="A1973">
        <v>2942</v>
      </c>
      <c r="B1973" s="4" t="s">
        <v>145</v>
      </c>
      <c r="C1973" s="4" t="s">
        <v>217</v>
      </c>
      <c r="D1973" s="4" t="s">
        <v>19</v>
      </c>
      <c r="E1973">
        <v>2</v>
      </c>
      <c r="F1973" s="3">
        <v>2757.8173999999999</v>
      </c>
      <c r="G1973" s="2">
        <v>0.56000000000000005</v>
      </c>
      <c r="H1973" s="3">
        <v>0</v>
      </c>
      <c r="I1973" s="1">
        <v>45497</v>
      </c>
      <c r="J1973" s="4" t="s">
        <v>20</v>
      </c>
      <c r="K1973" s="4" t="s">
        <v>40</v>
      </c>
      <c r="L1973" s="3">
        <v>2500.35</v>
      </c>
      <c r="M1973" s="4" t="s">
        <v>1255</v>
      </c>
      <c r="N1973" s="3">
        <v>5515.6347999999998</v>
      </c>
    </row>
    <row r="1974" spans="1:14" hidden="1" x14ac:dyDescent="0.35">
      <c r="A1974">
        <v>2943</v>
      </c>
      <c r="B1974" s="4" t="s">
        <v>482</v>
      </c>
      <c r="C1974" s="4" t="s">
        <v>50</v>
      </c>
      <c r="D1974" s="4" t="s">
        <v>16</v>
      </c>
      <c r="E1974">
        <v>0</v>
      </c>
      <c r="F1974" s="3">
        <v>4638.0200000000004</v>
      </c>
      <c r="G1974" s="2">
        <v>0.63415300546448095</v>
      </c>
      <c r="H1974" s="3">
        <v>0</v>
      </c>
      <c r="I1974" s="1">
        <v>45723</v>
      </c>
      <c r="J1974" s="4" t="s">
        <v>20</v>
      </c>
      <c r="K1974" s="4" t="s">
        <v>40</v>
      </c>
      <c r="L1974" s="3">
        <v>745.3</v>
      </c>
      <c r="M1974" s="4" t="s">
        <v>1255</v>
      </c>
      <c r="N1974" s="3">
        <v>0</v>
      </c>
    </row>
    <row r="1975" spans="1:14" x14ac:dyDescent="0.35">
      <c r="A1975">
        <v>2944</v>
      </c>
      <c r="B1975" s="4" t="s">
        <v>93</v>
      </c>
      <c r="C1975" s="4" t="s">
        <v>1003</v>
      </c>
      <c r="D1975" s="4" t="s">
        <v>17</v>
      </c>
      <c r="E1975">
        <v>1</v>
      </c>
      <c r="F1975" s="3">
        <v>1313.35</v>
      </c>
      <c r="G1975" s="2">
        <v>0.2</v>
      </c>
      <c r="H1975" s="3">
        <v>1050.68</v>
      </c>
      <c r="I1975" s="1">
        <v>45722</v>
      </c>
      <c r="J1975" s="4" t="s">
        <v>23</v>
      </c>
      <c r="K1975" s="4" t="s">
        <v>8</v>
      </c>
      <c r="L1975" s="3">
        <v>-384.05</v>
      </c>
      <c r="M1975" s="4" t="s">
        <v>1256</v>
      </c>
      <c r="N1975" s="3">
        <v>1313.35</v>
      </c>
    </row>
    <row r="1976" spans="1:14" hidden="1" x14ac:dyDescent="0.35">
      <c r="A1976">
        <v>2945</v>
      </c>
      <c r="B1976" s="4" t="s">
        <v>121</v>
      </c>
      <c r="C1976" s="4" t="s">
        <v>293</v>
      </c>
      <c r="D1976" s="4" t="s">
        <v>29</v>
      </c>
      <c r="E1976">
        <v>1</v>
      </c>
      <c r="F1976" s="3">
        <v>2753.1772999999998</v>
      </c>
      <c r="G1976" s="2">
        <v>0.63653846153846105</v>
      </c>
      <c r="H1976" s="3">
        <v>0</v>
      </c>
      <c r="I1976" s="1">
        <v>45592</v>
      </c>
      <c r="J1976" s="4" t="s">
        <v>11</v>
      </c>
      <c r="K1976" s="4" t="s">
        <v>40</v>
      </c>
      <c r="L1976" s="3">
        <v>-130.97</v>
      </c>
      <c r="M1976" s="4" t="s">
        <v>1255</v>
      </c>
      <c r="N1976" s="3">
        <v>2753.1772999999998</v>
      </c>
    </row>
    <row r="1977" spans="1:14" x14ac:dyDescent="0.35">
      <c r="A1977">
        <v>2946</v>
      </c>
      <c r="B1977" s="4" t="s">
        <v>1152</v>
      </c>
      <c r="C1977" s="4" t="s">
        <v>155</v>
      </c>
      <c r="D1977" s="4" t="s">
        <v>25</v>
      </c>
      <c r="E1977">
        <v>-1</v>
      </c>
      <c r="F1977" s="3">
        <v>2758.4708000000001</v>
      </c>
      <c r="G1977" s="2">
        <v>1.2</v>
      </c>
      <c r="H1977" s="3">
        <v>0</v>
      </c>
      <c r="I1977" s="1">
        <v>45253</v>
      </c>
      <c r="J1977" s="4" t="s">
        <v>11</v>
      </c>
      <c r="K1977" s="4" t="s">
        <v>12</v>
      </c>
      <c r="L1977" s="3">
        <v>2187.48</v>
      </c>
      <c r="M1977" s="4" t="s">
        <v>1255</v>
      </c>
      <c r="N1977" s="3">
        <v>-2758.4708000000001</v>
      </c>
    </row>
    <row r="1978" spans="1:14" x14ac:dyDescent="0.35">
      <c r="A1978">
        <v>2947</v>
      </c>
      <c r="B1978" s="4" t="s">
        <v>1153</v>
      </c>
      <c r="C1978" s="4" t="s">
        <v>408</v>
      </c>
      <c r="D1978" s="4" t="s">
        <v>29</v>
      </c>
      <c r="E1978">
        <v>2</v>
      </c>
      <c r="F1978" s="3">
        <v>2758.4708000000001</v>
      </c>
      <c r="G1978" s="2">
        <v>0.97</v>
      </c>
      <c r="H1978" s="3">
        <v>0</v>
      </c>
      <c r="I1978" s="1">
        <v>45699</v>
      </c>
      <c r="J1978" s="4" t="s">
        <v>11</v>
      </c>
      <c r="K1978" s="4" t="s">
        <v>8</v>
      </c>
      <c r="L1978" s="3">
        <v>1577.91</v>
      </c>
      <c r="M1978" s="4" t="s">
        <v>1255</v>
      </c>
      <c r="N1978" s="3">
        <v>5516.9416000000001</v>
      </c>
    </row>
    <row r="1979" spans="1:14" x14ac:dyDescent="0.35">
      <c r="A1979">
        <v>2948</v>
      </c>
      <c r="B1979" s="4" t="s">
        <v>328</v>
      </c>
      <c r="C1979" s="4" t="s">
        <v>480</v>
      </c>
      <c r="D1979" s="4" t="s">
        <v>6</v>
      </c>
      <c r="E1979">
        <v>5</v>
      </c>
      <c r="F1979" s="3">
        <v>2494.15</v>
      </c>
      <c r="G1979" s="2">
        <v>0.63155555555555498</v>
      </c>
      <c r="H1979" s="3">
        <v>0</v>
      </c>
      <c r="I1979" s="1">
        <v>45695</v>
      </c>
      <c r="J1979" s="4" t="s">
        <v>7</v>
      </c>
      <c r="K1979" s="4" t="s">
        <v>12</v>
      </c>
      <c r="L1979" s="3">
        <v>-901.7</v>
      </c>
      <c r="M1979" s="4" t="s">
        <v>1255</v>
      </c>
      <c r="N1979" s="3">
        <v>12470.75</v>
      </c>
    </row>
    <row r="1980" spans="1:14" hidden="1" x14ac:dyDescent="0.35">
      <c r="A1980">
        <v>2949</v>
      </c>
      <c r="B1980" s="4" t="s">
        <v>1154</v>
      </c>
      <c r="C1980" s="4" t="s">
        <v>997</v>
      </c>
      <c r="D1980" s="4" t="s">
        <v>16</v>
      </c>
      <c r="E1980">
        <v>0</v>
      </c>
      <c r="F1980" s="3">
        <v>2758.4708000000001</v>
      </c>
      <c r="G1980" s="2">
        <v>0.1</v>
      </c>
      <c r="H1980" s="3">
        <v>0</v>
      </c>
      <c r="I1980" s="1">
        <v>45695</v>
      </c>
      <c r="J1980" s="4" t="s">
        <v>20</v>
      </c>
      <c r="K1980" s="4" t="s">
        <v>40</v>
      </c>
      <c r="L1980" s="3">
        <v>1569.63</v>
      </c>
      <c r="M1980" s="4" t="s">
        <v>1255</v>
      </c>
      <c r="N1980" s="3">
        <v>0</v>
      </c>
    </row>
    <row r="1981" spans="1:14" hidden="1" x14ac:dyDescent="0.35">
      <c r="A1981">
        <v>2950</v>
      </c>
      <c r="B1981" s="4" t="s">
        <v>457</v>
      </c>
      <c r="C1981" s="4" t="s">
        <v>349</v>
      </c>
      <c r="D1981" s="4" t="s">
        <v>14</v>
      </c>
      <c r="E1981">
        <v>2</v>
      </c>
      <c r="F1981" s="3">
        <v>2759.4461000000001</v>
      </c>
      <c r="G1981" s="2">
        <v>0.27</v>
      </c>
      <c r="H1981" s="3">
        <v>0</v>
      </c>
      <c r="I1981" s="1">
        <v>45652</v>
      </c>
      <c r="J1981" s="4" t="s">
        <v>18</v>
      </c>
      <c r="K1981" s="4" t="s">
        <v>40</v>
      </c>
      <c r="L1981" s="3">
        <v>1158.28</v>
      </c>
      <c r="M1981" s="4" t="s">
        <v>1255</v>
      </c>
      <c r="N1981" s="3">
        <v>5518.8922000000002</v>
      </c>
    </row>
    <row r="1982" spans="1:14" x14ac:dyDescent="0.35">
      <c r="A1982">
        <v>2951</v>
      </c>
      <c r="B1982" s="4" t="s">
        <v>189</v>
      </c>
      <c r="C1982" s="4" t="s">
        <v>1112</v>
      </c>
      <c r="D1982" s="4" t="s">
        <v>25</v>
      </c>
      <c r="E1982">
        <v>5</v>
      </c>
      <c r="F1982" s="3">
        <v>2759.4461000000001</v>
      </c>
      <c r="G1982" s="2">
        <v>0.636573033707865</v>
      </c>
      <c r="H1982" s="3">
        <v>0</v>
      </c>
      <c r="I1982" s="1">
        <v>45652</v>
      </c>
      <c r="J1982" s="4" t="s">
        <v>7</v>
      </c>
      <c r="K1982" s="4" t="s">
        <v>8</v>
      </c>
      <c r="L1982" s="3">
        <v>2454.0700000000002</v>
      </c>
      <c r="M1982" s="4" t="s">
        <v>1255</v>
      </c>
      <c r="N1982" s="3">
        <v>13797.2305</v>
      </c>
    </row>
    <row r="1983" spans="1:14" x14ac:dyDescent="0.35">
      <c r="A1983">
        <v>2952</v>
      </c>
      <c r="B1983" s="4" t="s">
        <v>262</v>
      </c>
      <c r="C1983" s="4" t="s">
        <v>1155</v>
      </c>
      <c r="D1983" s="4" t="s">
        <v>29</v>
      </c>
      <c r="E1983">
        <v>-2</v>
      </c>
      <c r="F1983" s="3">
        <v>470.68</v>
      </c>
      <c r="G1983" s="2">
        <v>0.06</v>
      </c>
      <c r="H1983" s="3">
        <v>-884.88</v>
      </c>
      <c r="I1983" s="1">
        <v>45615</v>
      </c>
      <c r="J1983" s="4" t="s">
        <v>9</v>
      </c>
      <c r="K1983" s="4" t="s">
        <v>12</v>
      </c>
      <c r="L1983" s="3">
        <v>2812.7</v>
      </c>
      <c r="M1983" s="4" t="s">
        <v>1255</v>
      </c>
      <c r="N1983" s="3">
        <v>-941.36</v>
      </c>
    </row>
    <row r="1984" spans="1:14" hidden="1" x14ac:dyDescent="0.35">
      <c r="A1984">
        <v>2953</v>
      </c>
      <c r="B1984" s="4" t="s">
        <v>959</v>
      </c>
      <c r="C1984" s="4" t="s">
        <v>1156</v>
      </c>
      <c r="D1984" s="4" t="s">
        <v>29</v>
      </c>
      <c r="E1984">
        <v>3</v>
      </c>
      <c r="F1984" s="3">
        <v>3500.98</v>
      </c>
      <c r="G1984" s="2">
        <v>0.63983050847457601</v>
      </c>
      <c r="H1984" s="3">
        <v>0</v>
      </c>
      <c r="I1984" s="1">
        <v>45615</v>
      </c>
      <c r="J1984" s="4" t="s">
        <v>11</v>
      </c>
      <c r="K1984" s="4" t="s">
        <v>40</v>
      </c>
      <c r="L1984" s="3">
        <v>-865.81</v>
      </c>
      <c r="M1984" s="4" t="s">
        <v>1255</v>
      </c>
      <c r="N1984" s="3">
        <v>10502.94</v>
      </c>
    </row>
    <row r="1985" spans="1:14" x14ac:dyDescent="0.35">
      <c r="A1985">
        <v>2954</v>
      </c>
      <c r="B1985" s="4" t="s">
        <v>351</v>
      </c>
      <c r="C1985" s="4" t="s">
        <v>443</v>
      </c>
      <c r="D1985" s="4" t="s">
        <v>24</v>
      </c>
      <c r="E1985">
        <v>0</v>
      </c>
      <c r="F1985" s="3">
        <v>2767.9229999999998</v>
      </c>
      <c r="G1985" s="2">
        <v>0.63983050847457601</v>
      </c>
      <c r="H1985" s="3">
        <v>0</v>
      </c>
      <c r="I1985" s="1">
        <v>45518</v>
      </c>
      <c r="J1985" s="4" t="s">
        <v>23</v>
      </c>
      <c r="K1985" s="4" t="s">
        <v>12</v>
      </c>
      <c r="L1985" s="3">
        <v>1632.71</v>
      </c>
      <c r="M1985" s="4" t="s">
        <v>1255</v>
      </c>
      <c r="N1985" s="3">
        <v>0</v>
      </c>
    </row>
    <row r="1986" spans="1:14" x14ac:dyDescent="0.35">
      <c r="A1986">
        <v>2955</v>
      </c>
      <c r="B1986" s="4" t="s">
        <v>576</v>
      </c>
      <c r="C1986" s="4" t="s">
        <v>904</v>
      </c>
      <c r="D1986" s="4" t="s">
        <v>25</v>
      </c>
      <c r="E1986">
        <v>6</v>
      </c>
      <c r="F1986" s="3">
        <v>2765.1979000000001</v>
      </c>
      <c r="G1986" s="2">
        <v>1.28</v>
      </c>
      <c r="H1986" s="3">
        <v>0</v>
      </c>
      <c r="I1986" s="1">
        <v>45824</v>
      </c>
      <c r="J1986" s="4" t="s">
        <v>9</v>
      </c>
      <c r="K1986" s="4" t="s">
        <v>12</v>
      </c>
      <c r="L1986" s="3">
        <v>-646.89</v>
      </c>
      <c r="M1986" s="4" t="s">
        <v>1255</v>
      </c>
      <c r="N1986" s="3">
        <v>16591.187399999999</v>
      </c>
    </row>
    <row r="1987" spans="1:14" x14ac:dyDescent="0.35">
      <c r="A1987">
        <v>2956</v>
      </c>
      <c r="B1987" s="4" t="s">
        <v>328</v>
      </c>
      <c r="C1987" s="4" t="s">
        <v>954</v>
      </c>
      <c r="D1987" s="4" t="s">
        <v>10</v>
      </c>
      <c r="E1987">
        <v>0</v>
      </c>
      <c r="F1987" s="3">
        <v>2710.15</v>
      </c>
      <c r="G1987" s="2">
        <v>0.63619318181818196</v>
      </c>
      <c r="H1987" s="3">
        <v>0</v>
      </c>
      <c r="I1987" s="1">
        <v>45647</v>
      </c>
      <c r="J1987" s="4" t="s">
        <v>7</v>
      </c>
      <c r="K1987" s="4" t="s">
        <v>8</v>
      </c>
      <c r="L1987" s="3">
        <v>2.2200000000000002</v>
      </c>
      <c r="M1987" s="4" t="s">
        <v>1255</v>
      </c>
      <c r="N1987" s="3">
        <v>0</v>
      </c>
    </row>
    <row r="1988" spans="1:14" x14ac:dyDescent="0.35">
      <c r="A1988">
        <v>2957</v>
      </c>
      <c r="B1988" s="4" t="s">
        <v>110</v>
      </c>
      <c r="C1988" s="4" t="s">
        <v>161</v>
      </c>
      <c r="D1988" s="4" t="s">
        <v>14</v>
      </c>
      <c r="E1988">
        <v>0</v>
      </c>
      <c r="F1988" s="3">
        <v>2765.1979000000001</v>
      </c>
      <c r="G1988" s="2">
        <v>0.68</v>
      </c>
      <c r="H1988" s="3">
        <v>0</v>
      </c>
      <c r="I1988" s="1">
        <v>45724</v>
      </c>
      <c r="J1988" s="4" t="s">
        <v>9</v>
      </c>
      <c r="K1988" s="4" t="s">
        <v>8</v>
      </c>
      <c r="L1988" s="3">
        <v>301.72000000000003</v>
      </c>
      <c r="M1988" s="4" t="s">
        <v>1255</v>
      </c>
      <c r="N1988" s="3">
        <v>0</v>
      </c>
    </row>
    <row r="1989" spans="1:14" x14ac:dyDescent="0.35">
      <c r="A1989">
        <v>2958</v>
      </c>
      <c r="B1989" s="4" t="s">
        <v>122</v>
      </c>
      <c r="C1989" s="4" t="s">
        <v>806</v>
      </c>
      <c r="D1989" s="4" t="s">
        <v>26</v>
      </c>
      <c r="E1989">
        <v>-2</v>
      </c>
      <c r="F1989" s="3">
        <v>2765.4032999999999</v>
      </c>
      <c r="G1989" s="2">
        <v>0.63594285714285703</v>
      </c>
      <c r="H1989" s="3">
        <v>0</v>
      </c>
      <c r="I1989" s="1">
        <v>45393</v>
      </c>
      <c r="J1989" s="4" t="s">
        <v>20</v>
      </c>
      <c r="K1989" s="4" t="s">
        <v>8</v>
      </c>
      <c r="L1989" s="3">
        <v>-645.12</v>
      </c>
      <c r="M1989" s="4" t="s">
        <v>1255</v>
      </c>
      <c r="N1989" s="3">
        <v>-5530.8065999999999</v>
      </c>
    </row>
    <row r="1990" spans="1:14" x14ac:dyDescent="0.35">
      <c r="A1990">
        <v>2959</v>
      </c>
      <c r="B1990" s="4" t="s">
        <v>641</v>
      </c>
      <c r="C1990" s="4" t="s">
        <v>82</v>
      </c>
      <c r="D1990" s="4" t="s">
        <v>13</v>
      </c>
      <c r="E1990">
        <v>0</v>
      </c>
      <c r="F1990" s="3">
        <v>4113.9799999999996</v>
      </c>
      <c r="G1990" s="2">
        <v>0.63594285714285703</v>
      </c>
      <c r="H1990" s="3">
        <v>0</v>
      </c>
      <c r="I1990" s="1">
        <v>45720</v>
      </c>
      <c r="J1990" s="4" t="s">
        <v>11</v>
      </c>
      <c r="K1990" s="4" t="s">
        <v>8</v>
      </c>
      <c r="L1990" s="3">
        <v>477.7</v>
      </c>
      <c r="M1990" s="4" t="s">
        <v>1255</v>
      </c>
      <c r="N1990" s="3">
        <v>0</v>
      </c>
    </row>
    <row r="1991" spans="1:14" x14ac:dyDescent="0.35">
      <c r="A1991">
        <v>2960</v>
      </c>
      <c r="B1991" s="4" t="s">
        <v>1157</v>
      </c>
      <c r="C1991" s="4" t="s">
        <v>698</v>
      </c>
      <c r="D1991" s="4" t="s">
        <v>14</v>
      </c>
      <c r="E1991">
        <v>0</v>
      </c>
      <c r="F1991" s="3">
        <v>1536.53</v>
      </c>
      <c r="G1991" s="2">
        <v>0.96</v>
      </c>
      <c r="H1991" s="3">
        <v>0</v>
      </c>
      <c r="I1991" s="1">
        <v>45804</v>
      </c>
      <c r="J1991" s="4" t="s">
        <v>18</v>
      </c>
      <c r="K1991" s="4" t="s">
        <v>12</v>
      </c>
      <c r="L1991" s="3">
        <v>1052.28</v>
      </c>
      <c r="M1991" s="4" t="s">
        <v>1255</v>
      </c>
      <c r="N1991" s="3">
        <v>0</v>
      </c>
    </row>
    <row r="1992" spans="1:14" x14ac:dyDescent="0.35">
      <c r="A1992">
        <v>2962</v>
      </c>
      <c r="B1992" s="4" t="s">
        <v>535</v>
      </c>
      <c r="C1992" s="4" t="s">
        <v>1158</v>
      </c>
      <c r="D1992" s="4" t="s">
        <v>14</v>
      </c>
      <c r="E1992">
        <v>0</v>
      </c>
      <c r="F1992" s="3">
        <v>2764.9533000000001</v>
      </c>
      <c r="G1992" s="2">
        <v>0.87</v>
      </c>
      <c r="H1992" s="3">
        <v>0</v>
      </c>
      <c r="I1992" s="1">
        <v>45596</v>
      </c>
      <c r="J1992" s="4" t="s">
        <v>7</v>
      </c>
      <c r="K1992" s="4" t="s">
        <v>8</v>
      </c>
      <c r="L1992" s="3">
        <v>-617.13</v>
      </c>
      <c r="M1992" s="4" t="s">
        <v>1255</v>
      </c>
      <c r="N1992" s="3">
        <v>0</v>
      </c>
    </row>
    <row r="1993" spans="1:14" x14ac:dyDescent="0.35">
      <c r="A1993">
        <v>2963</v>
      </c>
      <c r="B1993" s="4" t="s">
        <v>343</v>
      </c>
      <c r="C1993" s="4" t="s">
        <v>48</v>
      </c>
      <c r="D1993" s="4" t="s">
        <v>6</v>
      </c>
      <c r="E1993">
        <v>0</v>
      </c>
      <c r="F1993" s="3">
        <v>570.21</v>
      </c>
      <c r="G1993" s="2">
        <v>0.63616279069767401</v>
      </c>
      <c r="H1993" s="3">
        <v>0</v>
      </c>
      <c r="I1993" s="1">
        <v>45750</v>
      </c>
      <c r="J1993" s="4" t="s">
        <v>7</v>
      </c>
      <c r="K1993" s="4" t="s">
        <v>12</v>
      </c>
      <c r="L1993" s="3">
        <v>380.3</v>
      </c>
      <c r="M1993" s="4" t="s">
        <v>1255</v>
      </c>
      <c r="N1993" s="3">
        <v>0</v>
      </c>
    </row>
    <row r="1994" spans="1:14" x14ac:dyDescent="0.35">
      <c r="A1994">
        <v>2964</v>
      </c>
      <c r="B1994" s="4" t="s">
        <v>1035</v>
      </c>
      <c r="C1994" s="4" t="s">
        <v>1159</v>
      </c>
      <c r="D1994" s="4" t="s">
        <v>29</v>
      </c>
      <c r="E1994">
        <v>-1</v>
      </c>
      <c r="F1994" s="3">
        <v>2764.9533000000001</v>
      </c>
      <c r="G1994" s="2">
        <v>0.96</v>
      </c>
      <c r="H1994" s="3">
        <v>0</v>
      </c>
      <c r="I1994" s="1">
        <v>45697</v>
      </c>
      <c r="J1994" s="4" t="s">
        <v>23</v>
      </c>
      <c r="K1994" s="4" t="s">
        <v>8</v>
      </c>
      <c r="L1994" s="3">
        <v>-937.17</v>
      </c>
      <c r="M1994" s="4" t="s">
        <v>1255</v>
      </c>
      <c r="N1994" s="3">
        <v>-2764.9533000000001</v>
      </c>
    </row>
    <row r="1995" spans="1:14" x14ac:dyDescent="0.35">
      <c r="A1995">
        <v>2966</v>
      </c>
      <c r="B1995" s="4" t="s">
        <v>1074</v>
      </c>
      <c r="C1995" s="4" t="s">
        <v>61</v>
      </c>
      <c r="D1995" s="4" t="s">
        <v>15</v>
      </c>
      <c r="E1995">
        <v>0</v>
      </c>
      <c r="F1995" s="3">
        <v>1650.01</v>
      </c>
      <c r="G1995" s="2">
        <v>0.63426900584795298</v>
      </c>
      <c r="H1995" s="3">
        <v>0</v>
      </c>
      <c r="I1995" s="1">
        <v>45635</v>
      </c>
      <c r="J1995" s="4" t="s">
        <v>23</v>
      </c>
      <c r="K1995" s="4" t="s">
        <v>12</v>
      </c>
      <c r="L1995" s="3">
        <v>2561.34</v>
      </c>
      <c r="M1995" s="4" t="s">
        <v>1255</v>
      </c>
      <c r="N1995" s="3">
        <v>0</v>
      </c>
    </row>
    <row r="1996" spans="1:14" x14ac:dyDescent="0.35">
      <c r="A1996">
        <v>2967</v>
      </c>
      <c r="B1996" s="4" t="s">
        <v>274</v>
      </c>
      <c r="C1996" s="4" t="s">
        <v>133</v>
      </c>
      <c r="D1996" s="4" t="s">
        <v>17</v>
      </c>
      <c r="E1996">
        <v>0</v>
      </c>
      <c r="F1996" s="3">
        <v>2773.2354</v>
      </c>
      <c r="G1996" s="2">
        <v>0.63426900584795298</v>
      </c>
      <c r="H1996" s="3">
        <v>0</v>
      </c>
      <c r="I1996" s="1">
        <v>45771</v>
      </c>
      <c r="J1996" s="4" t="s">
        <v>23</v>
      </c>
      <c r="K1996" s="4" t="s">
        <v>12</v>
      </c>
      <c r="L1996" s="3">
        <v>-346.59</v>
      </c>
      <c r="M1996" s="4" t="s">
        <v>1255</v>
      </c>
      <c r="N1996" s="3">
        <v>0</v>
      </c>
    </row>
    <row r="1997" spans="1:14" x14ac:dyDescent="0.35">
      <c r="A1997">
        <v>2968</v>
      </c>
      <c r="B1997" s="4" t="s">
        <v>421</v>
      </c>
      <c r="C1997" s="4" t="s">
        <v>187</v>
      </c>
      <c r="D1997" s="4" t="s">
        <v>10</v>
      </c>
      <c r="E1997">
        <v>0</v>
      </c>
      <c r="F1997" s="3">
        <v>2777.49</v>
      </c>
      <c r="G1997" s="2">
        <v>0.63426900584795298</v>
      </c>
      <c r="H1997" s="3">
        <v>0</v>
      </c>
      <c r="I1997" s="1">
        <v>45787</v>
      </c>
      <c r="J1997" s="4" t="s">
        <v>11</v>
      </c>
      <c r="K1997" s="4" t="s">
        <v>12</v>
      </c>
      <c r="L1997" s="3">
        <v>768.33</v>
      </c>
      <c r="M1997" s="4" t="s">
        <v>1255</v>
      </c>
      <c r="N1997" s="3">
        <v>0</v>
      </c>
    </row>
    <row r="1998" spans="1:14" x14ac:dyDescent="0.35">
      <c r="A1998">
        <v>2969</v>
      </c>
      <c r="B1998" s="4" t="s">
        <v>113</v>
      </c>
      <c r="C1998" s="4" t="s">
        <v>197</v>
      </c>
      <c r="D1998" s="4" t="s">
        <v>34</v>
      </c>
      <c r="E1998">
        <v>0</v>
      </c>
      <c r="F1998" s="3">
        <v>4858.47</v>
      </c>
      <c r="G1998" s="2">
        <v>0.68</v>
      </c>
      <c r="H1998" s="3">
        <v>0</v>
      </c>
      <c r="I1998" s="1">
        <v>45826</v>
      </c>
      <c r="J1998" s="4" t="s">
        <v>18</v>
      </c>
      <c r="K1998" s="4" t="s">
        <v>12</v>
      </c>
      <c r="L1998" s="3">
        <v>1115.8900000000001</v>
      </c>
      <c r="M1998" s="4" t="s">
        <v>1255</v>
      </c>
      <c r="N1998" s="3">
        <v>0</v>
      </c>
    </row>
    <row r="1999" spans="1:14" x14ac:dyDescent="0.35">
      <c r="A1999">
        <v>2970</v>
      </c>
      <c r="B1999" s="4" t="s">
        <v>276</v>
      </c>
      <c r="C1999" s="4" t="s">
        <v>1160</v>
      </c>
      <c r="D1999" s="4" t="s">
        <v>37</v>
      </c>
      <c r="E1999">
        <v>1</v>
      </c>
      <c r="F1999" s="3">
        <v>2777.49</v>
      </c>
      <c r="G1999" s="2">
        <v>0.63400000000000001</v>
      </c>
      <c r="H1999" s="3">
        <v>0</v>
      </c>
      <c r="I1999" s="1">
        <v>45611</v>
      </c>
      <c r="J1999" s="4" t="s">
        <v>20</v>
      </c>
      <c r="K1999" s="4" t="s">
        <v>8</v>
      </c>
      <c r="L1999" s="3">
        <v>1214.1500000000001</v>
      </c>
      <c r="M1999" s="4" t="s">
        <v>1255</v>
      </c>
      <c r="N1999" s="3">
        <v>2777.49</v>
      </c>
    </row>
    <row r="2000" spans="1:14" x14ac:dyDescent="0.35">
      <c r="A2000">
        <v>2971</v>
      </c>
      <c r="B2000" s="4" t="s">
        <v>363</v>
      </c>
      <c r="C2000" s="4" t="s">
        <v>1161</v>
      </c>
      <c r="D2000" s="4" t="s">
        <v>31</v>
      </c>
      <c r="E2000">
        <v>6</v>
      </c>
      <c r="F2000" s="3">
        <v>1507.6</v>
      </c>
      <c r="G2000" s="2">
        <v>0.63400000000000001</v>
      </c>
      <c r="H2000" s="3">
        <v>0</v>
      </c>
      <c r="I2000" s="1">
        <v>45699</v>
      </c>
      <c r="J2000" s="4" t="s">
        <v>7</v>
      </c>
      <c r="K2000" s="4" t="s">
        <v>8</v>
      </c>
      <c r="L2000" s="3">
        <v>2280.06</v>
      </c>
      <c r="M2000" s="4" t="s">
        <v>1255</v>
      </c>
      <c r="N2000" s="3">
        <v>9045.6</v>
      </c>
    </row>
    <row r="2001" spans="1:14" hidden="1" x14ac:dyDescent="0.35">
      <c r="A2001">
        <v>2972</v>
      </c>
      <c r="B2001" s="4" t="s">
        <v>829</v>
      </c>
      <c r="C2001" s="4" t="s">
        <v>92</v>
      </c>
      <c r="D2001" s="4" t="s">
        <v>31</v>
      </c>
      <c r="E2001">
        <v>5</v>
      </c>
      <c r="F2001" s="3">
        <v>2769.5774999999999</v>
      </c>
      <c r="G2001" s="2">
        <v>0.63400000000000001</v>
      </c>
      <c r="H2001" s="3">
        <v>0</v>
      </c>
      <c r="I2001" s="1">
        <v>45699</v>
      </c>
      <c r="J2001" s="4" t="s">
        <v>20</v>
      </c>
      <c r="K2001" s="4" t="s">
        <v>40</v>
      </c>
      <c r="L2001" s="3">
        <v>2532.7600000000002</v>
      </c>
      <c r="M2001" s="4" t="s">
        <v>1255</v>
      </c>
      <c r="N2001" s="3">
        <v>13847.887500000001</v>
      </c>
    </row>
    <row r="2002" spans="1:14" x14ac:dyDescent="0.35">
      <c r="A2002">
        <v>2973</v>
      </c>
      <c r="B2002" s="4" t="s">
        <v>243</v>
      </c>
      <c r="C2002" s="4" t="s">
        <v>149</v>
      </c>
      <c r="D2002" s="4" t="s">
        <v>14</v>
      </c>
      <c r="E2002">
        <v>0</v>
      </c>
      <c r="F2002" s="3">
        <v>2774.3942000000002</v>
      </c>
      <c r="G2002" s="2">
        <v>0.63400000000000001</v>
      </c>
      <c r="H2002" s="3">
        <v>0</v>
      </c>
      <c r="I2002" s="1">
        <v>45641</v>
      </c>
      <c r="J2002" s="4" t="s">
        <v>23</v>
      </c>
      <c r="K2002" s="4" t="s">
        <v>8</v>
      </c>
      <c r="L2002" s="3">
        <v>1576.16</v>
      </c>
      <c r="M2002" s="4" t="s">
        <v>1255</v>
      </c>
      <c r="N2002" s="3">
        <v>0</v>
      </c>
    </row>
    <row r="2003" spans="1:14" x14ac:dyDescent="0.35">
      <c r="A2003">
        <v>2974</v>
      </c>
      <c r="B2003" s="4" t="s">
        <v>145</v>
      </c>
      <c r="C2003" s="4" t="s">
        <v>78</v>
      </c>
      <c r="D2003" s="4" t="s">
        <v>33</v>
      </c>
      <c r="E2003">
        <v>6</v>
      </c>
      <c r="F2003" s="3">
        <v>1765.76</v>
      </c>
      <c r="G2003" s="2">
        <v>0.36</v>
      </c>
      <c r="H2003" s="3">
        <v>6780.52</v>
      </c>
      <c r="I2003" s="1">
        <v>45798</v>
      </c>
      <c r="J2003" s="4" t="s">
        <v>9</v>
      </c>
      <c r="K2003" s="4" t="s">
        <v>12</v>
      </c>
      <c r="L2003" s="3">
        <v>2947</v>
      </c>
      <c r="M2003" s="4" t="s">
        <v>1256</v>
      </c>
      <c r="N2003" s="3">
        <v>10594.56</v>
      </c>
    </row>
    <row r="2004" spans="1:14" x14ac:dyDescent="0.35">
      <c r="A2004">
        <v>2975</v>
      </c>
      <c r="B2004" s="4" t="s">
        <v>903</v>
      </c>
      <c r="C2004" s="4" t="s">
        <v>205</v>
      </c>
      <c r="D2004" s="4" t="s">
        <v>35</v>
      </c>
      <c r="E2004">
        <v>0</v>
      </c>
      <c r="F2004" s="3">
        <v>3835.25</v>
      </c>
      <c r="G2004" s="2">
        <v>0.63562130177514797</v>
      </c>
      <c r="H2004" s="3">
        <v>0</v>
      </c>
      <c r="I2004" s="1">
        <v>45700</v>
      </c>
      <c r="J2004" s="4" t="s">
        <v>9</v>
      </c>
      <c r="K2004" s="4" t="s">
        <v>12</v>
      </c>
      <c r="L2004" s="3">
        <v>2378.4</v>
      </c>
      <c r="M2004" s="4" t="s">
        <v>1255</v>
      </c>
      <c r="N2004" s="3">
        <v>0</v>
      </c>
    </row>
    <row r="2005" spans="1:14" x14ac:dyDescent="0.35">
      <c r="A2005">
        <v>2976</v>
      </c>
      <c r="B2005" s="4" t="s">
        <v>93</v>
      </c>
      <c r="C2005" s="4" t="s">
        <v>349</v>
      </c>
      <c r="D2005" s="4" t="s">
        <v>26</v>
      </c>
      <c r="E2005">
        <v>0</v>
      </c>
      <c r="F2005" s="3">
        <v>1572.95</v>
      </c>
      <c r="G2005" s="2">
        <v>0.63562130177514797</v>
      </c>
      <c r="H2005" s="3">
        <v>0</v>
      </c>
      <c r="I2005" s="1">
        <v>45663</v>
      </c>
      <c r="J2005" s="4" t="s">
        <v>23</v>
      </c>
      <c r="K2005" s="4" t="s">
        <v>12</v>
      </c>
      <c r="L2005" s="3">
        <v>2532.02</v>
      </c>
      <c r="M2005" s="4" t="s">
        <v>1255</v>
      </c>
      <c r="N2005" s="3">
        <v>0</v>
      </c>
    </row>
    <row r="2006" spans="1:14" x14ac:dyDescent="0.35">
      <c r="A2006">
        <v>2977</v>
      </c>
      <c r="B2006" s="4" t="s">
        <v>1162</v>
      </c>
      <c r="C2006" s="4" t="s">
        <v>242</v>
      </c>
      <c r="D2006" s="4" t="s">
        <v>17</v>
      </c>
      <c r="E2006">
        <v>-2</v>
      </c>
      <c r="F2006" s="3">
        <v>3205.93</v>
      </c>
      <c r="G2006" s="2">
        <v>0.63562130177514797</v>
      </c>
      <c r="H2006" s="3">
        <v>0</v>
      </c>
      <c r="I2006" s="1">
        <v>45663</v>
      </c>
      <c r="J2006" s="4" t="s">
        <v>11</v>
      </c>
      <c r="K2006" s="4" t="s">
        <v>8</v>
      </c>
      <c r="L2006" s="3">
        <v>1421.4</v>
      </c>
      <c r="M2006" s="4" t="s">
        <v>1255</v>
      </c>
      <c r="N2006" s="3">
        <v>-6411.86</v>
      </c>
    </row>
    <row r="2007" spans="1:14" x14ac:dyDescent="0.35">
      <c r="A2007">
        <v>2978</v>
      </c>
      <c r="B2007" s="4" t="s">
        <v>122</v>
      </c>
      <c r="C2007" s="4" t="s">
        <v>391</v>
      </c>
      <c r="D2007" s="4" t="s">
        <v>31</v>
      </c>
      <c r="E2007">
        <v>3</v>
      </c>
      <c r="F2007" s="3">
        <v>2778.8314</v>
      </c>
      <c r="G2007" s="2">
        <v>0.52</v>
      </c>
      <c r="H2007" s="3">
        <v>0</v>
      </c>
      <c r="I2007" s="1">
        <v>45855</v>
      </c>
      <c r="J2007" s="4" t="s">
        <v>23</v>
      </c>
      <c r="K2007" s="4" t="s">
        <v>8</v>
      </c>
      <c r="L2007" s="3">
        <v>771.47</v>
      </c>
      <c r="M2007" s="4" t="s">
        <v>1255</v>
      </c>
      <c r="N2007" s="3">
        <v>8336.4941999999992</v>
      </c>
    </row>
    <row r="2008" spans="1:14" hidden="1" x14ac:dyDescent="0.35">
      <c r="A2008">
        <v>2979</v>
      </c>
      <c r="B2008" s="4" t="s">
        <v>575</v>
      </c>
      <c r="C2008" s="4" t="s">
        <v>649</v>
      </c>
      <c r="D2008" s="4" t="s">
        <v>26</v>
      </c>
      <c r="E2008">
        <v>0</v>
      </c>
      <c r="F2008" s="3">
        <v>2777.1759999999999</v>
      </c>
      <c r="G2008" s="2">
        <v>0.23</v>
      </c>
      <c r="H2008" s="3">
        <v>0</v>
      </c>
      <c r="I2008" s="1">
        <v>45855</v>
      </c>
      <c r="J2008" s="4" t="s">
        <v>11</v>
      </c>
      <c r="K2008" s="4" t="s">
        <v>40</v>
      </c>
      <c r="L2008" s="3">
        <v>862.17</v>
      </c>
      <c r="M2008" s="4" t="s">
        <v>1255</v>
      </c>
      <c r="N2008" s="3">
        <v>0</v>
      </c>
    </row>
    <row r="2009" spans="1:14" x14ac:dyDescent="0.35">
      <c r="A2009">
        <v>2980</v>
      </c>
      <c r="B2009" s="4" t="s">
        <v>517</v>
      </c>
      <c r="C2009" s="4" t="s">
        <v>61</v>
      </c>
      <c r="D2009" s="4" t="s">
        <v>26</v>
      </c>
      <c r="E2009">
        <v>0</v>
      </c>
      <c r="F2009" s="3">
        <v>2777.1759999999999</v>
      </c>
      <c r="G2009" s="2">
        <v>0.36</v>
      </c>
      <c r="H2009" s="3">
        <v>0</v>
      </c>
      <c r="I2009" s="1">
        <v>45628</v>
      </c>
      <c r="J2009" s="4" t="s">
        <v>7</v>
      </c>
      <c r="K2009" s="4" t="s">
        <v>8</v>
      </c>
      <c r="L2009" s="3">
        <v>147.66999999999999</v>
      </c>
      <c r="M2009" s="4" t="s">
        <v>1255</v>
      </c>
      <c r="N2009" s="3">
        <v>0</v>
      </c>
    </row>
    <row r="2010" spans="1:14" hidden="1" x14ac:dyDescent="0.35">
      <c r="A2010">
        <v>2982</v>
      </c>
      <c r="B2010" s="4" t="s">
        <v>400</v>
      </c>
      <c r="C2010" s="4" t="s">
        <v>273</v>
      </c>
      <c r="D2010" s="4" t="s">
        <v>37</v>
      </c>
      <c r="E2010">
        <v>-1</v>
      </c>
      <c r="F2010" s="3">
        <v>2497.52</v>
      </c>
      <c r="G2010" s="2">
        <v>0.64042168674698796</v>
      </c>
      <c r="H2010" s="3">
        <v>0</v>
      </c>
      <c r="I2010" s="1">
        <v>45253</v>
      </c>
      <c r="J2010" s="4" t="s">
        <v>9</v>
      </c>
      <c r="K2010" s="4" t="s">
        <v>40</v>
      </c>
      <c r="L2010" s="3">
        <v>-523.42999999999995</v>
      </c>
      <c r="M2010" s="4" t="s">
        <v>1255</v>
      </c>
      <c r="N2010" s="3">
        <v>-2497.52</v>
      </c>
    </row>
    <row r="2011" spans="1:14" hidden="1" x14ac:dyDescent="0.35">
      <c r="A2011">
        <v>2983</v>
      </c>
      <c r="B2011" s="4" t="s">
        <v>160</v>
      </c>
      <c r="C2011" s="4" t="s">
        <v>759</v>
      </c>
      <c r="D2011" s="4" t="s">
        <v>22</v>
      </c>
      <c r="E2011">
        <v>0</v>
      </c>
      <c r="F2011" s="3">
        <v>2777.1759999999999</v>
      </c>
      <c r="G2011" s="2">
        <v>0.64042168674698796</v>
      </c>
      <c r="H2011" s="3">
        <v>0</v>
      </c>
      <c r="I2011" s="1">
        <v>45253</v>
      </c>
      <c r="J2011" s="4" t="s">
        <v>20</v>
      </c>
      <c r="K2011" s="4" t="s">
        <v>40</v>
      </c>
      <c r="L2011" s="3">
        <v>1347.94</v>
      </c>
      <c r="M2011" s="4" t="s">
        <v>1255</v>
      </c>
      <c r="N2011" s="3">
        <v>0</v>
      </c>
    </row>
    <row r="2012" spans="1:14" x14ac:dyDescent="0.35">
      <c r="A2012">
        <v>2984</v>
      </c>
      <c r="B2012" s="4" t="s">
        <v>440</v>
      </c>
      <c r="C2012" s="4" t="s">
        <v>142</v>
      </c>
      <c r="D2012" s="4" t="s">
        <v>13</v>
      </c>
      <c r="E2012">
        <v>4</v>
      </c>
      <c r="F2012" s="3">
        <v>2062.9</v>
      </c>
      <c r="G2012" s="2">
        <v>0.64042168674698796</v>
      </c>
      <c r="H2012" s="3">
        <v>0</v>
      </c>
      <c r="I2012" s="1">
        <v>45506</v>
      </c>
      <c r="J2012" s="4" t="s">
        <v>11</v>
      </c>
      <c r="K2012" s="4" t="s">
        <v>8</v>
      </c>
      <c r="L2012" s="3">
        <v>2471.06</v>
      </c>
      <c r="M2012" s="4" t="s">
        <v>1255</v>
      </c>
      <c r="N2012" s="3">
        <v>8251.6</v>
      </c>
    </row>
    <row r="2013" spans="1:14" hidden="1" x14ac:dyDescent="0.35">
      <c r="A2013">
        <v>2985</v>
      </c>
      <c r="B2013" s="4" t="s">
        <v>185</v>
      </c>
      <c r="C2013" s="4" t="s">
        <v>266</v>
      </c>
      <c r="D2013" s="4" t="s">
        <v>21</v>
      </c>
      <c r="E2013">
        <v>0</v>
      </c>
      <c r="F2013" s="3">
        <v>2778.2640999999999</v>
      </c>
      <c r="G2013" s="2">
        <v>1.1499999999999999</v>
      </c>
      <c r="H2013" s="3">
        <v>0</v>
      </c>
      <c r="I2013" s="1">
        <v>45672</v>
      </c>
      <c r="J2013" s="4" t="s">
        <v>23</v>
      </c>
      <c r="K2013" s="4" t="s">
        <v>40</v>
      </c>
      <c r="L2013" s="3">
        <v>774.28</v>
      </c>
      <c r="M2013" s="4" t="s">
        <v>1255</v>
      </c>
      <c r="N2013" s="3">
        <v>0</v>
      </c>
    </row>
    <row r="2014" spans="1:14" x14ac:dyDescent="0.35">
      <c r="A2014">
        <v>2986</v>
      </c>
      <c r="B2014" s="4" t="s">
        <v>89</v>
      </c>
      <c r="C2014" s="4" t="s">
        <v>694</v>
      </c>
      <c r="D2014" s="4" t="s">
        <v>25</v>
      </c>
      <c r="E2014">
        <v>-2</v>
      </c>
      <c r="F2014" s="3">
        <v>2781.0585000000001</v>
      </c>
      <c r="G2014" s="2">
        <v>0.63733333333333297</v>
      </c>
      <c r="H2014" s="3">
        <v>0</v>
      </c>
      <c r="I2014" s="1">
        <v>45588</v>
      </c>
      <c r="J2014" s="4" t="s">
        <v>11</v>
      </c>
      <c r="K2014" s="4" t="s">
        <v>12</v>
      </c>
      <c r="L2014" s="3">
        <v>-283.42</v>
      </c>
      <c r="M2014" s="4" t="s">
        <v>1255</v>
      </c>
      <c r="N2014" s="3">
        <v>-5562.1170000000002</v>
      </c>
    </row>
    <row r="2015" spans="1:14" x14ac:dyDescent="0.35">
      <c r="A2015">
        <v>2987</v>
      </c>
      <c r="B2015" s="4" t="s">
        <v>210</v>
      </c>
      <c r="C2015" s="4" t="s">
        <v>591</v>
      </c>
      <c r="D2015" s="4" t="s">
        <v>14</v>
      </c>
      <c r="E2015">
        <v>6</v>
      </c>
      <c r="F2015" s="3">
        <v>2584.4299999999998</v>
      </c>
      <c r="G2015" s="2">
        <v>0.63733333333333297</v>
      </c>
      <c r="H2015" s="3">
        <v>0</v>
      </c>
      <c r="I2015" s="1">
        <v>45588</v>
      </c>
      <c r="J2015" s="4" t="s">
        <v>7</v>
      </c>
      <c r="K2015" s="4" t="s">
        <v>8</v>
      </c>
      <c r="L2015" s="3">
        <v>992.21</v>
      </c>
      <c r="M2015" s="4" t="s">
        <v>1255</v>
      </c>
      <c r="N2015" s="3">
        <v>15506.58</v>
      </c>
    </row>
    <row r="2016" spans="1:14" hidden="1" x14ac:dyDescent="0.35">
      <c r="A2016">
        <v>2988</v>
      </c>
      <c r="B2016" s="4" t="s">
        <v>187</v>
      </c>
      <c r="C2016" s="4" t="s">
        <v>1163</v>
      </c>
      <c r="D2016" s="4" t="s">
        <v>28</v>
      </c>
      <c r="E2016">
        <v>0</v>
      </c>
      <c r="F2016" s="3">
        <v>2781.0585000000001</v>
      </c>
      <c r="G2016" s="2">
        <v>0.63733333333333297</v>
      </c>
      <c r="H2016" s="3">
        <v>0</v>
      </c>
      <c r="I2016" s="1">
        <v>45588</v>
      </c>
      <c r="J2016" s="4" t="s">
        <v>20</v>
      </c>
      <c r="K2016" s="4" t="s">
        <v>40</v>
      </c>
      <c r="L2016" s="3">
        <v>2784.91</v>
      </c>
      <c r="M2016" s="4" t="s">
        <v>1255</v>
      </c>
      <c r="N2016" s="3">
        <v>0</v>
      </c>
    </row>
    <row r="2017" spans="1:14" x14ac:dyDescent="0.35">
      <c r="A2017">
        <v>2989</v>
      </c>
      <c r="B2017" s="4" t="s">
        <v>770</v>
      </c>
      <c r="C2017" s="4" t="s">
        <v>1164</v>
      </c>
      <c r="D2017" s="4" t="s">
        <v>29</v>
      </c>
      <c r="E2017">
        <v>-1</v>
      </c>
      <c r="F2017" s="3">
        <v>4084.97</v>
      </c>
      <c r="G2017" s="2">
        <v>0.83</v>
      </c>
      <c r="H2017" s="3">
        <v>-694.44</v>
      </c>
      <c r="I2017" s="1">
        <v>45320</v>
      </c>
      <c r="J2017" s="4" t="s">
        <v>11</v>
      </c>
      <c r="K2017" s="4" t="s">
        <v>12</v>
      </c>
      <c r="L2017" s="3">
        <v>2395.4299999999998</v>
      </c>
      <c r="M2017" s="4" t="s">
        <v>1255</v>
      </c>
      <c r="N2017" s="3">
        <v>-4084.97</v>
      </c>
    </row>
    <row r="2018" spans="1:14" hidden="1" x14ac:dyDescent="0.35">
      <c r="A2018">
        <v>2990</v>
      </c>
      <c r="B2018" s="4" t="s">
        <v>743</v>
      </c>
      <c r="C2018" s="4" t="s">
        <v>154</v>
      </c>
      <c r="D2018" s="4" t="s">
        <v>6</v>
      </c>
      <c r="E2018">
        <v>0</v>
      </c>
      <c r="F2018" s="3">
        <v>3205.73</v>
      </c>
      <c r="G2018" s="2">
        <v>0.63615853658536603</v>
      </c>
      <c r="H2018" s="3">
        <v>0</v>
      </c>
      <c r="I2018" s="1">
        <v>45556</v>
      </c>
      <c r="J2018" s="4" t="s">
        <v>11</v>
      </c>
      <c r="K2018" s="4" t="s">
        <v>40</v>
      </c>
      <c r="L2018" s="3">
        <v>1600.5</v>
      </c>
      <c r="M2018" s="4" t="s">
        <v>1255</v>
      </c>
      <c r="N2018" s="3">
        <v>0</v>
      </c>
    </row>
    <row r="2019" spans="1:14" hidden="1" x14ac:dyDescent="0.35">
      <c r="A2019">
        <v>2991</v>
      </c>
      <c r="B2019" s="4" t="s">
        <v>213</v>
      </c>
      <c r="C2019" s="4" t="s">
        <v>401</v>
      </c>
      <c r="D2019" s="4" t="s">
        <v>31</v>
      </c>
      <c r="E2019">
        <v>0</v>
      </c>
      <c r="F2019" s="3">
        <v>2053.65</v>
      </c>
      <c r="G2019" s="2">
        <v>0.63615853658536603</v>
      </c>
      <c r="H2019" s="3">
        <v>0</v>
      </c>
      <c r="I2019" s="1">
        <v>45582</v>
      </c>
      <c r="J2019" s="4" t="s">
        <v>23</v>
      </c>
      <c r="K2019" s="4" t="s">
        <v>40</v>
      </c>
      <c r="L2019" s="3">
        <v>-86.89</v>
      </c>
      <c r="M2019" s="4" t="s">
        <v>1255</v>
      </c>
      <c r="N2019" s="3">
        <v>0</v>
      </c>
    </row>
    <row r="2020" spans="1:14" x14ac:dyDescent="0.35">
      <c r="A2020">
        <v>2992</v>
      </c>
      <c r="B2020" s="4" t="s">
        <v>494</v>
      </c>
      <c r="C2020" s="4" t="s">
        <v>749</v>
      </c>
      <c r="D2020" s="4" t="s">
        <v>21</v>
      </c>
      <c r="E2020">
        <v>0</v>
      </c>
      <c r="F2020" s="3">
        <v>4747.16</v>
      </c>
      <c r="G2020" s="2">
        <v>0.9</v>
      </c>
      <c r="H2020" s="3">
        <v>0</v>
      </c>
      <c r="I2020" s="1">
        <v>45317</v>
      </c>
      <c r="J2020" s="4" t="s">
        <v>18</v>
      </c>
      <c r="K2020" s="4" t="s">
        <v>12</v>
      </c>
      <c r="L2020" s="3">
        <v>2189.0500000000002</v>
      </c>
      <c r="M2020" s="4" t="s">
        <v>1255</v>
      </c>
      <c r="N2020" s="3">
        <v>0</v>
      </c>
    </row>
    <row r="2021" spans="1:14" x14ac:dyDescent="0.35">
      <c r="A2021">
        <v>2993</v>
      </c>
      <c r="B2021" s="4" t="s">
        <v>1012</v>
      </c>
      <c r="C2021" s="4" t="s">
        <v>1165</v>
      </c>
      <c r="D2021" s="4" t="s">
        <v>35</v>
      </c>
      <c r="E2021">
        <v>0</v>
      </c>
      <c r="F2021" s="3">
        <v>2777.8658999999998</v>
      </c>
      <c r="G2021" s="2">
        <v>0.63453987730061401</v>
      </c>
      <c r="H2021" s="3">
        <v>0</v>
      </c>
      <c r="I2021" s="1">
        <v>45711</v>
      </c>
      <c r="J2021" s="4" t="s">
        <v>11</v>
      </c>
      <c r="K2021" s="4" t="s">
        <v>8</v>
      </c>
      <c r="L2021" s="3">
        <v>-568.91</v>
      </c>
      <c r="M2021" s="4" t="s">
        <v>1255</v>
      </c>
      <c r="N2021" s="3">
        <v>0</v>
      </c>
    </row>
    <row r="2022" spans="1:14" hidden="1" x14ac:dyDescent="0.35">
      <c r="A2022">
        <v>2994</v>
      </c>
      <c r="B2022" s="4" t="s">
        <v>65</v>
      </c>
      <c r="C2022" s="4" t="s">
        <v>1166</v>
      </c>
      <c r="D2022" s="4" t="s">
        <v>37</v>
      </c>
      <c r="E2022">
        <v>5</v>
      </c>
      <c r="F2022" s="3">
        <v>919.26</v>
      </c>
      <c r="G2022" s="2">
        <v>0.63453987730061401</v>
      </c>
      <c r="H2022" s="3">
        <v>0</v>
      </c>
      <c r="I2022" s="1">
        <v>45711</v>
      </c>
      <c r="J2022" s="4" t="s">
        <v>23</v>
      </c>
      <c r="K2022" s="4" t="s">
        <v>40</v>
      </c>
      <c r="L2022" s="3">
        <v>2805.22</v>
      </c>
      <c r="M2022" s="4" t="s">
        <v>1255</v>
      </c>
      <c r="N2022" s="3">
        <v>4596.3</v>
      </c>
    </row>
    <row r="2023" spans="1:14" hidden="1" x14ac:dyDescent="0.35">
      <c r="A2023">
        <v>2995</v>
      </c>
      <c r="B2023" s="4" t="s">
        <v>256</v>
      </c>
      <c r="C2023" s="4" t="s">
        <v>598</v>
      </c>
      <c r="D2023" s="4" t="s">
        <v>22</v>
      </c>
      <c r="E2023">
        <v>0</v>
      </c>
      <c r="F2023" s="3">
        <v>2617.66</v>
      </c>
      <c r="G2023" s="2">
        <v>0.55000000000000004</v>
      </c>
      <c r="H2023" s="3">
        <v>0</v>
      </c>
      <c r="I2023" s="1">
        <v>45694</v>
      </c>
      <c r="J2023" s="4" t="s">
        <v>11</v>
      </c>
      <c r="K2023" s="4" t="s">
        <v>40</v>
      </c>
      <c r="L2023" s="3">
        <v>1406.13</v>
      </c>
      <c r="M2023" s="4" t="s">
        <v>1255</v>
      </c>
      <c r="N2023" s="3">
        <v>0</v>
      </c>
    </row>
    <row r="2024" spans="1:14" hidden="1" x14ac:dyDescent="0.35">
      <c r="A2024">
        <v>2996</v>
      </c>
      <c r="B2024" s="4" t="s">
        <v>49</v>
      </c>
      <c r="C2024" s="4" t="s">
        <v>1053</v>
      </c>
      <c r="D2024" s="4" t="s">
        <v>25</v>
      </c>
      <c r="E2024">
        <v>2</v>
      </c>
      <c r="F2024" s="3">
        <v>3750.45</v>
      </c>
      <c r="G2024" s="2">
        <v>1.04</v>
      </c>
      <c r="H2024" s="3">
        <v>-300.04000000000002</v>
      </c>
      <c r="I2024" s="1">
        <v>45724</v>
      </c>
      <c r="J2024" s="4" t="s">
        <v>9</v>
      </c>
      <c r="K2024" s="4" t="s">
        <v>40</v>
      </c>
      <c r="L2024" s="3">
        <v>1108.3800000000001</v>
      </c>
      <c r="M2024" s="4" t="s">
        <v>1255</v>
      </c>
      <c r="N2024" s="3">
        <v>7500.9</v>
      </c>
    </row>
    <row r="2025" spans="1:14" x14ac:dyDescent="0.35">
      <c r="A2025">
        <v>2998</v>
      </c>
      <c r="B2025" s="4" t="s">
        <v>172</v>
      </c>
      <c r="C2025" s="4" t="s">
        <v>95</v>
      </c>
      <c r="D2025" s="4" t="s">
        <v>10</v>
      </c>
      <c r="E2025">
        <v>0</v>
      </c>
      <c r="F2025" s="3">
        <v>3453.58</v>
      </c>
      <c r="G2025" s="2">
        <v>0.63254658385093199</v>
      </c>
      <c r="H2025" s="3">
        <v>0</v>
      </c>
      <c r="I2025" s="1">
        <v>45594</v>
      </c>
      <c r="J2025" s="4" t="s">
        <v>11</v>
      </c>
      <c r="K2025" s="4" t="s">
        <v>12</v>
      </c>
      <c r="L2025" s="3">
        <v>2018.4</v>
      </c>
      <c r="M2025" s="4" t="s">
        <v>1255</v>
      </c>
      <c r="N2025" s="3">
        <v>0</v>
      </c>
    </row>
    <row r="2026" spans="1:14" x14ac:dyDescent="0.35">
      <c r="A2026">
        <v>2999</v>
      </c>
      <c r="B2026" s="4" t="s">
        <v>259</v>
      </c>
      <c r="C2026" s="4" t="s">
        <v>1026</v>
      </c>
      <c r="D2026" s="4" t="s">
        <v>13</v>
      </c>
      <c r="E2026">
        <v>0</v>
      </c>
      <c r="F2026" s="3">
        <v>2774.1437999999998</v>
      </c>
      <c r="G2026" s="2">
        <v>0.63254658385093199</v>
      </c>
      <c r="H2026" s="3">
        <v>0</v>
      </c>
      <c r="I2026" s="1">
        <v>45594</v>
      </c>
      <c r="J2026" s="4" t="s">
        <v>23</v>
      </c>
      <c r="K2026" s="4" t="s">
        <v>12</v>
      </c>
      <c r="L2026" s="3">
        <v>-828.2</v>
      </c>
      <c r="M2026" s="4" t="s">
        <v>1255</v>
      </c>
      <c r="N2026" s="3">
        <v>0</v>
      </c>
    </row>
    <row r="2027" spans="1:14" hidden="1" x14ac:dyDescent="0.35">
      <c r="A2027">
        <v>3001</v>
      </c>
      <c r="B2027" s="4" t="s">
        <v>125</v>
      </c>
      <c r="C2027" s="4" t="s">
        <v>403</v>
      </c>
      <c r="D2027" s="4" t="s">
        <v>30</v>
      </c>
      <c r="E2027">
        <v>-1</v>
      </c>
      <c r="F2027" s="3">
        <v>1171.57</v>
      </c>
      <c r="G2027" s="2">
        <v>0.63254658385093199</v>
      </c>
      <c r="H2027" s="3">
        <v>0</v>
      </c>
      <c r="I2027" s="1">
        <v>45601</v>
      </c>
      <c r="J2027" s="4" t="s">
        <v>20</v>
      </c>
      <c r="K2027" s="4" t="s">
        <v>40</v>
      </c>
      <c r="L2027" s="3">
        <v>2541.21</v>
      </c>
      <c r="M2027" s="4" t="s">
        <v>1255</v>
      </c>
      <c r="N2027" s="3">
        <v>-1171.57</v>
      </c>
    </row>
    <row r="2028" spans="1:14" x14ac:dyDescent="0.35">
      <c r="A2028">
        <v>3003</v>
      </c>
      <c r="B2028" s="4" t="s">
        <v>65</v>
      </c>
      <c r="C2028" s="4" t="s">
        <v>1039</v>
      </c>
      <c r="D2028" s="4" t="s">
        <v>21</v>
      </c>
      <c r="E2028">
        <v>-1</v>
      </c>
      <c r="F2028" s="3">
        <v>2777.8964000000001</v>
      </c>
      <c r="G2028" s="2">
        <v>0.63254658385093199</v>
      </c>
      <c r="H2028" s="3">
        <v>0</v>
      </c>
      <c r="I2028" s="1">
        <v>45581</v>
      </c>
      <c r="J2028" s="4" t="s">
        <v>7</v>
      </c>
      <c r="K2028" s="4" t="s">
        <v>12</v>
      </c>
      <c r="L2028" s="3">
        <v>605.98</v>
      </c>
      <c r="M2028" s="4" t="s">
        <v>1255</v>
      </c>
      <c r="N2028" s="3">
        <v>-2777.8964000000001</v>
      </c>
    </row>
    <row r="2029" spans="1:14" hidden="1" x14ac:dyDescent="0.35">
      <c r="A2029">
        <v>3004</v>
      </c>
      <c r="B2029" s="4" t="s">
        <v>248</v>
      </c>
      <c r="C2029" s="4" t="s">
        <v>102</v>
      </c>
      <c r="D2029" s="4" t="s">
        <v>15</v>
      </c>
      <c r="E2029">
        <v>3</v>
      </c>
      <c r="F2029" s="3">
        <v>1759.66</v>
      </c>
      <c r="G2029" s="2">
        <v>0.63254658385093199</v>
      </c>
      <c r="H2029" s="3">
        <v>0</v>
      </c>
      <c r="I2029" s="1">
        <v>45751</v>
      </c>
      <c r="J2029" s="4" t="s">
        <v>11</v>
      </c>
      <c r="K2029" s="4" t="s">
        <v>40</v>
      </c>
      <c r="L2029" s="3">
        <v>1133.07</v>
      </c>
      <c r="M2029" s="4" t="s">
        <v>1255</v>
      </c>
      <c r="N2029" s="3">
        <v>5278.98</v>
      </c>
    </row>
    <row r="2030" spans="1:14" x14ac:dyDescent="0.35">
      <c r="A2030">
        <v>3005</v>
      </c>
      <c r="B2030" s="4" t="s">
        <v>1167</v>
      </c>
      <c r="C2030" s="4" t="s">
        <v>61</v>
      </c>
      <c r="D2030" s="4" t="s">
        <v>27</v>
      </c>
      <c r="E2030">
        <v>0</v>
      </c>
      <c r="F2030" s="3">
        <v>2777.8964000000001</v>
      </c>
      <c r="G2030" s="2">
        <v>0.63254658385093199</v>
      </c>
      <c r="H2030" s="3">
        <v>0</v>
      </c>
      <c r="I2030" s="1">
        <v>45420</v>
      </c>
      <c r="J2030" s="4" t="s">
        <v>23</v>
      </c>
      <c r="K2030" s="4" t="s">
        <v>8</v>
      </c>
      <c r="L2030" s="3">
        <v>2378.14</v>
      </c>
      <c r="M2030" s="4" t="s">
        <v>1255</v>
      </c>
      <c r="N2030" s="3">
        <v>0</v>
      </c>
    </row>
    <row r="2031" spans="1:14" x14ac:dyDescent="0.35">
      <c r="A2031">
        <v>3006</v>
      </c>
      <c r="B2031" s="4" t="s">
        <v>312</v>
      </c>
      <c r="C2031" s="4" t="s">
        <v>440</v>
      </c>
      <c r="D2031" s="4" t="s">
        <v>13</v>
      </c>
      <c r="E2031">
        <v>0</v>
      </c>
      <c r="F2031" s="3">
        <v>2782.0524999999998</v>
      </c>
      <c r="G2031" s="2">
        <v>1.26</v>
      </c>
      <c r="H2031" s="3">
        <v>0</v>
      </c>
      <c r="I2031" s="1">
        <v>45420</v>
      </c>
      <c r="J2031" s="4" t="s">
        <v>20</v>
      </c>
      <c r="K2031" s="4" t="s">
        <v>12</v>
      </c>
      <c r="L2031" s="3">
        <v>1441.9</v>
      </c>
      <c r="M2031" s="4" t="s">
        <v>1255</v>
      </c>
      <c r="N2031" s="3">
        <v>0</v>
      </c>
    </row>
    <row r="2032" spans="1:14" x14ac:dyDescent="0.35">
      <c r="A2032">
        <v>3007</v>
      </c>
      <c r="B2032" s="4" t="s">
        <v>1168</v>
      </c>
      <c r="C2032" s="4" t="s">
        <v>622</v>
      </c>
      <c r="D2032" s="4" t="s">
        <v>13</v>
      </c>
      <c r="E2032">
        <v>-2</v>
      </c>
      <c r="F2032" s="3">
        <v>3922.01</v>
      </c>
      <c r="G2032" s="2">
        <v>0.62862499999999999</v>
      </c>
      <c r="H2032" s="3">
        <v>0</v>
      </c>
      <c r="I2032" s="1">
        <v>45726</v>
      </c>
      <c r="J2032" s="4" t="s">
        <v>18</v>
      </c>
      <c r="K2032" s="4" t="s">
        <v>12</v>
      </c>
      <c r="L2032" s="3">
        <v>2186.58</v>
      </c>
      <c r="M2032" s="4" t="s">
        <v>1255</v>
      </c>
      <c r="N2032" s="3">
        <v>-7844.02</v>
      </c>
    </row>
    <row r="2033" spans="1:14" x14ac:dyDescent="0.35">
      <c r="A2033">
        <v>3008</v>
      </c>
      <c r="B2033" s="4" t="s">
        <v>304</v>
      </c>
      <c r="C2033" s="4" t="s">
        <v>1169</v>
      </c>
      <c r="D2033" s="4" t="s">
        <v>19</v>
      </c>
      <c r="E2033">
        <v>0</v>
      </c>
      <c r="F2033" s="3">
        <v>2880.85</v>
      </c>
      <c r="G2033" s="2">
        <v>0.62862499999999999</v>
      </c>
      <c r="H2033" s="3">
        <v>0</v>
      </c>
      <c r="I2033" s="1">
        <v>45798</v>
      </c>
      <c r="J2033" s="4" t="s">
        <v>7</v>
      </c>
      <c r="K2033" s="4" t="s">
        <v>8</v>
      </c>
      <c r="L2033" s="3">
        <v>2519.23</v>
      </c>
      <c r="M2033" s="4" t="s">
        <v>1255</v>
      </c>
      <c r="N2033" s="3">
        <v>0</v>
      </c>
    </row>
    <row r="2034" spans="1:14" x14ac:dyDescent="0.35">
      <c r="A2034">
        <v>3009</v>
      </c>
      <c r="B2034" s="4" t="s">
        <v>113</v>
      </c>
      <c r="C2034" s="4" t="s">
        <v>1170</v>
      </c>
      <c r="D2034" s="4" t="s">
        <v>6</v>
      </c>
      <c r="E2034">
        <v>0</v>
      </c>
      <c r="F2034" s="3">
        <v>2777.3805000000002</v>
      </c>
      <c r="G2034" s="2">
        <v>0.62862499999999999</v>
      </c>
      <c r="H2034" s="3">
        <v>0</v>
      </c>
      <c r="I2034" s="1">
        <v>45730</v>
      </c>
      <c r="J2034" s="4" t="s">
        <v>18</v>
      </c>
      <c r="K2034" s="4" t="s">
        <v>8</v>
      </c>
      <c r="L2034" s="3">
        <v>25.22</v>
      </c>
      <c r="M2034" s="4" t="s">
        <v>1255</v>
      </c>
      <c r="N2034" s="3">
        <v>0</v>
      </c>
    </row>
    <row r="2035" spans="1:14" x14ac:dyDescent="0.35">
      <c r="A2035">
        <v>3010</v>
      </c>
      <c r="B2035" s="4" t="s">
        <v>54</v>
      </c>
      <c r="C2035" s="4" t="s">
        <v>769</v>
      </c>
      <c r="D2035" s="4" t="s">
        <v>10</v>
      </c>
      <c r="E2035">
        <v>-2</v>
      </c>
      <c r="F2035" s="3">
        <v>2776.9546999999998</v>
      </c>
      <c r="G2035" s="2">
        <v>0.68</v>
      </c>
      <c r="H2035" s="3">
        <v>0</v>
      </c>
      <c r="I2035" s="1">
        <v>45565</v>
      </c>
      <c r="J2035" s="4" t="s">
        <v>23</v>
      </c>
      <c r="K2035" s="4" t="s">
        <v>8</v>
      </c>
      <c r="L2035" s="3">
        <v>671.7</v>
      </c>
      <c r="M2035" s="4" t="s">
        <v>1255</v>
      </c>
      <c r="N2035" s="3">
        <v>-5553.9093999999996</v>
      </c>
    </row>
    <row r="2036" spans="1:14" x14ac:dyDescent="0.35">
      <c r="A2036">
        <v>3011</v>
      </c>
      <c r="B2036" s="4" t="s">
        <v>881</v>
      </c>
      <c r="C2036" s="4" t="s">
        <v>574</v>
      </c>
      <c r="D2036" s="4" t="s">
        <v>14</v>
      </c>
      <c r="E2036">
        <v>0</v>
      </c>
      <c r="F2036" s="3">
        <v>4016.78</v>
      </c>
      <c r="G2036" s="2">
        <v>1.03</v>
      </c>
      <c r="H2036" s="3">
        <v>0</v>
      </c>
      <c r="I2036" s="1">
        <v>45780</v>
      </c>
      <c r="J2036" s="4" t="s">
        <v>7</v>
      </c>
      <c r="K2036" s="4" t="s">
        <v>12</v>
      </c>
      <c r="L2036" s="3">
        <v>729.73</v>
      </c>
      <c r="M2036" s="4" t="s">
        <v>1255</v>
      </c>
      <c r="N2036" s="3">
        <v>0</v>
      </c>
    </row>
    <row r="2037" spans="1:14" x14ac:dyDescent="0.35">
      <c r="A2037">
        <v>3012</v>
      </c>
      <c r="B2037" s="4" t="s">
        <v>226</v>
      </c>
      <c r="C2037" s="4" t="s">
        <v>599</v>
      </c>
      <c r="D2037" s="4" t="s">
        <v>35</v>
      </c>
      <c r="E2037">
        <v>0</v>
      </c>
      <c r="F2037" s="3">
        <v>673.96</v>
      </c>
      <c r="G2037" s="2">
        <v>0.62575949367088601</v>
      </c>
      <c r="H2037" s="3">
        <v>0</v>
      </c>
      <c r="I2037" s="1">
        <v>45780</v>
      </c>
      <c r="J2037" s="4" t="s">
        <v>18</v>
      </c>
      <c r="K2037" s="4" t="s">
        <v>12</v>
      </c>
      <c r="L2037" s="3">
        <v>799.35</v>
      </c>
      <c r="M2037" s="4" t="s">
        <v>1255</v>
      </c>
      <c r="N2037" s="3">
        <v>0</v>
      </c>
    </row>
    <row r="2038" spans="1:14" hidden="1" x14ac:dyDescent="0.35">
      <c r="A2038">
        <v>3013</v>
      </c>
      <c r="B2038" s="4" t="s">
        <v>212</v>
      </c>
      <c r="C2038" s="4" t="s">
        <v>680</v>
      </c>
      <c r="D2038" s="4" t="s">
        <v>28</v>
      </c>
      <c r="E2038">
        <v>0</v>
      </c>
      <c r="F2038" s="3">
        <v>2771.8314999999998</v>
      </c>
      <c r="G2038" s="2">
        <v>0.66</v>
      </c>
      <c r="H2038" s="3">
        <v>0</v>
      </c>
      <c r="I2038" s="1">
        <v>45689</v>
      </c>
      <c r="J2038" s="4" t="s">
        <v>18</v>
      </c>
      <c r="K2038" s="4" t="s">
        <v>40</v>
      </c>
      <c r="L2038" s="3">
        <v>-572.35</v>
      </c>
      <c r="M2038" s="4" t="s">
        <v>1255</v>
      </c>
      <c r="N2038" s="3">
        <v>0</v>
      </c>
    </row>
    <row r="2039" spans="1:14" x14ac:dyDescent="0.35">
      <c r="A2039">
        <v>3014</v>
      </c>
      <c r="B2039" s="4" t="s">
        <v>468</v>
      </c>
      <c r="C2039" s="4" t="s">
        <v>82</v>
      </c>
      <c r="D2039" s="4" t="s">
        <v>28</v>
      </c>
      <c r="E2039">
        <v>2</v>
      </c>
      <c r="F2039" s="3">
        <v>2780.5363000000002</v>
      </c>
      <c r="G2039" s="2">
        <v>0.62554140127388502</v>
      </c>
      <c r="H2039" s="3">
        <v>0</v>
      </c>
      <c r="I2039" s="1">
        <v>45840</v>
      </c>
      <c r="J2039" s="4" t="s">
        <v>7</v>
      </c>
      <c r="K2039" s="4" t="s">
        <v>12</v>
      </c>
      <c r="L2039" s="3">
        <v>1056.99</v>
      </c>
      <c r="M2039" s="4" t="s">
        <v>1255</v>
      </c>
      <c r="N2039" s="3">
        <v>5561.0726000000004</v>
      </c>
    </row>
    <row r="2040" spans="1:14" x14ac:dyDescent="0.35">
      <c r="A2040">
        <v>3015</v>
      </c>
      <c r="B2040" s="4" t="s">
        <v>279</v>
      </c>
      <c r="C2040" s="4" t="s">
        <v>270</v>
      </c>
      <c r="D2040" s="4" t="s">
        <v>32</v>
      </c>
      <c r="E2040">
        <v>0</v>
      </c>
      <c r="F2040" s="3">
        <v>3211</v>
      </c>
      <c r="G2040" s="2">
        <v>0.56000000000000005</v>
      </c>
      <c r="H2040" s="3">
        <v>0</v>
      </c>
      <c r="I2040" s="1">
        <v>45601</v>
      </c>
      <c r="J2040" s="4" t="s">
        <v>7</v>
      </c>
      <c r="K2040" s="4" t="s">
        <v>8</v>
      </c>
      <c r="L2040" s="3">
        <v>-659.55</v>
      </c>
      <c r="M2040" s="4" t="s">
        <v>1255</v>
      </c>
      <c r="N2040" s="3">
        <v>0</v>
      </c>
    </row>
    <row r="2041" spans="1:14" x14ac:dyDescent="0.35">
      <c r="A2041">
        <v>3016</v>
      </c>
      <c r="B2041" s="4" t="s">
        <v>139</v>
      </c>
      <c r="C2041" s="4" t="s">
        <v>635</v>
      </c>
      <c r="D2041" s="4" t="s">
        <v>14</v>
      </c>
      <c r="E2041">
        <v>5</v>
      </c>
      <c r="F2041" s="3">
        <v>2780.5363000000002</v>
      </c>
      <c r="G2041" s="2">
        <v>0.62596153846153801</v>
      </c>
      <c r="H2041" s="3">
        <v>0</v>
      </c>
      <c r="I2041" s="1">
        <v>45642</v>
      </c>
      <c r="J2041" s="4" t="s">
        <v>23</v>
      </c>
      <c r="K2041" s="4" t="s">
        <v>8</v>
      </c>
      <c r="L2041" s="3">
        <v>426.15</v>
      </c>
      <c r="M2041" s="4" t="s">
        <v>1255</v>
      </c>
      <c r="N2041" s="3">
        <v>13902.681500000001</v>
      </c>
    </row>
    <row r="2042" spans="1:14" x14ac:dyDescent="0.35">
      <c r="A2042">
        <v>3017</v>
      </c>
      <c r="B2042" s="4" t="s">
        <v>219</v>
      </c>
      <c r="C2042" s="4" t="s">
        <v>404</v>
      </c>
      <c r="D2042" s="4" t="s">
        <v>29</v>
      </c>
      <c r="E2042">
        <v>0</v>
      </c>
      <c r="F2042" s="3">
        <v>2778.7426999999998</v>
      </c>
      <c r="G2042" s="2">
        <v>0.62596153846153801</v>
      </c>
      <c r="H2042" s="3">
        <v>0</v>
      </c>
      <c r="I2042" s="1">
        <v>45641</v>
      </c>
      <c r="J2042" s="4" t="s">
        <v>9</v>
      </c>
      <c r="K2042" s="4" t="s">
        <v>8</v>
      </c>
      <c r="L2042" s="3">
        <v>1237.1300000000001</v>
      </c>
      <c r="M2042" s="4" t="s">
        <v>1255</v>
      </c>
      <c r="N2042" s="3">
        <v>0</v>
      </c>
    </row>
    <row r="2043" spans="1:14" hidden="1" x14ac:dyDescent="0.35">
      <c r="A2043">
        <v>3018</v>
      </c>
      <c r="B2043" s="4" t="s">
        <v>164</v>
      </c>
      <c r="C2043" s="4" t="s">
        <v>940</v>
      </c>
      <c r="D2043" s="4" t="s">
        <v>6</v>
      </c>
      <c r="E2043">
        <v>0</v>
      </c>
      <c r="F2043" s="3">
        <v>4744.8599999999997</v>
      </c>
      <c r="G2043" s="2">
        <v>0.62596153846153801</v>
      </c>
      <c r="H2043" s="3">
        <v>0</v>
      </c>
      <c r="I2043" s="1">
        <v>45623</v>
      </c>
      <c r="J2043" s="4" t="s">
        <v>23</v>
      </c>
      <c r="K2043" s="4" t="s">
        <v>40</v>
      </c>
      <c r="L2043" s="3">
        <v>2963.16</v>
      </c>
      <c r="M2043" s="4" t="s">
        <v>1255</v>
      </c>
      <c r="N2043" s="3">
        <v>0</v>
      </c>
    </row>
    <row r="2044" spans="1:14" x14ac:dyDescent="0.35">
      <c r="A2044">
        <v>3019</v>
      </c>
      <c r="B2044" s="4" t="s">
        <v>434</v>
      </c>
      <c r="C2044" s="4" t="s">
        <v>205</v>
      </c>
      <c r="D2044" s="4" t="s">
        <v>6</v>
      </c>
      <c r="E2044">
        <v>0</v>
      </c>
      <c r="F2044" s="3">
        <v>2705.09</v>
      </c>
      <c r="G2044" s="2">
        <v>0.62596153846153801</v>
      </c>
      <c r="H2044" s="3">
        <v>0</v>
      </c>
      <c r="I2044" s="1">
        <v>45570</v>
      </c>
      <c r="J2044" s="4" t="s">
        <v>23</v>
      </c>
      <c r="K2044" s="4" t="s">
        <v>8</v>
      </c>
      <c r="L2044" s="3">
        <v>-546.72</v>
      </c>
      <c r="M2044" s="4" t="s">
        <v>1255</v>
      </c>
      <c r="N2044" s="3">
        <v>0</v>
      </c>
    </row>
    <row r="2045" spans="1:14" x14ac:dyDescent="0.35">
      <c r="A2045">
        <v>3020</v>
      </c>
      <c r="B2045" s="4" t="s">
        <v>130</v>
      </c>
      <c r="C2045" s="4" t="s">
        <v>1078</v>
      </c>
      <c r="D2045" s="4" t="s">
        <v>29</v>
      </c>
      <c r="E2045">
        <v>0</v>
      </c>
      <c r="F2045" s="3">
        <v>2770.5162999999998</v>
      </c>
      <c r="G2045" s="2">
        <v>0.62596153846153801</v>
      </c>
      <c r="H2045" s="3">
        <v>0</v>
      </c>
      <c r="I2045" s="1">
        <v>45525</v>
      </c>
      <c r="J2045" s="4" t="s">
        <v>18</v>
      </c>
      <c r="K2045" s="4" t="s">
        <v>12</v>
      </c>
      <c r="L2045" s="3">
        <v>134.93</v>
      </c>
      <c r="M2045" s="4" t="s">
        <v>1255</v>
      </c>
      <c r="N2045" s="3">
        <v>0</v>
      </c>
    </row>
    <row r="2046" spans="1:14" x14ac:dyDescent="0.35">
      <c r="A2046">
        <v>3021</v>
      </c>
      <c r="B2046" s="4" t="s">
        <v>264</v>
      </c>
      <c r="C2046" s="4" t="s">
        <v>1171</v>
      </c>
      <c r="D2046" s="4" t="s">
        <v>27</v>
      </c>
      <c r="E2046">
        <v>3</v>
      </c>
      <c r="F2046" s="3">
        <v>2770.7912000000001</v>
      </c>
      <c r="G2046" s="2">
        <v>0.62596153846153801</v>
      </c>
      <c r="H2046" s="3">
        <v>0</v>
      </c>
      <c r="I2046" s="1">
        <v>45692</v>
      </c>
      <c r="J2046" s="4" t="s">
        <v>11</v>
      </c>
      <c r="K2046" s="4" t="s">
        <v>12</v>
      </c>
      <c r="L2046" s="3">
        <v>-571.78</v>
      </c>
      <c r="M2046" s="4" t="s">
        <v>1255</v>
      </c>
      <c r="N2046" s="3">
        <v>8312.3736000000008</v>
      </c>
    </row>
    <row r="2047" spans="1:14" x14ac:dyDescent="0.35">
      <c r="A2047">
        <v>3022</v>
      </c>
      <c r="B2047" s="4" t="s">
        <v>262</v>
      </c>
      <c r="C2047" s="4" t="s">
        <v>1172</v>
      </c>
      <c r="D2047" s="4" t="s">
        <v>14</v>
      </c>
      <c r="E2047">
        <v>3</v>
      </c>
      <c r="F2047" s="3">
        <v>1695.61</v>
      </c>
      <c r="G2047" s="2">
        <v>0.62596153846153801</v>
      </c>
      <c r="H2047" s="3">
        <v>0</v>
      </c>
      <c r="I2047" s="1">
        <v>45512</v>
      </c>
      <c r="J2047" s="4" t="s">
        <v>7</v>
      </c>
      <c r="K2047" s="4" t="s">
        <v>8</v>
      </c>
      <c r="L2047" s="3">
        <v>297.83</v>
      </c>
      <c r="M2047" s="4" t="s">
        <v>1255</v>
      </c>
      <c r="N2047" s="3">
        <v>5086.83</v>
      </c>
    </row>
    <row r="2048" spans="1:14" x14ac:dyDescent="0.35">
      <c r="A2048">
        <v>3023</v>
      </c>
      <c r="B2048" s="4" t="s">
        <v>123</v>
      </c>
      <c r="C2048" s="4" t="s">
        <v>46</v>
      </c>
      <c r="D2048" s="4" t="s">
        <v>37</v>
      </c>
      <c r="E2048">
        <v>0</v>
      </c>
      <c r="F2048" s="3">
        <v>2770.7912000000001</v>
      </c>
      <c r="G2048" s="2">
        <v>0.62596153846153801</v>
      </c>
      <c r="H2048" s="3">
        <v>0</v>
      </c>
      <c r="I2048" s="1">
        <v>45166</v>
      </c>
      <c r="J2048" s="4" t="s">
        <v>7</v>
      </c>
      <c r="K2048" s="4" t="s">
        <v>8</v>
      </c>
      <c r="L2048" s="3">
        <v>2001.88</v>
      </c>
      <c r="M2048" s="4" t="s">
        <v>1255</v>
      </c>
      <c r="N2048" s="3">
        <v>0</v>
      </c>
    </row>
    <row r="2049" spans="1:14" hidden="1" x14ac:dyDescent="0.35">
      <c r="A2049">
        <v>3024</v>
      </c>
      <c r="B2049" s="4" t="s">
        <v>355</v>
      </c>
      <c r="C2049" s="4" t="s">
        <v>924</v>
      </c>
      <c r="D2049" s="4" t="s">
        <v>26</v>
      </c>
      <c r="E2049">
        <v>0</v>
      </c>
      <c r="F2049" s="3">
        <v>2775.3278</v>
      </c>
      <c r="G2049" s="2">
        <v>0.18</v>
      </c>
      <c r="H2049" s="3">
        <v>0</v>
      </c>
      <c r="I2049" s="1">
        <v>45166</v>
      </c>
      <c r="J2049" s="4" t="s">
        <v>11</v>
      </c>
      <c r="K2049" s="4" t="s">
        <v>40</v>
      </c>
      <c r="L2049" s="3">
        <v>1505.68</v>
      </c>
      <c r="M2049" s="4" t="s">
        <v>1255</v>
      </c>
      <c r="N2049" s="3">
        <v>0</v>
      </c>
    </row>
    <row r="2050" spans="1:14" x14ac:dyDescent="0.35">
      <c r="A2050">
        <v>3025</v>
      </c>
      <c r="B2050" s="4" t="s">
        <v>262</v>
      </c>
      <c r="C2050" s="4" t="s">
        <v>266</v>
      </c>
      <c r="D2050" s="4" t="s">
        <v>14</v>
      </c>
      <c r="E2050">
        <v>2</v>
      </c>
      <c r="F2050" s="3">
        <v>2775.3278</v>
      </c>
      <c r="G2050" s="2">
        <v>0.62883870967741895</v>
      </c>
      <c r="H2050" s="3">
        <v>0</v>
      </c>
      <c r="I2050" s="1">
        <v>45284</v>
      </c>
      <c r="J2050" s="4" t="s">
        <v>18</v>
      </c>
      <c r="K2050" s="4" t="s">
        <v>8</v>
      </c>
      <c r="L2050" s="3">
        <v>2275.0700000000002</v>
      </c>
      <c r="M2050" s="4" t="s">
        <v>1255</v>
      </c>
      <c r="N2050" s="3">
        <v>5550.6556</v>
      </c>
    </row>
    <row r="2051" spans="1:14" x14ac:dyDescent="0.35">
      <c r="A2051">
        <v>3026</v>
      </c>
      <c r="B2051" s="4" t="s">
        <v>555</v>
      </c>
      <c r="C2051" s="4" t="s">
        <v>474</v>
      </c>
      <c r="D2051" s="4" t="s">
        <v>21</v>
      </c>
      <c r="E2051">
        <v>0</v>
      </c>
      <c r="F2051" s="3">
        <v>3345.45</v>
      </c>
      <c r="G2051" s="2">
        <v>0.62883870967741895</v>
      </c>
      <c r="H2051" s="3">
        <v>0</v>
      </c>
      <c r="I2051" s="1">
        <v>45512</v>
      </c>
      <c r="J2051" s="4" t="s">
        <v>23</v>
      </c>
      <c r="K2051" s="4" t="s">
        <v>8</v>
      </c>
      <c r="L2051" s="3">
        <v>2896.95</v>
      </c>
      <c r="M2051" s="4" t="s">
        <v>1255</v>
      </c>
      <c r="N2051" s="3">
        <v>0</v>
      </c>
    </row>
    <row r="2052" spans="1:14" x14ac:dyDescent="0.35">
      <c r="A2052">
        <v>3027</v>
      </c>
      <c r="B2052" s="4" t="s">
        <v>167</v>
      </c>
      <c r="C2052" s="4" t="s">
        <v>253</v>
      </c>
      <c r="D2052" s="4" t="s">
        <v>33</v>
      </c>
      <c r="E2052">
        <v>0</v>
      </c>
      <c r="F2052" s="3">
        <v>2775.3278</v>
      </c>
      <c r="G2052" s="2">
        <v>0.62883870967741895</v>
      </c>
      <c r="H2052" s="3">
        <v>0</v>
      </c>
      <c r="I2052" s="1">
        <v>45595</v>
      </c>
      <c r="J2052" s="4" t="s">
        <v>11</v>
      </c>
      <c r="K2052" s="4" t="s">
        <v>12</v>
      </c>
      <c r="L2052" s="3">
        <v>1256.47</v>
      </c>
      <c r="M2052" s="4" t="s">
        <v>1255</v>
      </c>
      <c r="N2052" s="3">
        <v>0</v>
      </c>
    </row>
    <row r="2053" spans="1:14" hidden="1" x14ac:dyDescent="0.35">
      <c r="A2053">
        <v>3028</v>
      </c>
      <c r="B2053" s="4" t="s">
        <v>330</v>
      </c>
      <c r="C2053" s="4" t="s">
        <v>309</v>
      </c>
      <c r="D2053" s="4" t="s">
        <v>38</v>
      </c>
      <c r="E2053">
        <v>0</v>
      </c>
      <c r="F2053" s="3">
        <v>2772.9121</v>
      </c>
      <c r="G2053" s="2">
        <v>0.74</v>
      </c>
      <c r="H2053" s="3">
        <v>0</v>
      </c>
      <c r="I2053" s="1">
        <v>45664</v>
      </c>
      <c r="J2053" s="4" t="s">
        <v>18</v>
      </c>
      <c r="K2053" s="4" t="s">
        <v>40</v>
      </c>
      <c r="L2053" s="3">
        <v>-436.73</v>
      </c>
      <c r="M2053" s="4" t="s">
        <v>1255</v>
      </c>
      <c r="N2053" s="3">
        <v>0</v>
      </c>
    </row>
    <row r="2054" spans="1:14" x14ac:dyDescent="0.35">
      <c r="A2054">
        <v>3030</v>
      </c>
      <c r="B2054" s="4" t="s">
        <v>89</v>
      </c>
      <c r="C2054" s="4" t="s">
        <v>447</v>
      </c>
      <c r="D2054" s="4" t="s">
        <v>33</v>
      </c>
      <c r="E2054">
        <v>0</v>
      </c>
      <c r="F2054" s="3">
        <v>4101.8900000000003</v>
      </c>
      <c r="G2054" s="2">
        <v>0.62627450980392196</v>
      </c>
      <c r="H2054" s="3">
        <v>0</v>
      </c>
      <c r="I2054" s="1">
        <v>45646</v>
      </c>
      <c r="J2054" s="4" t="s">
        <v>7</v>
      </c>
      <c r="K2054" s="4" t="s">
        <v>8</v>
      </c>
      <c r="L2054" s="3">
        <v>1196.03</v>
      </c>
      <c r="M2054" s="4" t="s">
        <v>1255</v>
      </c>
      <c r="N2054" s="3">
        <v>0</v>
      </c>
    </row>
    <row r="2055" spans="1:14" x14ac:dyDescent="0.35">
      <c r="A2055">
        <v>3031</v>
      </c>
      <c r="B2055" s="4" t="s">
        <v>159</v>
      </c>
      <c r="C2055" s="4" t="s">
        <v>138</v>
      </c>
      <c r="D2055" s="4" t="s">
        <v>34</v>
      </c>
      <c r="E2055">
        <v>-1</v>
      </c>
      <c r="F2055" s="3">
        <v>2775.0636</v>
      </c>
      <c r="G2055" s="2">
        <v>0.62627450980392196</v>
      </c>
      <c r="H2055" s="3">
        <v>0</v>
      </c>
      <c r="I2055" s="1">
        <v>45501</v>
      </c>
      <c r="J2055" s="4" t="s">
        <v>23</v>
      </c>
      <c r="K2055" s="4" t="s">
        <v>8</v>
      </c>
      <c r="L2055" s="3">
        <v>-970.17</v>
      </c>
      <c r="M2055" s="4" t="s">
        <v>1255</v>
      </c>
      <c r="N2055" s="3">
        <v>-2775.0636</v>
      </c>
    </row>
    <row r="2056" spans="1:14" hidden="1" x14ac:dyDescent="0.35">
      <c r="A2056">
        <v>3032</v>
      </c>
      <c r="B2056" s="4" t="s">
        <v>1173</v>
      </c>
      <c r="C2056" s="4" t="s">
        <v>710</v>
      </c>
      <c r="D2056" s="4" t="s">
        <v>38</v>
      </c>
      <c r="E2056">
        <v>5</v>
      </c>
      <c r="F2056" s="3">
        <v>3654.9</v>
      </c>
      <c r="G2056" s="2">
        <v>0.62627450980392196</v>
      </c>
      <c r="H2056" s="3">
        <v>0</v>
      </c>
      <c r="I2056" s="1">
        <v>45501</v>
      </c>
      <c r="J2056" s="4" t="s">
        <v>9</v>
      </c>
      <c r="K2056" s="4" t="s">
        <v>40</v>
      </c>
      <c r="L2056" s="3">
        <v>1069.81</v>
      </c>
      <c r="M2056" s="4" t="s">
        <v>1255</v>
      </c>
      <c r="N2056" s="3">
        <v>18274.5</v>
      </c>
    </row>
    <row r="2057" spans="1:14" x14ac:dyDescent="0.35">
      <c r="A2057">
        <v>3033</v>
      </c>
      <c r="B2057" s="4" t="s">
        <v>1174</v>
      </c>
      <c r="C2057" s="4" t="s">
        <v>46</v>
      </c>
      <c r="D2057" s="4" t="s">
        <v>26</v>
      </c>
      <c r="E2057">
        <v>0</v>
      </c>
      <c r="F2057" s="3">
        <v>1787.52</v>
      </c>
      <c r="G2057" s="2">
        <v>0.62627450980392196</v>
      </c>
      <c r="H2057" s="3">
        <v>0</v>
      </c>
      <c r="I2057" s="1">
        <v>45702</v>
      </c>
      <c r="J2057" s="4" t="s">
        <v>23</v>
      </c>
      <c r="K2057" s="4" t="s">
        <v>12</v>
      </c>
      <c r="L2057" s="3">
        <v>2626.27</v>
      </c>
      <c r="M2057" s="4" t="s">
        <v>1255</v>
      </c>
      <c r="N2057" s="3">
        <v>0</v>
      </c>
    </row>
    <row r="2058" spans="1:14" x14ac:dyDescent="0.35">
      <c r="A2058">
        <v>3034</v>
      </c>
      <c r="B2058" s="4" t="s">
        <v>43</v>
      </c>
      <c r="C2058" s="4" t="s">
        <v>440</v>
      </c>
      <c r="D2058" s="4" t="s">
        <v>37</v>
      </c>
      <c r="E2058">
        <v>0</v>
      </c>
      <c r="F2058" s="3">
        <v>2765.5929999999998</v>
      </c>
      <c r="G2058" s="2">
        <v>0.62627450980392196</v>
      </c>
      <c r="H2058" s="3">
        <v>0</v>
      </c>
      <c r="I2058" s="1">
        <v>45702</v>
      </c>
      <c r="J2058" s="4" t="s">
        <v>9</v>
      </c>
      <c r="K2058" s="4" t="s">
        <v>12</v>
      </c>
      <c r="L2058" s="3">
        <v>2599.13</v>
      </c>
      <c r="M2058" s="4" t="s">
        <v>1255</v>
      </c>
      <c r="N2058" s="3">
        <v>0</v>
      </c>
    </row>
    <row r="2059" spans="1:14" x14ac:dyDescent="0.35">
      <c r="A2059">
        <v>3035</v>
      </c>
      <c r="B2059" s="4" t="s">
        <v>294</v>
      </c>
      <c r="C2059" s="4" t="s">
        <v>92</v>
      </c>
      <c r="D2059" s="4" t="s">
        <v>17</v>
      </c>
      <c r="E2059">
        <v>4</v>
      </c>
      <c r="F2059" s="3">
        <v>2769.8087999999998</v>
      </c>
      <c r="G2059" s="2">
        <v>1</v>
      </c>
      <c r="H2059" s="3">
        <v>0</v>
      </c>
      <c r="I2059" s="1">
        <v>45702</v>
      </c>
      <c r="J2059" s="4" t="s">
        <v>18</v>
      </c>
      <c r="K2059" s="4" t="s">
        <v>12</v>
      </c>
      <c r="L2059" s="3">
        <v>2640.01</v>
      </c>
      <c r="M2059" s="4" t="s">
        <v>1255</v>
      </c>
      <c r="N2059" s="3">
        <v>11079.235199999999</v>
      </c>
    </row>
    <row r="2060" spans="1:14" x14ac:dyDescent="0.35">
      <c r="A2060">
        <v>3036</v>
      </c>
      <c r="B2060" s="4" t="s">
        <v>1154</v>
      </c>
      <c r="C2060" s="4" t="s">
        <v>861</v>
      </c>
      <c r="D2060" s="4" t="s">
        <v>31</v>
      </c>
      <c r="E2060">
        <v>0</v>
      </c>
      <c r="F2060" s="3">
        <v>3997.83</v>
      </c>
      <c r="G2060" s="2">
        <v>0.62381578947368399</v>
      </c>
      <c r="H2060" s="3">
        <v>0</v>
      </c>
      <c r="I2060" s="1">
        <v>45784</v>
      </c>
      <c r="J2060" s="4" t="s">
        <v>7</v>
      </c>
      <c r="K2060" s="4" t="s">
        <v>12</v>
      </c>
      <c r="L2060" s="3">
        <v>1399.12</v>
      </c>
      <c r="M2060" s="4" t="s">
        <v>1255</v>
      </c>
      <c r="N2060" s="3">
        <v>0</v>
      </c>
    </row>
    <row r="2061" spans="1:14" x14ac:dyDescent="0.35">
      <c r="A2061">
        <v>3037</v>
      </c>
      <c r="B2061" s="4" t="s">
        <v>43</v>
      </c>
      <c r="C2061" s="4" t="s">
        <v>532</v>
      </c>
      <c r="D2061" s="4" t="s">
        <v>10</v>
      </c>
      <c r="E2061">
        <v>0</v>
      </c>
      <c r="F2061" s="3">
        <v>2769.8087999999998</v>
      </c>
      <c r="G2061" s="2">
        <v>0.85</v>
      </c>
      <c r="H2061" s="3">
        <v>0</v>
      </c>
      <c r="I2061" s="1">
        <v>45518</v>
      </c>
      <c r="J2061" s="4" t="s">
        <v>7</v>
      </c>
      <c r="K2061" s="4" t="s">
        <v>8</v>
      </c>
      <c r="L2061" s="3">
        <v>-298.81</v>
      </c>
      <c r="M2061" s="4" t="s">
        <v>1255</v>
      </c>
      <c r="N2061" s="3">
        <v>0</v>
      </c>
    </row>
    <row r="2062" spans="1:14" x14ac:dyDescent="0.35">
      <c r="A2062">
        <v>3038</v>
      </c>
      <c r="B2062" s="4" t="s">
        <v>487</v>
      </c>
      <c r="C2062" s="4" t="s">
        <v>656</v>
      </c>
      <c r="D2062" s="4" t="s">
        <v>27</v>
      </c>
      <c r="E2062">
        <v>0</v>
      </c>
      <c r="F2062" s="3">
        <v>1318.04</v>
      </c>
      <c r="G2062" s="2">
        <v>0.62231788079470196</v>
      </c>
      <c r="H2062" s="3">
        <v>0</v>
      </c>
      <c r="I2062" s="1">
        <v>45696</v>
      </c>
      <c r="J2062" s="4" t="s">
        <v>9</v>
      </c>
      <c r="K2062" s="4" t="s">
        <v>8</v>
      </c>
      <c r="L2062" s="3">
        <v>-19.53</v>
      </c>
      <c r="M2062" s="4" t="s">
        <v>1255</v>
      </c>
      <c r="N2062" s="3">
        <v>0</v>
      </c>
    </row>
    <row r="2063" spans="1:14" hidden="1" x14ac:dyDescent="0.35">
      <c r="A2063">
        <v>3039</v>
      </c>
      <c r="B2063" s="4" t="s">
        <v>466</v>
      </c>
      <c r="C2063" s="4" t="s">
        <v>231</v>
      </c>
      <c r="D2063" s="4" t="s">
        <v>6</v>
      </c>
      <c r="E2063">
        <v>0</v>
      </c>
      <c r="F2063" s="3">
        <v>2764.4926999999998</v>
      </c>
      <c r="G2063" s="2">
        <v>0.62231788079470196</v>
      </c>
      <c r="H2063" s="3">
        <v>0</v>
      </c>
      <c r="I2063" s="1">
        <v>45696</v>
      </c>
      <c r="J2063" s="4" t="s">
        <v>20</v>
      </c>
      <c r="K2063" s="4" t="s">
        <v>40</v>
      </c>
      <c r="L2063" s="3">
        <v>748.79</v>
      </c>
      <c r="M2063" s="4" t="s">
        <v>1255</v>
      </c>
      <c r="N2063" s="3">
        <v>0</v>
      </c>
    </row>
    <row r="2064" spans="1:14" x14ac:dyDescent="0.35">
      <c r="A2064">
        <v>3040</v>
      </c>
      <c r="B2064" s="4" t="s">
        <v>60</v>
      </c>
      <c r="C2064" s="4" t="s">
        <v>1079</v>
      </c>
      <c r="D2064" s="4" t="s">
        <v>38</v>
      </c>
      <c r="E2064">
        <v>-2</v>
      </c>
      <c r="F2064" s="3">
        <v>2770.7815999999998</v>
      </c>
      <c r="G2064" s="2">
        <v>0.62231788079470196</v>
      </c>
      <c r="H2064" s="3">
        <v>0</v>
      </c>
      <c r="I2064" s="1">
        <v>45735</v>
      </c>
      <c r="J2064" s="4" t="s">
        <v>23</v>
      </c>
      <c r="K2064" s="4" t="s">
        <v>12</v>
      </c>
      <c r="L2064" s="3">
        <v>2991.73</v>
      </c>
      <c r="M2064" s="4" t="s">
        <v>1255</v>
      </c>
      <c r="N2064" s="3">
        <v>-5541.5631999999996</v>
      </c>
    </row>
    <row r="2065" spans="1:14" hidden="1" x14ac:dyDescent="0.35">
      <c r="A2065">
        <v>3041</v>
      </c>
      <c r="B2065" s="4" t="s">
        <v>652</v>
      </c>
      <c r="C2065" s="4" t="s">
        <v>531</v>
      </c>
      <c r="D2065" s="4" t="s">
        <v>27</v>
      </c>
      <c r="E2065">
        <v>0</v>
      </c>
      <c r="F2065" s="3">
        <v>2770.7815999999998</v>
      </c>
      <c r="G2065" s="2">
        <v>0.62231788079470196</v>
      </c>
      <c r="H2065" s="3">
        <v>0</v>
      </c>
      <c r="I2065" s="1">
        <v>45631</v>
      </c>
      <c r="J2065" s="4" t="s">
        <v>23</v>
      </c>
      <c r="K2065" s="4" t="s">
        <v>40</v>
      </c>
      <c r="L2065" s="3">
        <v>2179.9299999999998</v>
      </c>
      <c r="M2065" s="4" t="s">
        <v>1255</v>
      </c>
      <c r="N2065" s="3">
        <v>0</v>
      </c>
    </row>
    <row r="2066" spans="1:14" x14ac:dyDescent="0.35">
      <c r="A2066">
        <v>3042</v>
      </c>
      <c r="B2066" s="4" t="s">
        <v>313</v>
      </c>
      <c r="C2066" s="4" t="s">
        <v>794</v>
      </c>
      <c r="D2066" s="4" t="s">
        <v>34</v>
      </c>
      <c r="E2066">
        <v>3</v>
      </c>
      <c r="F2066" s="3">
        <v>848.45</v>
      </c>
      <c r="G2066" s="2">
        <v>0.62231788079470196</v>
      </c>
      <c r="H2066" s="3">
        <v>0</v>
      </c>
      <c r="I2066" s="1">
        <v>45631</v>
      </c>
      <c r="J2066" s="4" t="s">
        <v>18</v>
      </c>
      <c r="K2066" s="4" t="s">
        <v>8</v>
      </c>
      <c r="L2066" s="3">
        <v>1334.54</v>
      </c>
      <c r="M2066" s="4" t="s">
        <v>1255</v>
      </c>
      <c r="N2066" s="3">
        <v>2545.35</v>
      </c>
    </row>
    <row r="2067" spans="1:14" x14ac:dyDescent="0.35">
      <c r="A2067">
        <v>3043</v>
      </c>
      <c r="B2067" s="4" t="s">
        <v>322</v>
      </c>
      <c r="C2067" s="4" t="s">
        <v>958</v>
      </c>
      <c r="D2067" s="4" t="s">
        <v>35</v>
      </c>
      <c r="E2067">
        <v>0</v>
      </c>
      <c r="F2067" s="3">
        <v>1137.77</v>
      </c>
      <c r="G2067" s="2">
        <v>0.62231788079470196</v>
      </c>
      <c r="H2067" s="3">
        <v>0</v>
      </c>
      <c r="I2067" s="1">
        <v>45264</v>
      </c>
      <c r="J2067" s="4" t="s">
        <v>7</v>
      </c>
      <c r="K2067" s="4" t="s">
        <v>8</v>
      </c>
      <c r="L2067" s="3">
        <v>-471.37</v>
      </c>
      <c r="M2067" s="4" t="s">
        <v>1255</v>
      </c>
      <c r="N2067" s="3">
        <v>0</v>
      </c>
    </row>
    <row r="2068" spans="1:14" x14ac:dyDescent="0.35">
      <c r="A2068">
        <v>3044</v>
      </c>
      <c r="B2068" s="4" t="s">
        <v>189</v>
      </c>
      <c r="C2068" s="4" t="s">
        <v>275</v>
      </c>
      <c r="D2068" s="4" t="s">
        <v>37</v>
      </c>
      <c r="E2068">
        <v>0</v>
      </c>
      <c r="F2068" s="3">
        <v>431.31</v>
      </c>
      <c r="G2068" s="2">
        <v>1.25</v>
      </c>
      <c r="H2068" s="3">
        <v>0</v>
      </c>
      <c r="I2068" s="1">
        <v>45811</v>
      </c>
      <c r="J2068" s="4" t="s">
        <v>11</v>
      </c>
      <c r="K2068" s="4" t="s">
        <v>8</v>
      </c>
      <c r="L2068" s="3">
        <v>2866.66</v>
      </c>
      <c r="M2068" s="4" t="s">
        <v>1255</v>
      </c>
      <c r="N2068" s="3">
        <v>0</v>
      </c>
    </row>
    <row r="2069" spans="1:14" x14ac:dyDescent="0.35">
      <c r="A2069">
        <v>3045</v>
      </c>
      <c r="B2069" s="4" t="s">
        <v>379</v>
      </c>
      <c r="C2069" s="4" t="s">
        <v>253</v>
      </c>
      <c r="D2069" s="4" t="s">
        <v>17</v>
      </c>
      <c r="E2069">
        <v>0</v>
      </c>
      <c r="F2069" s="3">
        <v>3180.69</v>
      </c>
      <c r="G2069" s="2">
        <v>0.61813333333333398</v>
      </c>
      <c r="H2069" s="3">
        <v>0</v>
      </c>
      <c r="I2069" s="1">
        <v>45151</v>
      </c>
      <c r="J2069" s="4" t="s">
        <v>23</v>
      </c>
      <c r="K2069" s="4" t="s">
        <v>12</v>
      </c>
      <c r="L2069" s="3">
        <v>2237.56</v>
      </c>
      <c r="M2069" s="4" t="s">
        <v>1255</v>
      </c>
      <c r="N2069" s="3">
        <v>0</v>
      </c>
    </row>
    <row r="2070" spans="1:14" x14ac:dyDescent="0.35">
      <c r="A2070">
        <v>3046</v>
      </c>
      <c r="B2070" s="4" t="s">
        <v>89</v>
      </c>
      <c r="C2070" s="4" t="s">
        <v>1175</v>
      </c>
      <c r="D2070" s="4" t="s">
        <v>21</v>
      </c>
      <c r="E2070">
        <v>0</v>
      </c>
      <c r="F2070" s="3">
        <v>2796.75</v>
      </c>
      <c r="G2070" s="2">
        <v>0.61813333333333398</v>
      </c>
      <c r="H2070" s="3">
        <v>0</v>
      </c>
      <c r="I2070" s="1">
        <v>45151</v>
      </c>
      <c r="J2070" s="4" t="s">
        <v>23</v>
      </c>
      <c r="K2070" s="4" t="s">
        <v>12</v>
      </c>
      <c r="L2070" s="3">
        <v>372.98</v>
      </c>
      <c r="M2070" s="4" t="s">
        <v>1255</v>
      </c>
      <c r="N2070" s="3">
        <v>0</v>
      </c>
    </row>
    <row r="2071" spans="1:14" x14ac:dyDescent="0.35">
      <c r="A2071">
        <v>3048</v>
      </c>
      <c r="B2071" s="4" t="s">
        <v>697</v>
      </c>
      <c r="C2071" s="4" t="s">
        <v>201</v>
      </c>
      <c r="D2071" s="4" t="s">
        <v>10</v>
      </c>
      <c r="E2071">
        <v>0</v>
      </c>
      <c r="F2071" s="3">
        <v>1136.4100000000001</v>
      </c>
      <c r="G2071" s="2">
        <v>0.61813333333333398</v>
      </c>
      <c r="H2071" s="3">
        <v>0</v>
      </c>
      <c r="I2071" s="1">
        <v>45699</v>
      </c>
      <c r="J2071" s="4" t="s">
        <v>9</v>
      </c>
      <c r="K2071" s="4" t="s">
        <v>12</v>
      </c>
      <c r="L2071" s="3">
        <v>2504.79</v>
      </c>
      <c r="M2071" s="4" t="s">
        <v>1255</v>
      </c>
      <c r="N2071" s="3">
        <v>0</v>
      </c>
    </row>
    <row r="2072" spans="1:14" hidden="1" x14ac:dyDescent="0.35">
      <c r="A2072">
        <v>3049</v>
      </c>
      <c r="B2072" s="4" t="s">
        <v>71</v>
      </c>
      <c r="C2072" s="4" t="s">
        <v>55</v>
      </c>
      <c r="D2072" s="4" t="s">
        <v>25</v>
      </c>
      <c r="E2072">
        <v>-2</v>
      </c>
      <c r="F2072" s="3">
        <v>2795.0511000000001</v>
      </c>
      <c r="G2072" s="2">
        <v>0.61813333333333398</v>
      </c>
      <c r="H2072" s="3">
        <v>0</v>
      </c>
      <c r="I2072" s="1">
        <v>45794</v>
      </c>
      <c r="J2072" s="4" t="s">
        <v>11</v>
      </c>
      <c r="K2072" s="4" t="s">
        <v>40</v>
      </c>
      <c r="L2072" s="3">
        <v>2001.07</v>
      </c>
      <c r="M2072" s="4" t="s">
        <v>1255</v>
      </c>
      <c r="N2072" s="3">
        <v>-5590.1022000000003</v>
      </c>
    </row>
    <row r="2073" spans="1:14" x14ac:dyDescent="0.35">
      <c r="A2073">
        <v>3050</v>
      </c>
      <c r="B2073" s="4" t="s">
        <v>335</v>
      </c>
      <c r="C2073" s="4" t="s">
        <v>78</v>
      </c>
      <c r="D2073" s="4" t="s">
        <v>32</v>
      </c>
      <c r="E2073">
        <v>0</v>
      </c>
      <c r="F2073" s="3">
        <v>3177.78</v>
      </c>
      <c r="G2073" s="2">
        <v>0.61813333333333398</v>
      </c>
      <c r="H2073" s="3">
        <v>0</v>
      </c>
      <c r="I2073" s="1">
        <v>45593</v>
      </c>
      <c r="J2073" s="4" t="s">
        <v>9</v>
      </c>
      <c r="K2073" s="4" t="s">
        <v>8</v>
      </c>
      <c r="L2073" s="3">
        <v>407.14</v>
      </c>
      <c r="M2073" s="4" t="s">
        <v>1255</v>
      </c>
      <c r="N2073" s="3">
        <v>0</v>
      </c>
    </row>
    <row r="2074" spans="1:14" x14ac:dyDescent="0.35">
      <c r="A2074">
        <v>3051</v>
      </c>
      <c r="B2074" s="4" t="s">
        <v>563</v>
      </c>
      <c r="C2074" s="4" t="s">
        <v>1155</v>
      </c>
      <c r="D2074" s="4" t="s">
        <v>13</v>
      </c>
      <c r="E2074">
        <v>0</v>
      </c>
      <c r="F2074" s="3">
        <v>2802.4227999999998</v>
      </c>
      <c r="G2074" s="2">
        <v>0.61813333333333398</v>
      </c>
      <c r="H2074" s="3">
        <v>0</v>
      </c>
      <c r="I2074" s="1">
        <v>45593</v>
      </c>
      <c r="J2074" s="4" t="s">
        <v>18</v>
      </c>
      <c r="K2074" s="4" t="s">
        <v>12</v>
      </c>
      <c r="L2074" s="3">
        <v>1877.82</v>
      </c>
      <c r="M2074" s="4" t="s">
        <v>1255</v>
      </c>
      <c r="N2074" s="3">
        <v>0</v>
      </c>
    </row>
    <row r="2075" spans="1:14" x14ac:dyDescent="0.35">
      <c r="A2075">
        <v>3052</v>
      </c>
      <c r="B2075" s="4" t="s">
        <v>239</v>
      </c>
      <c r="C2075" s="4" t="s">
        <v>242</v>
      </c>
      <c r="D2075" s="4" t="s">
        <v>14</v>
      </c>
      <c r="E2075">
        <v>-1</v>
      </c>
      <c r="F2075" s="3">
        <v>1290.42</v>
      </c>
      <c r="G2075" s="2">
        <v>0.61813333333333398</v>
      </c>
      <c r="H2075" s="3">
        <v>0</v>
      </c>
      <c r="I2075" s="1">
        <v>45403</v>
      </c>
      <c r="J2075" s="4" t="s">
        <v>9</v>
      </c>
      <c r="K2075" s="4" t="s">
        <v>12</v>
      </c>
      <c r="L2075" s="3">
        <v>-196.63</v>
      </c>
      <c r="M2075" s="4" t="s">
        <v>1255</v>
      </c>
      <c r="N2075" s="3">
        <v>-1290.42</v>
      </c>
    </row>
    <row r="2076" spans="1:14" x14ac:dyDescent="0.35">
      <c r="A2076">
        <v>3053</v>
      </c>
      <c r="B2076" s="4" t="s">
        <v>359</v>
      </c>
      <c r="C2076" s="4" t="s">
        <v>1176</v>
      </c>
      <c r="D2076" s="4" t="s">
        <v>22</v>
      </c>
      <c r="E2076">
        <v>5</v>
      </c>
      <c r="F2076" s="3">
        <v>2800.7471</v>
      </c>
      <c r="G2076" s="2">
        <v>0.61813333333333398</v>
      </c>
      <c r="H2076" s="3">
        <v>0</v>
      </c>
      <c r="I2076" s="1">
        <v>45403</v>
      </c>
      <c r="J2076" s="4" t="s">
        <v>9</v>
      </c>
      <c r="K2076" s="4" t="s">
        <v>8</v>
      </c>
      <c r="L2076" s="3">
        <v>612.53</v>
      </c>
      <c r="M2076" s="4" t="s">
        <v>1255</v>
      </c>
      <c r="N2076" s="3">
        <v>14003.735500000001</v>
      </c>
    </row>
    <row r="2077" spans="1:14" x14ac:dyDescent="0.35">
      <c r="A2077">
        <v>3054</v>
      </c>
      <c r="B2077" s="4" t="s">
        <v>477</v>
      </c>
      <c r="C2077" s="4" t="s">
        <v>121</v>
      </c>
      <c r="D2077" s="4" t="s">
        <v>25</v>
      </c>
      <c r="E2077">
        <v>5</v>
      </c>
      <c r="F2077" s="3">
        <v>1722.34</v>
      </c>
      <c r="G2077" s="2">
        <v>1.04</v>
      </c>
      <c r="H2077" s="3">
        <v>-344.47</v>
      </c>
      <c r="I2077" s="1">
        <v>45505</v>
      </c>
      <c r="J2077" s="4" t="s">
        <v>7</v>
      </c>
      <c r="K2077" s="4" t="s">
        <v>12</v>
      </c>
      <c r="L2077" s="3">
        <v>2459.2800000000002</v>
      </c>
      <c r="M2077" s="4" t="s">
        <v>1255</v>
      </c>
      <c r="N2077" s="3">
        <v>8611.7000000000007</v>
      </c>
    </row>
    <row r="2078" spans="1:14" x14ac:dyDescent="0.35">
      <c r="A2078">
        <v>3055</v>
      </c>
      <c r="B2078" s="4" t="s">
        <v>230</v>
      </c>
      <c r="C2078" s="4" t="s">
        <v>1177</v>
      </c>
      <c r="D2078" s="4" t="s">
        <v>17</v>
      </c>
      <c r="E2078">
        <v>1</v>
      </c>
      <c r="F2078" s="3">
        <v>2807.5198999999998</v>
      </c>
      <c r="G2078" s="2">
        <v>0.61530201342281898</v>
      </c>
      <c r="H2078" s="3">
        <v>0</v>
      </c>
      <c r="I2078" s="1">
        <v>45821</v>
      </c>
      <c r="J2078" s="4" t="s">
        <v>11</v>
      </c>
      <c r="K2078" s="4" t="s">
        <v>8</v>
      </c>
      <c r="L2078" s="3">
        <v>2024.8</v>
      </c>
      <c r="M2078" s="4" t="s">
        <v>1255</v>
      </c>
      <c r="N2078" s="3">
        <v>2807.5198999999998</v>
      </c>
    </row>
    <row r="2079" spans="1:14" hidden="1" x14ac:dyDescent="0.35">
      <c r="A2079">
        <v>3056</v>
      </c>
      <c r="B2079" s="4" t="s">
        <v>729</v>
      </c>
      <c r="C2079" s="4" t="s">
        <v>48</v>
      </c>
      <c r="D2079" s="4" t="s">
        <v>22</v>
      </c>
      <c r="E2079">
        <v>4</v>
      </c>
      <c r="F2079" s="3">
        <v>2812.4081000000001</v>
      </c>
      <c r="G2079" s="2">
        <v>0.61530201342281898</v>
      </c>
      <c r="H2079" s="3">
        <v>0</v>
      </c>
      <c r="I2079" s="1">
        <v>45632</v>
      </c>
      <c r="J2079" s="4" t="s">
        <v>11</v>
      </c>
      <c r="K2079" s="4" t="s">
        <v>40</v>
      </c>
      <c r="L2079" s="3">
        <v>2126.75</v>
      </c>
      <c r="M2079" s="4" t="s">
        <v>1255</v>
      </c>
      <c r="N2079" s="3">
        <v>11249.6324</v>
      </c>
    </row>
    <row r="2080" spans="1:14" hidden="1" x14ac:dyDescent="0.35">
      <c r="A2080">
        <v>3057</v>
      </c>
      <c r="B2080" s="4" t="s">
        <v>274</v>
      </c>
      <c r="C2080" s="4" t="s">
        <v>1114</v>
      </c>
      <c r="D2080" s="4" t="s">
        <v>27</v>
      </c>
      <c r="E2080">
        <v>0</v>
      </c>
      <c r="F2080" s="3">
        <v>2812.4081000000001</v>
      </c>
      <c r="G2080" s="2">
        <v>1.05</v>
      </c>
      <c r="H2080" s="3">
        <v>0</v>
      </c>
      <c r="I2080" s="1">
        <v>45839</v>
      </c>
      <c r="J2080" s="4" t="s">
        <v>9</v>
      </c>
      <c r="K2080" s="4" t="s">
        <v>40</v>
      </c>
      <c r="L2080" s="3">
        <v>2241.83</v>
      </c>
      <c r="M2080" s="4" t="s">
        <v>1255</v>
      </c>
      <c r="N2080" s="3">
        <v>0</v>
      </c>
    </row>
    <row r="2081" spans="1:14" x14ac:dyDescent="0.35">
      <c r="A2081">
        <v>3058</v>
      </c>
      <c r="B2081" s="4" t="s">
        <v>212</v>
      </c>
      <c r="C2081" s="4" t="s">
        <v>1108</v>
      </c>
      <c r="D2081" s="4" t="s">
        <v>28</v>
      </c>
      <c r="E2081">
        <v>0</v>
      </c>
      <c r="F2081" s="3">
        <v>2948.36</v>
      </c>
      <c r="G2081" s="2">
        <v>0.61236486486486497</v>
      </c>
      <c r="H2081" s="3">
        <v>0</v>
      </c>
      <c r="I2081" s="1">
        <v>45839</v>
      </c>
      <c r="J2081" s="4" t="s">
        <v>20</v>
      </c>
      <c r="K2081" s="4" t="s">
        <v>12</v>
      </c>
      <c r="L2081" s="3">
        <v>1074.3499999999999</v>
      </c>
      <c r="M2081" s="4" t="s">
        <v>1255</v>
      </c>
      <c r="N2081" s="3">
        <v>0</v>
      </c>
    </row>
    <row r="2082" spans="1:14" x14ac:dyDescent="0.35">
      <c r="A2082">
        <v>3059</v>
      </c>
      <c r="B2082" s="4" t="s">
        <v>320</v>
      </c>
      <c r="C2082" s="4" t="s">
        <v>1178</v>
      </c>
      <c r="D2082" s="4" t="s">
        <v>15</v>
      </c>
      <c r="E2082">
        <v>-2</v>
      </c>
      <c r="F2082" s="3">
        <v>4949.17</v>
      </c>
      <c r="G2082" s="2">
        <v>0.61236486486486497</v>
      </c>
      <c r="H2082" s="3">
        <v>0</v>
      </c>
      <c r="I2082" s="1">
        <v>45785</v>
      </c>
      <c r="J2082" s="4" t="s">
        <v>18</v>
      </c>
      <c r="K2082" s="4" t="s">
        <v>12</v>
      </c>
      <c r="L2082" s="3">
        <v>1267.49</v>
      </c>
      <c r="M2082" s="4" t="s">
        <v>1255</v>
      </c>
      <c r="N2082" s="3">
        <v>-9898.34</v>
      </c>
    </row>
    <row r="2083" spans="1:14" hidden="1" x14ac:dyDescent="0.35">
      <c r="A2083">
        <v>3060</v>
      </c>
      <c r="B2083" s="4" t="s">
        <v>246</v>
      </c>
      <c r="C2083" s="4" t="s">
        <v>447</v>
      </c>
      <c r="D2083" s="4" t="s">
        <v>33</v>
      </c>
      <c r="E2083">
        <v>0</v>
      </c>
      <c r="F2083" s="3">
        <v>2811.7928999999999</v>
      </c>
      <c r="G2083" s="2">
        <v>0.71</v>
      </c>
      <c r="H2083" s="3">
        <v>0</v>
      </c>
      <c r="I2083" s="1">
        <v>45679</v>
      </c>
      <c r="J2083" s="4" t="s">
        <v>11</v>
      </c>
      <c r="K2083" s="4" t="s">
        <v>40</v>
      </c>
      <c r="L2083" s="3">
        <v>1011.23</v>
      </c>
      <c r="M2083" s="4" t="s">
        <v>1255</v>
      </c>
      <c r="N2083" s="3">
        <v>0</v>
      </c>
    </row>
    <row r="2084" spans="1:14" x14ac:dyDescent="0.35">
      <c r="A2084">
        <v>3061</v>
      </c>
      <c r="B2084" s="4" t="s">
        <v>359</v>
      </c>
      <c r="C2084" s="4" t="s">
        <v>996</v>
      </c>
      <c r="D2084" s="4" t="s">
        <v>15</v>
      </c>
      <c r="E2084">
        <v>-1</v>
      </c>
      <c r="F2084" s="3">
        <v>1873.39</v>
      </c>
      <c r="G2084" s="2">
        <v>0.74</v>
      </c>
      <c r="H2084" s="3">
        <v>-487.08</v>
      </c>
      <c r="I2084" s="1">
        <v>45646</v>
      </c>
      <c r="J2084" s="4" t="s">
        <v>23</v>
      </c>
      <c r="K2084" s="4" t="s">
        <v>12</v>
      </c>
      <c r="L2084" s="3">
        <v>1596.53</v>
      </c>
      <c r="M2084" s="4" t="s">
        <v>1255</v>
      </c>
      <c r="N2084" s="3">
        <v>-1873.39</v>
      </c>
    </row>
    <row r="2085" spans="1:14" hidden="1" x14ac:dyDescent="0.35">
      <c r="A2085">
        <v>3062</v>
      </c>
      <c r="B2085" s="4" t="s">
        <v>172</v>
      </c>
      <c r="C2085" s="4" t="s">
        <v>446</v>
      </c>
      <c r="D2085" s="4" t="s">
        <v>26</v>
      </c>
      <c r="E2085">
        <v>0</v>
      </c>
      <c r="F2085" s="3">
        <v>4312.55</v>
      </c>
      <c r="G2085" s="2">
        <v>0.61082191780821904</v>
      </c>
      <c r="H2085" s="3">
        <v>0</v>
      </c>
      <c r="I2085" s="1">
        <v>45666</v>
      </c>
      <c r="J2085" s="4" t="s">
        <v>23</v>
      </c>
      <c r="K2085" s="4" t="s">
        <v>40</v>
      </c>
      <c r="L2085" s="3">
        <v>496.16</v>
      </c>
      <c r="M2085" s="4" t="s">
        <v>1255</v>
      </c>
      <c r="N2085" s="3">
        <v>0</v>
      </c>
    </row>
    <row r="2086" spans="1:14" hidden="1" x14ac:dyDescent="0.35">
      <c r="A2086">
        <v>3063</v>
      </c>
      <c r="B2086" s="4" t="s">
        <v>282</v>
      </c>
      <c r="C2086" s="4" t="s">
        <v>82</v>
      </c>
      <c r="D2086" s="4" t="s">
        <v>28</v>
      </c>
      <c r="E2086">
        <v>0</v>
      </c>
      <c r="F2086" s="3">
        <v>4971.93</v>
      </c>
      <c r="G2086" s="2">
        <v>0.51</v>
      </c>
      <c r="H2086" s="3">
        <v>0</v>
      </c>
      <c r="I2086" s="1">
        <v>45760</v>
      </c>
      <c r="J2086" s="4" t="s">
        <v>23</v>
      </c>
      <c r="K2086" s="4" t="s">
        <v>40</v>
      </c>
      <c r="L2086" s="3">
        <v>1941.61</v>
      </c>
      <c r="M2086" s="4" t="s">
        <v>1255</v>
      </c>
      <c r="N2086" s="3">
        <v>0</v>
      </c>
    </row>
    <row r="2087" spans="1:14" hidden="1" x14ac:dyDescent="0.35">
      <c r="A2087">
        <v>3064</v>
      </c>
      <c r="B2087" s="4" t="s">
        <v>440</v>
      </c>
      <c r="C2087" s="4" t="s">
        <v>675</v>
      </c>
      <c r="D2087" s="4" t="s">
        <v>10</v>
      </c>
      <c r="E2087">
        <v>0</v>
      </c>
      <c r="F2087" s="3">
        <v>2799.4088999999999</v>
      </c>
      <c r="G2087" s="2">
        <v>1.24</v>
      </c>
      <c r="H2087" s="3">
        <v>0</v>
      </c>
      <c r="I2087" s="1">
        <v>45779</v>
      </c>
      <c r="J2087" s="4" t="s">
        <v>23</v>
      </c>
      <c r="K2087" s="4" t="s">
        <v>40</v>
      </c>
      <c r="L2087" s="3">
        <v>2520.12</v>
      </c>
      <c r="M2087" s="4" t="s">
        <v>1255</v>
      </c>
      <c r="N2087" s="3">
        <v>0</v>
      </c>
    </row>
    <row r="2088" spans="1:14" hidden="1" x14ac:dyDescent="0.35">
      <c r="A2088">
        <v>3065</v>
      </c>
      <c r="B2088" s="4" t="s">
        <v>848</v>
      </c>
      <c r="C2088" s="4" t="s">
        <v>1179</v>
      </c>
      <c r="D2088" s="4" t="s">
        <v>15</v>
      </c>
      <c r="E2088">
        <v>-1</v>
      </c>
      <c r="F2088" s="3">
        <v>873.64</v>
      </c>
      <c r="G2088" s="2">
        <v>0.17</v>
      </c>
      <c r="H2088" s="3">
        <v>-725.12</v>
      </c>
      <c r="I2088" s="1">
        <v>45736</v>
      </c>
      <c r="J2088" s="4" t="s">
        <v>20</v>
      </c>
      <c r="K2088" s="4" t="s">
        <v>40</v>
      </c>
      <c r="L2088" s="3">
        <v>1107.8499999999999</v>
      </c>
      <c r="M2088" s="4" t="s">
        <v>1255</v>
      </c>
      <c r="N2088" s="3">
        <v>-873.64</v>
      </c>
    </row>
    <row r="2089" spans="1:14" x14ac:dyDescent="0.35">
      <c r="A2089">
        <v>3066</v>
      </c>
      <c r="B2089" s="4" t="s">
        <v>544</v>
      </c>
      <c r="C2089" s="4" t="s">
        <v>908</v>
      </c>
      <c r="D2089" s="4" t="s">
        <v>29</v>
      </c>
      <c r="E2089">
        <v>0</v>
      </c>
      <c r="F2089" s="3">
        <v>2789.3971999999999</v>
      </c>
      <c r="G2089" s="2">
        <v>1.28</v>
      </c>
      <c r="H2089" s="3">
        <v>0</v>
      </c>
      <c r="I2089" s="1">
        <v>45806</v>
      </c>
      <c r="J2089" s="4" t="s">
        <v>11</v>
      </c>
      <c r="K2089" s="4" t="s">
        <v>8</v>
      </c>
      <c r="L2089" s="3">
        <v>80.290000000000006</v>
      </c>
      <c r="M2089" s="4" t="s">
        <v>1255</v>
      </c>
      <c r="N2089" s="3">
        <v>0</v>
      </c>
    </row>
    <row r="2090" spans="1:14" hidden="1" x14ac:dyDescent="0.35">
      <c r="A2090">
        <v>3067</v>
      </c>
      <c r="B2090" s="4" t="s">
        <v>85</v>
      </c>
      <c r="C2090" s="4" t="s">
        <v>1180</v>
      </c>
      <c r="D2090" s="4" t="s">
        <v>37</v>
      </c>
      <c r="E2090">
        <v>0</v>
      </c>
      <c r="F2090" s="3">
        <v>2798.2665000000002</v>
      </c>
      <c r="G2090" s="2">
        <v>0.60549295774647904</v>
      </c>
      <c r="H2090" s="3">
        <v>0</v>
      </c>
      <c r="I2090" s="1">
        <v>45575</v>
      </c>
      <c r="J2090" s="4" t="s">
        <v>18</v>
      </c>
      <c r="K2090" s="4" t="s">
        <v>40</v>
      </c>
      <c r="L2090" s="3">
        <v>2711.03</v>
      </c>
      <c r="M2090" s="4" t="s">
        <v>1255</v>
      </c>
      <c r="N2090" s="3">
        <v>0</v>
      </c>
    </row>
    <row r="2091" spans="1:14" x14ac:dyDescent="0.35">
      <c r="A2091">
        <v>3068</v>
      </c>
      <c r="B2091" s="4" t="s">
        <v>695</v>
      </c>
      <c r="C2091" s="4" t="s">
        <v>149</v>
      </c>
      <c r="D2091" s="4" t="s">
        <v>22</v>
      </c>
      <c r="E2091">
        <v>0</v>
      </c>
      <c r="F2091" s="3">
        <v>2798.2665000000002</v>
      </c>
      <c r="G2091" s="2">
        <v>0.99</v>
      </c>
      <c r="H2091" s="3">
        <v>0</v>
      </c>
      <c r="I2091" s="1">
        <v>45575</v>
      </c>
      <c r="J2091" s="4" t="s">
        <v>20</v>
      </c>
      <c r="K2091" s="4" t="s">
        <v>8</v>
      </c>
      <c r="L2091" s="3">
        <v>1886.51</v>
      </c>
      <c r="M2091" s="4" t="s">
        <v>1255</v>
      </c>
      <c r="N2091" s="3">
        <v>0</v>
      </c>
    </row>
    <row r="2092" spans="1:14" hidden="1" x14ac:dyDescent="0.35">
      <c r="A2092">
        <v>3069</v>
      </c>
      <c r="B2092" s="4" t="s">
        <v>183</v>
      </c>
      <c r="C2092" s="4" t="s">
        <v>50</v>
      </c>
      <c r="D2092" s="4" t="s">
        <v>10</v>
      </c>
      <c r="E2092">
        <v>0</v>
      </c>
      <c r="F2092" s="3">
        <v>2798.2665000000002</v>
      </c>
      <c r="G2092" s="2">
        <v>0.60276595744680905</v>
      </c>
      <c r="H2092" s="3">
        <v>0</v>
      </c>
      <c r="I2092" s="1">
        <v>45591</v>
      </c>
      <c r="J2092" s="4" t="s">
        <v>18</v>
      </c>
      <c r="K2092" s="4" t="s">
        <v>40</v>
      </c>
      <c r="L2092" s="3">
        <v>-524.33000000000004</v>
      </c>
      <c r="M2092" s="4" t="s">
        <v>1255</v>
      </c>
      <c r="N2092" s="3">
        <v>0</v>
      </c>
    </row>
    <row r="2093" spans="1:14" x14ac:dyDescent="0.35">
      <c r="A2093">
        <v>3070</v>
      </c>
      <c r="B2093" s="4" t="s">
        <v>224</v>
      </c>
      <c r="C2093" s="4" t="s">
        <v>362</v>
      </c>
      <c r="D2093" s="4" t="s">
        <v>34</v>
      </c>
      <c r="E2093">
        <v>0</v>
      </c>
      <c r="F2093" s="3">
        <v>2798.2665000000002</v>
      </c>
      <c r="G2093" s="2">
        <v>0.60276595744680905</v>
      </c>
      <c r="H2093" s="3">
        <v>0</v>
      </c>
      <c r="I2093" s="1">
        <v>45525</v>
      </c>
      <c r="J2093" s="4" t="s">
        <v>7</v>
      </c>
      <c r="K2093" s="4" t="s">
        <v>12</v>
      </c>
      <c r="L2093" s="3">
        <v>1136.04</v>
      </c>
      <c r="M2093" s="4" t="s">
        <v>1255</v>
      </c>
      <c r="N2093" s="3">
        <v>0</v>
      </c>
    </row>
    <row r="2094" spans="1:14" x14ac:dyDescent="0.35">
      <c r="A2094">
        <v>3071</v>
      </c>
      <c r="B2094" s="4" t="s">
        <v>121</v>
      </c>
      <c r="C2094" s="4" t="s">
        <v>242</v>
      </c>
      <c r="D2094" s="4" t="s">
        <v>22</v>
      </c>
      <c r="E2094">
        <v>0</v>
      </c>
      <c r="F2094" s="3">
        <v>4617.8500000000004</v>
      </c>
      <c r="G2094" s="2">
        <v>1.02</v>
      </c>
      <c r="H2094" s="3">
        <v>0</v>
      </c>
      <c r="I2094" s="1">
        <v>45229</v>
      </c>
      <c r="J2094" s="4" t="s">
        <v>7</v>
      </c>
      <c r="K2094" s="4" t="s">
        <v>8</v>
      </c>
      <c r="L2094" s="3">
        <v>1778.15</v>
      </c>
      <c r="M2094" s="4" t="s">
        <v>1255</v>
      </c>
      <c r="N2094" s="3">
        <v>0</v>
      </c>
    </row>
    <row r="2095" spans="1:14" x14ac:dyDescent="0.35">
      <c r="A2095">
        <v>3072</v>
      </c>
      <c r="B2095" s="4" t="s">
        <v>482</v>
      </c>
      <c r="C2095" s="4" t="s">
        <v>899</v>
      </c>
      <c r="D2095" s="4" t="s">
        <v>29</v>
      </c>
      <c r="E2095">
        <v>6</v>
      </c>
      <c r="F2095" s="3">
        <v>2798.2665000000002</v>
      </c>
      <c r="G2095" s="2">
        <v>0.59978571428571503</v>
      </c>
      <c r="H2095" s="3">
        <v>0</v>
      </c>
      <c r="I2095" s="1">
        <v>45664</v>
      </c>
      <c r="J2095" s="4" t="s">
        <v>9</v>
      </c>
      <c r="K2095" s="4" t="s">
        <v>8</v>
      </c>
      <c r="L2095" s="3">
        <v>1650.33</v>
      </c>
      <c r="M2095" s="4" t="s">
        <v>1255</v>
      </c>
      <c r="N2095" s="3">
        <v>16789.598999999998</v>
      </c>
    </row>
    <row r="2096" spans="1:14" x14ac:dyDescent="0.35">
      <c r="A2096">
        <v>3073</v>
      </c>
      <c r="B2096" s="4" t="s">
        <v>600</v>
      </c>
      <c r="C2096" s="4" t="s">
        <v>95</v>
      </c>
      <c r="D2096" s="4" t="s">
        <v>19</v>
      </c>
      <c r="E2096">
        <v>1</v>
      </c>
      <c r="F2096" s="3">
        <v>478.6</v>
      </c>
      <c r="G2096" s="2">
        <v>1.18</v>
      </c>
      <c r="H2096" s="3">
        <v>-86.15</v>
      </c>
      <c r="I2096" s="1">
        <v>45753</v>
      </c>
      <c r="J2096" s="4" t="s">
        <v>18</v>
      </c>
      <c r="K2096" s="4" t="s">
        <v>12</v>
      </c>
      <c r="L2096" s="3">
        <v>1139.8399999999999</v>
      </c>
      <c r="M2096" s="4" t="s">
        <v>1255</v>
      </c>
      <c r="N2096" s="3">
        <v>478.6</v>
      </c>
    </row>
    <row r="2097" spans="1:14" x14ac:dyDescent="0.35">
      <c r="A2097">
        <v>3074</v>
      </c>
      <c r="B2097" s="4" t="s">
        <v>224</v>
      </c>
      <c r="C2097" s="4" t="s">
        <v>191</v>
      </c>
      <c r="D2097" s="4" t="s">
        <v>35</v>
      </c>
      <c r="E2097">
        <v>2</v>
      </c>
      <c r="F2097" s="3">
        <v>2789.8033</v>
      </c>
      <c r="G2097" s="2">
        <v>0.59561151079136698</v>
      </c>
      <c r="H2097" s="3">
        <v>0</v>
      </c>
      <c r="I2097" s="1">
        <v>45327</v>
      </c>
      <c r="J2097" s="4" t="s">
        <v>11</v>
      </c>
      <c r="K2097" s="4" t="s">
        <v>12</v>
      </c>
      <c r="L2097" s="3">
        <v>-906.63</v>
      </c>
      <c r="M2097" s="4" t="s">
        <v>1255</v>
      </c>
      <c r="N2097" s="3">
        <v>5579.6066000000001</v>
      </c>
    </row>
    <row r="2098" spans="1:14" x14ac:dyDescent="0.35">
      <c r="A2098">
        <v>3075</v>
      </c>
      <c r="B2098" s="4" t="s">
        <v>69</v>
      </c>
      <c r="C2098" s="4" t="s">
        <v>427</v>
      </c>
      <c r="D2098" s="4" t="s">
        <v>33</v>
      </c>
      <c r="E2098">
        <v>0</v>
      </c>
      <c r="F2098" s="3">
        <v>1501.49</v>
      </c>
      <c r="G2098" s="2">
        <v>0.43</v>
      </c>
      <c r="H2098" s="3">
        <v>0</v>
      </c>
      <c r="I2098" s="1">
        <v>45524</v>
      </c>
      <c r="J2098" s="4" t="s">
        <v>23</v>
      </c>
      <c r="K2098" s="4" t="s">
        <v>8</v>
      </c>
      <c r="L2098" s="3">
        <v>-100.14</v>
      </c>
      <c r="M2098" s="4" t="s">
        <v>1255</v>
      </c>
      <c r="N2098" s="3">
        <v>0</v>
      </c>
    </row>
    <row r="2099" spans="1:14" hidden="1" x14ac:dyDescent="0.35">
      <c r="A2099">
        <v>3076</v>
      </c>
      <c r="B2099" s="4" t="s">
        <v>246</v>
      </c>
      <c r="C2099" s="4" t="s">
        <v>364</v>
      </c>
      <c r="D2099" s="4" t="s">
        <v>15</v>
      </c>
      <c r="E2099">
        <v>0</v>
      </c>
      <c r="F2099" s="3">
        <v>2800.6033000000002</v>
      </c>
      <c r="G2099" s="2">
        <v>0.59681159420289898</v>
      </c>
      <c r="H2099" s="3">
        <v>0</v>
      </c>
      <c r="I2099" s="1">
        <v>45538</v>
      </c>
      <c r="J2099" s="4" t="s">
        <v>20</v>
      </c>
      <c r="K2099" s="4" t="s">
        <v>40</v>
      </c>
      <c r="L2099" s="3">
        <v>1933.72</v>
      </c>
      <c r="M2099" s="4" t="s">
        <v>1255</v>
      </c>
      <c r="N2099" s="3">
        <v>0</v>
      </c>
    </row>
    <row r="2100" spans="1:14" x14ac:dyDescent="0.35">
      <c r="A2100">
        <v>3077</v>
      </c>
      <c r="B2100" s="4" t="s">
        <v>1026</v>
      </c>
      <c r="C2100" s="4" t="s">
        <v>307</v>
      </c>
      <c r="D2100" s="4" t="s">
        <v>17</v>
      </c>
      <c r="E2100">
        <v>4</v>
      </c>
      <c r="F2100" s="3">
        <v>2806.7024000000001</v>
      </c>
      <c r="G2100" s="2">
        <v>0.92</v>
      </c>
      <c r="H2100" s="3">
        <v>0</v>
      </c>
      <c r="I2100" s="1">
        <v>45766</v>
      </c>
      <c r="J2100" s="4" t="s">
        <v>9</v>
      </c>
      <c r="K2100" s="4" t="s">
        <v>8</v>
      </c>
      <c r="L2100" s="3">
        <v>-528.22</v>
      </c>
      <c r="M2100" s="4" t="s">
        <v>1255</v>
      </c>
      <c r="N2100" s="3">
        <v>11226.809600000001</v>
      </c>
    </row>
    <row r="2101" spans="1:14" x14ac:dyDescent="0.35">
      <c r="A2101">
        <v>3078</v>
      </c>
      <c r="B2101" s="4" t="s">
        <v>600</v>
      </c>
      <c r="C2101" s="4" t="s">
        <v>397</v>
      </c>
      <c r="D2101" s="4" t="s">
        <v>10</v>
      </c>
      <c r="E2101">
        <v>0</v>
      </c>
      <c r="F2101" s="3">
        <v>2563.2399999999998</v>
      </c>
      <c r="G2101" s="2">
        <v>0.59445255474452596</v>
      </c>
      <c r="H2101" s="3">
        <v>0</v>
      </c>
      <c r="I2101" s="1">
        <v>45766</v>
      </c>
      <c r="J2101" s="4" t="s">
        <v>9</v>
      </c>
      <c r="K2101" s="4" t="s">
        <v>12</v>
      </c>
      <c r="L2101" s="3">
        <v>195.81</v>
      </c>
      <c r="M2101" s="4" t="s">
        <v>1255</v>
      </c>
      <c r="N2101" s="3">
        <v>0</v>
      </c>
    </row>
    <row r="2102" spans="1:14" x14ac:dyDescent="0.35">
      <c r="A2102">
        <v>3079</v>
      </c>
      <c r="B2102" s="4" t="s">
        <v>494</v>
      </c>
      <c r="C2102" s="4" t="s">
        <v>76</v>
      </c>
      <c r="D2102" s="4" t="s">
        <v>29</v>
      </c>
      <c r="E2102">
        <v>0</v>
      </c>
      <c r="F2102" s="3">
        <v>2839.98</v>
      </c>
      <c r="G2102" s="2">
        <v>0.59445255474452596</v>
      </c>
      <c r="H2102" s="3">
        <v>0</v>
      </c>
      <c r="I2102" s="1">
        <v>45519</v>
      </c>
      <c r="J2102" s="4" t="s">
        <v>11</v>
      </c>
      <c r="K2102" s="4" t="s">
        <v>12</v>
      </c>
      <c r="L2102" s="3">
        <v>-48.25</v>
      </c>
      <c r="M2102" s="4" t="s">
        <v>1255</v>
      </c>
      <c r="N2102" s="3">
        <v>0</v>
      </c>
    </row>
    <row r="2103" spans="1:14" x14ac:dyDescent="0.35">
      <c r="A2103">
        <v>3080</v>
      </c>
      <c r="B2103" s="4" t="s">
        <v>54</v>
      </c>
      <c r="C2103" s="4" t="s">
        <v>144</v>
      </c>
      <c r="D2103" s="4" t="s">
        <v>15</v>
      </c>
      <c r="E2103">
        <v>0</v>
      </c>
      <c r="F2103" s="3">
        <v>2807.8508000000002</v>
      </c>
      <c r="G2103" s="2">
        <v>0.59445255474452596</v>
      </c>
      <c r="H2103" s="3">
        <v>0</v>
      </c>
      <c r="I2103" s="1">
        <v>45777</v>
      </c>
      <c r="J2103" s="4" t="s">
        <v>18</v>
      </c>
      <c r="K2103" s="4" t="s">
        <v>12</v>
      </c>
      <c r="L2103" s="3">
        <v>2067.89</v>
      </c>
      <c r="M2103" s="4" t="s">
        <v>1255</v>
      </c>
      <c r="N2103" s="3">
        <v>0</v>
      </c>
    </row>
    <row r="2104" spans="1:14" hidden="1" x14ac:dyDescent="0.35">
      <c r="A2104">
        <v>3081</v>
      </c>
      <c r="B2104" s="4" t="s">
        <v>62</v>
      </c>
      <c r="C2104" s="4" t="s">
        <v>186</v>
      </c>
      <c r="D2104" s="4" t="s">
        <v>37</v>
      </c>
      <c r="E2104">
        <v>0</v>
      </c>
      <c r="F2104" s="3">
        <v>2807.6986000000002</v>
      </c>
      <c r="G2104" s="2">
        <v>0.59445255474452596</v>
      </c>
      <c r="H2104" s="3">
        <v>0</v>
      </c>
      <c r="I2104" s="1">
        <v>45777</v>
      </c>
      <c r="J2104" s="4" t="s">
        <v>9</v>
      </c>
      <c r="K2104" s="4" t="s">
        <v>40</v>
      </c>
      <c r="L2104" s="3">
        <v>-245.42</v>
      </c>
      <c r="M2104" s="4" t="s">
        <v>1255</v>
      </c>
      <c r="N2104" s="3">
        <v>0</v>
      </c>
    </row>
    <row r="2105" spans="1:14" hidden="1" x14ac:dyDescent="0.35">
      <c r="A2105">
        <v>3082</v>
      </c>
      <c r="B2105" s="4" t="s">
        <v>445</v>
      </c>
      <c r="C2105" s="4" t="s">
        <v>545</v>
      </c>
      <c r="D2105" s="4" t="s">
        <v>24</v>
      </c>
      <c r="E2105">
        <v>5</v>
      </c>
      <c r="F2105" s="3">
        <v>2807.6986000000002</v>
      </c>
      <c r="G2105" s="2">
        <v>0.59445255474452596</v>
      </c>
      <c r="H2105" s="3">
        <v>0</v>
      </c>
      <c r="I2105" s="1">
        <v>45797</v>
      </c>
      <c r="J2105" s="4" t="s">
        <v>20</v>
      </c>
      <c r="K2105" s="4" t="s">
        <v>40</v>
      </c>
      <c r="L2105" s="3">
        <v>664.73</v>
      </c>
      <c r="M2105" s="4" t="s">
        <v>1255</v>
      </c>
      <c r="N2105" s="3">
        <v>14038.493</v>
      </c>
    </row>
    <row r="2106" spans="1:14" hidden="1" x14ac:dyDescent="0.35">
      <c r="A2106">
        <v>3083</v>
      </c>
      <c r="B2106" s="4" t="s">
        <v>756</v>
      </c>
      <c r="C2106" s="4" t="s">
        <v>389</v>
      </c>
      <c r="D2106" s="4" t="s">
        <v>15</v>
      </c>
      <c r="E2106">
        <v>0</v>
      </c>
      <c r="F2106" s="3">
        <v>1573.64</v>
      </c>
      <c r="G2106" s="2">
        <v>0.59445255474452596</v>
      </c>
      <c r="H2106" s="3">
        <v>0</v>
      </c>
      <c r="I2106" s="1">
        <v>45846</v>
      </c>
      <c r="J2106" s="4" t="s">
        <v>7</v>
      </c>
      <c r="K2106" s="4" t="s">
        <v>40</v>
      </c>
      <c r="L2106" s="3">
        <v>792.35</v>
      </c>
      <c r="M2106" s="4" t="s">
        <v>1255</v>
      </c>
      <c r="N2106" s="3">
        <v>0</v>
      </c>
    </row>
    <row r="2107" spans="1:14" x14ac:dyDescent="0.35">
      <c r="A2107">
        <v>3084</v>
      </c>
      <c r="B2107" s="4" t="s">
        <v>167</v>
      </c>
      <c r="C2107" s="4" t="s">
        <v>55</v>
      </c>
      <c r="D2107" s="4" t="s">
        <v>37</v>
      </c>
      <c r="E2107">
        <v>0</v>
      </c>
      <c r="F2107" s="3">
        <v>2316.64</v>
      </c>
      <c r="G2107" s="2">
        <v>0.7</v>
      </c>
      <c r="H2107" s="3">
        <v>0</v>
      </c>
      <c r="I2107" s="1">
        <v>45553</v>
      </c>
      <c r="J2107" s="4" t="s">
        <v>9</v>
      </c>
      <c r="K2107" s="4" t="s">
        <v>12</v>
      </c>
      <c r="L2107" s="3">
        <v>-657.76</v>
      </c>
      <c r="M2107" s="4" t="s">
        <v>1255</v>
      </c>
      <c r="N2107" s="3">
        <v>0</v>
      </c>
    </row>
    <row r="2108" spans="1:14" x14ac:dyDescent="0.35">
      <c r="A2108">
        <v>3085</v>
      </c>
      <c r="B2108" s="4" t="s">
        <v>262</v>
      </c>
      <c r="C2108" s="4" t="s">
        <v>1181</v>
      </c>
      <c r="D2108" s="4" t="s">
        <v>15</v>
      </c>
      <c r="E2108">
        <v>4</v>
      </c>
      <c r="F2108" s="3">
        <v>2813.5749999999998</v>
      </c>
      <c r="G2108" s="2">
        <v>0.59367647058823603</v>
      </c>
      <c r="H2108" s="3">
        <v>0</v>
      </c>
      <c r="I2108" s="1">
        <v>45532</v>
      </c>
      <c r="J2108" s="4" t="s">
        <v>11</v>
      </c>
      <c r="K2108" s="4" t="s">
        <v>8</v>
      </c>
      <c r="L2108" s="3">
        <v>2563.31</v>
      </c>
      <c r="M2108" s="4" t="s">
        <v>1255</v>
      </c>
      <c r="N2108" s="3">
        <v>11254.3</v>
      </c>
    </row>
    <row r="2109" spans="1:14" x14ac:dyDescent="0.35">
      <c r="A2109">
        <v>3086</v>
      </c>
      <c r="B2109" s="4" t="s">
        <v>434</v>
      </c>
      <c r="C2109" s="4" t="s">
        <v>947</v>
      </c>
      <c r="D2109" s="4" t="s">
        <v>33</v>
      </c>
      <c r="E2109">
        <v>-1</v>
      </c>
      <c r="F2109" s="3">
        <v>2815.9526999999998</v>
      </c>
      <c r="G2109" s="2">
        <v>0.59367647058823603</v>
      </c>
      <c r="H2109" s="3">
        <v>0</v>
      </c>
      <c r="I2109" s="1">
        <v>45253</v>
      </c>
      <c r="J2109" s="4" t="s">
        <v>7</v>
      </c>
      <c r="K2109" s="4" t="s">
        <v>12</v>
      </c>
      <c r="L2109" s="3">
        <v>918.53</v>
      </c>
      <c r="M2109" s="4" t="s">
        <v>1255</v>
      </c>
      <c r="N2109" s="3">
        <v>-2815.9526999999998</v>
      </c>
    </row>
    <row r="2110" spans="1:14" hidden="1" x14ac:dyDescent="0.35">
      <c r="A2110">
        <v>3087</v>
      </c>
      <c r="B2110" s="4" t="s">
        <v>189</v>
      </c>
      <c r="C2110" s="4" t="s">
        <v>133</v>
      </c>
      <c r="D2110" s="4" t="s">
        <v>6</v>
      </c>
      <c r="E2110">
        <v>0</v>
      </c>
      <c r="F2110" s="3">
        <v>692.46</v>
      </c>
      <c r="G2110" s="2">
        <v>1.2</v>
      </c>
      <c r="H2110" s="3">
        <v>0</v>
      </c>
      <c r="I2110" s="1">
        <v>45542</v>
      </c>
      <c r="J2110" s="4" t="s">
        <v>18</v>
      </c>
      <c r="K2110" s="4" t="s">
        <v>40</v>
      </c>
      <c r="L2110" s="3">
        <v>-901.21</v>
      </c>
      <c r="M2110" s="4" t="s">
        <v>1255</v>
      </c>
      <c r="N2110" s="3">
        <v>0</v>
      </c>
    </row>
    <row r="2111" spans="1:14" x14ac:dyDescent="0.35">
      <c r="A2111">
        <v>3089</v>
      </c>
      <c r="B2111" s="4" t="s">
        <v>923</v>
      </c>
      <c r="C2111" s="4" t="s">
        <v>712</v>
      </c>
      <c r="D2111" s="4" t="s">
        <v>14</v>
      </c>
      <c r="E2111">
        <v>-2</v>
      </c>
      <c r="F2111" s="3">
        <v>3153.72</v>
      </c>
      <c r="G2111" s="2">
        <v>0.58537313432835802</v>
      </c>
      <c r="H2111" s="3">
        <v>0</v>
      </c>
      <c r="I2111" s="1">
        <v>45692</v>
      </c>
      <c r="J2111" s="4" t="s">
        <v>23</v>
      </c>
      <c r="K2111" s="4" t="s">
        <v>12</v>
      </c>
      <c r="L2111" s="3">
        <v>2686.96</v>
      </c>
      <c r="M2111" s="4" t="s">
        <v>1255</v>
      </c>
      <c r="N2111" s="3">
        <v>-6307.44</v>
      </c>
    </row>
    <row r="2112" spans="1:14" x14ac:dyDescent="0.35">
      <c r="A2112">
        <v>3090</v>
      </c>
      <c r="B2112" s="4" t="s">
        <v>91</v>
      </c>
      <c r="C2112" s="4" t="s">
        <v>1182</v>
      </c>
      <c r="D2112" s="4" t="s">
        <v>25</v>
      </c>
      <c r="E2112">
        <v>-2</v>
      </c>
      <c r="F2112" s="3">
        <v>3033.2</v>
      </c>
      <c r="G2112" s="2">
        <v>0.58537313432835802</v>
      </c>
      <c r="H2112" s="3">
        <v>0</v>
      </c>
      <c r="I2112" s="1">
        <v>45537</v>
      </c>
      <c r="J2112" s="4" t="s">
        <v>20</v>
      </c>
      <c r="K2112" s="4" t="s">
        <v>12</v>
      </c>
      <c r="L2112" s="3">
        <v>490.69</v>
      </c>
      <c r="M2112" s="4" t="s">
        <v>1255</v>
      </c>
      <c r="N2112" s="3">
        <v>-6066.4</v>
      </c>
    </row>
    <row r="2113" spans="1:14" hidden="1" x14ac:dyDescent="0.35">
      <c r="A2113">
        <v>3091</v>
      </c>
      <c r="B2113" s="4" t="s">
        <v>684</v>
      </c>
      <c r="C2113" s="4" t="s">
        <v>197</v>
      </c>
      <c r="D2113" s="4" t="s">
        <v>33</v>
      </c>
      <c r="E2113">
        <v>0</v>
      </c>
      <c r="F2113" s="3">
        <v>1091.76</v>
      </c>
      <c r="G2113" s="2">
        <v>0.54</v>
      </c>
      <c r="H2113" s="3">
        <v>0</v>
      </c>
      <c r="I2113" s="1">
        <v>45613</v>
      </c>
      <c r="J2113" s="4" t="s">
        <v>23</v>
      </c>
      <c r="K2113" s="4" t="s">
        <v>40</v>
      </c>
      <c r="L2113" s="3">
        <v>2584.69</v>
      </c>
      <c r="M2113" s="4" t="s">
        <v>1255</v>
      </c>
      <c r="N2113" s="3">
        <v>0</v>
      </c>
    </row>
    <row r="2114" spans="1:14" hidden="1" x14ac:dyDescent="0.35">
      <c r="A2114">
        <v>3092</v>
      </c>
      <c r="B2114" s="4" t="s">
        <v>246</v>
      </c>
      <c r="C2114" s="4" t="s">
        <v>802</v>
      </c>
      <c r="D2114" s="4" t="s">
        <v>10</v>
      </c>
      <c r="E2114">
        <v>0</v>
      </c>
      <c r="F2114" s="3">
        <v>2821.0243999999998</v>
      </c>
      <c r="G2114" s="2">
        <v>0.58571428571428596</v>
      </c>
      <c r="H2114" s="3">
        <v>0</v>
      </c>
      <c r="I2114" s="1">
        <v>45714</v>
      </c>
      <c r="J2114" s="4" t="s">
        <v>18</v>
      </c>
      <c r="K2114" s="4" t="s">
        <v>40</v>
      </c>
      <c r="L2114" s="3">
        <v>250.05</v>
      </c>
      <c r="M2114" s="4" t="s">
        <v>1255</v>
      </c>
      <c r="N2114" s="3">
        <v>0</v>
      </c>
    </row>
    <row r="2115" spans="1:14" x14ac:dyDescent="0.35">
      <c r="A2115">
        <v>3093</v>
      </c>
      <c r="B2115" s="4" t="s">
        <v>573</v>
      </c>
      <c r="C2115" s="4" t="s">
        <v>700</v>
      </c>
      <c r="D2115" s="4" t="s">
        <v>29</v>
      </c>
      <c r="E2115">
        <v>2</v>
      </c>
      <c r="F2115" s="3">
        <v>1551.41</v>
      </c>
      <c r="G2115" s="2">
        <v>0.54</v>
      </c>
      <c r="H2115" s="3">
        <v>1427.3</v>
      </c>
      <c r="I2115" s="1">
        <v>45646</v>
      </c>
      <c r="J2115" s="4" t="s">
        <v>7</v>
      </c>
      <c r="K2115" s="4" t="s">
        <v>8</v>
      </c>
      <c r="L2115" s="3">
        <v>763.37</v>
      </c>
      <c r="M2115" s="4" t="s">
        <v>1256</v>
      </c>
      <c r="N2115" s="3">
        <v>3102.82</v>
      </c>
    </row>
    <row r="2116" spans="1:14" hidden="1" x14ac:dyDescent="0.35">
      <c r="A2116">
        <v>3094</v>
      </c>
      <c r="B2116" s="4" t="s">
        <v>50</v>
      </c>
      <c r="C2116" s="4" t="s">
        <v>242</v>
      </c>
      <c r="D2116" s="4" t="s">
        <v>25</v>
      </c>
      <c r="E2116">
        <v>0</v>
      </c>
      <c r="F2116" s="3">
        <v>4382.8599999999997</v>
      </c>
      <c r="G2116" s="2">
        <v>0.58606060606060595</v>
      </c>
      <c r="H2116" s="3">
        <v>0</v>
      </c>
      <c r="I2116" s="1">
        <v>45772</v>
      </c>
      <c r="J2116" s="4" t="s">
        <v>20</v>
      </c>
      <c r="K2116" s="4" t="s">
        <v>40</v>
      </c>
      <c r="L2116" s="3">
        <v>1172.7</v>
      </c>
      <c r="M2116" s="4" t="s">
        <v>1255</v>
      </c>
      <c r="N2116" s="3">
        <v>0</v>
      </c>
    </row>
    <row r="2117" spans="1:14" hidden="1" x14ac:dyDescent="0.35">
      <c r="A2117">
        <v>3095</v>
      </c>
      <c r="B2117" s="4" t="s">
        <v>1183</v>
      </c>
      <c r="C2117" s="4" t="s">
        <v>889</v>
      </c>
      <c r="D2117" s="4" t="s">
        <v>33</v>
      </c>
      <c r="E2117">
        <v>1</v>
      </c>
      <c r="F2117" s="3">
        <v>2835.7972</v>
      </c>
      <c r="G2117" s="2">
        <v>0.58606060606060595</v>
      </c>
      <c r="H2117" s="3">
        <v>0</v>
      </c>
      <c r="I2117" s="1">
        <v>45839</v>
      </c>
      <c r="J2117" s="4" t="s">
        <v>20</v>
      </c>
      <c r="K2117" s="4" t="s">
        <v>40</v>
      </c>
      <c r="L2117" s="3">
        <v>2699.57</v>
      </c>
      <c r="M2117" s="4" t="s">
        <v>1255</v>
      </c>
      <c r="N2117" s="3">
        <v>2835.7972</v>
      </c>
    </row>
    <row r="2118" spans="1:14" hidden="1" x14ac:dyDescent="0.35">
      <c r="A2118">
        <v>3096</v>
      </c>
      <c r="B2118" s="4" t="s">
        <v>421</v>
      </c>
      <c r="C2118" s="4" t="s">
        <v>1184</v>
      </c>
      <c r="D2118" s="4" t="s">
        <v>29</v>
      </c>
      <c r="E2118">
        <v>2</v>
      </c>
      <c r="F2118" s="3">
        <v>2312.09</v>
      </c>
      <c r="G2118" s="2">
        <v>0.58606060606060595</v>
      </c>
      <c r="H2118" s="3">
        <v>0</v>
      </c>
      <c r="I2118" s="1">
        <v>45821</v>
      </c>
      <c r="J2118" s="4" t="s">
        <v>18</v>
      </c>
      <c r="K2118" s="4" t="s">
        <v>40</v>
      </c>
      <c r="L2118" s="3">
        <v>508.96</v>
      </c>
      <c r="M2118" s="4" t="s">
        <v>1255</v>
      </c>
      <c r="N2118" s="3">
        <v>4624.18</v>
      </c>
    </row>
    <row r="2119" spans="1:14" x14ac:dyDescent="0.35">
      <c r="A2119">
        <v>3097</v>
      </c>
      <c r="B2119" s="4" t="s">
        <v>373</v>
      </c>
      <c r="C2119" s="4" t="s">
        <v>820</v>
      </c>
      <c r="D2119" s="4" t="s">
        <v>29</v>
      </c>
      <c r="E2119">
        <v>0</v>
      </c>
      <c r="F2119" s="3">
        <v>3111.65</v>
      </c>
      <c r="G2119" s="2">
        <v>0.58606060606060595</v>
      </c>
      <c r="H2119" s="3">
        <v>0</v>
      </c>
      <c r="I2119" s="1">
        <v>45538</v>
      </c>
      <c r="J2119" s="4" t="s">
        <v>23</v>
      </c>
      <c r="K2119" s="4" t="s">
        <v>12</v>
      </c>
      <c r="L2119" s="3">
        <v>2868.09</v>
      </c>
      <c r="M2119" s="4" t="s">
        <v>1255</v>
      </c>
      <c r="N2119" s="3">
        <v>0</v>
      </c>
    </row>
    <row r="2120" spans="1:14" x14ac:dyDescent="0.35">
      <c r="A2120">
        <v>3099</v>
      </c>
      <c r="B2120" s="4" t="s">
        <v>54</v>
      </c>
      <c r="C2120" s="4" t="s">
        <v>874</v>
      </c>
      <c r="D2120" s="4" t="s">
        <v>33</v>
      </c>
      <c r="E2120">
        <v>0</v>
      </c>
      <c r="F2120" s="3">
        <v>4426.87</v>
      </c>
      <c r="G2120" s="2">
        <v>0.58606060606060595</v>
      </c>
      <c r="H2120" s="3">
        <v>0</v>
      </c>
      <c r="I2120" s="1">
        <v>45647</v>
      </c>
      <c r="J2120" s="4" t="s">
        <v>20</v>
      </c>
      <c r="K2120" s="4" t="s">
        <v>12</v>
      </c>
      <c r="L2120" s="3">
        <v>2480.9499999999998</v>
      </c>
      <c r="M2120" s="4" t="s">
        <v>1255</v>
      </c>
      <c r="N2120" s="3">
        <v>0</v>
      </c>
    </row>
    <row r="2121" spans="1:14" x14ac:dyDescent="0.35">
      <c r="A2121">
        <v>3100</v>
      </c>
      <c r="B2121" s="4" t="s">
        <v>477</v>
      </c>
      <c r="C2121" s="4" t="s">
        <v>60</v>
      </c>
      <c r="D2121" s="4" t="s">
        <v>34</v>
      </c>
      <c r="E2121">
        <v>0</v>
      </c>
      <c r="F2121" s="3">
        <v>2828.4612999999999</v>
      </c>
      <c r="G2121" s="2">
        <v>0.58606060606060595</v>
      </c>
      <c r="H2121" s="3">
        <v>0</v>
      </c>
      <c r="I2121" s="1">
        <v>45533</v>
      </c>
      <c r="J2121" s="4" t="s">
        <v>9</v>
      </c>
      <c r="K2121" s="4" t="s">
        <v>12</v>
      </c>
      <c r="L2121" s="3">
        <v>2379.7399999999998</v>
      </c>
      <c r="M2121" s="4" t="s">
        <v>1255</v>
      </c>
      <c r="N2121" s="3">
        <v>0</v>
      </c>
    </row>
    <row r="2122" spans="1:14" x14ac:dyDescent="0.35">
      <c r="A2122">
        <v>3101</v>
      </c>
      <c r="B2122" s="4" t="s">
        <v>317</v>
      </c>
      <c r="C2122" s="4" t="s">
        <v>168</v>
      </c>
      <c r="D2122" s="4" t="s">
        <v>14</v>
      </c>
      <c r="E2122">
        <v>1</v>
      </c>
      <c r="F2122" s="3">
        <v>2820.3885</v>
      </c>
      <c r="G2122" s="2">
        <v>0.58606060606060595</v>
      </c>
      <c r="H2122" s="3">
        <v>0</v>
      </c>
      <c r="I2122" s="1">
        <v>45856</v>
      </c>
      <c r="J2122" s="4" t="s">
        <v>11</v>
      </c>
      <c r="K2122" s="4" t="s">
        <v>12</v>
      </c>
      <c r="L2122" s="3">
        <v>478.53</v>
      </c>
      <c r="M2122" s="4" t="s">
        <v>1255</v>
      </c>
      <c r="N2122" s="3">
        <v>2820.3885</v>
      </c>
    </row>
    <row r="2123" spans="1:14" x14ac:dyDescent="0.35">
      <c r="A2123">
        <v>3103</v>
      </c>
      <c r="B2123" s="4" t="s">
        <v>278</v>
      </c>
      <c r="C2123" s="4" t="s">
        <v>1026</v>
      </c>
      <c r="D2123" s="4" t="s">
        <v>28</v>
      </c>
      <c r="E2123">
        <v>5</v>
      </c>
      <c r="F2123" s="3">
        <v>2820.3885</v>
      </c>
      <c r="G2123" s="2">
        <v>0.58606060606060595</v>
      </c>
      <c r="H2123" s="3">
        <v>0</v>
      </c>
      <c r="I2123" s="1">
        <v>45614</v>
      </c>
      <c r="J2123" s="4" t="s">
        <v>18</v>
      </c>
      <c r="K2123" s="4" t="s">
        <v>8</v>
      </c>
      <c r="L2123" s="3">
        <v>654.74</v>
      </c>
      <c r="M2123" s="4" t="s">
        <v>1255</v>
      </c>
      <c r="N2123" s="3">
        <v>14101.942499999999</v>
      </c>
    </row>
    <row r="2124" spans="1:14" x14ac:dyDescent="0.35">
      <c r="A2124">
        <v>3104</v>
      </c>
      <c r="B2124" s="4" t="s">
        <v>237</v>
      </c>
      <c r="C2124" s="4" t="s">
        <v>1150</v>
      </c>
      <c r="D2124" s="4" t="s">
        <v>17</v>
      </c>
      <c r="E2124">
        <v>0</v>
      </c>
      <c r="F2124" s="3">
        <v>4274.01</v>
      </c>
      <c r="G2124" s="2">
        <v>0.28000000000000003</v>
      </c>
      <c r="H2124" s="3">
        <v>0</v>
      </c>
      <c r="I2124" s="1">
        <v>45637</v>
      </c>
      <c r="J2124" s="4" t="s">
        <v>9</v>
      </c>
      <c r="K2124" s="4" t="s">
        <v>12</v>
      </c>
      <c r="L2124" s="3">
        <v>2263.5700000000002</v>
      </c>
      <c r="M2124" s="4" t="s">
        <v>1255</v>
      </c>
      <c r="N2124" s="3">
        <v>0</v>
      </c>
    </row>
    <row r="2125" spans="1:14" x14ac:dyDescent="0.35">
      <c r="A2125">
        <v>3105</v>
      </c>
      <c r="B2125" s="4" t="s">
        <v>575</v>
      </c>
      <c r="C2125" s="4" t="s">
        <v>442</v>
      </c>
      <c r="D2125" s="4" t="s">
        <v>14</v>
      </c>
      <c r="E2125">
        <v>0</v>
      </c>
      <c r="F2125" s="3">
        <v>2820.3885</v>
      </c>
      <c r="G2125" s="2">
        <v>0.58839694656488595</v>
      </c>
      <c r="H2125" s="3">
        <v>0</v>
      </c>
      <c r="I2125" s="1">
        <v>45786</v>
      </c>
      <c r="J2125" s="4" t="s">
        <v>23</v>
      </c>
      <c r="K2125" s="4" t="s">
        <v>8</v>
      </c>
      <c r="L2125" s="3">
        <v>1488.64</v>
      </c>
      <c r="M2125" s="4" t="s">
        <v>1255</v>
      </c>
      <c r="N2125" s="3">
        <v>0</v>
      </c>
    </row>
    <row r="2126" spans="1:14" hidden="1" x14ac:dyDescent="0.35">
      <c r="A2126">
        <v>3106</v>
      </c>
      <c r="B2126" s="4" t="s">
        <v>587</v>
      </c>
      <c r="C2126" s="4" t="s">
        <v>399</v>
      </c>
      <c r="D2126" s="4" t="s">
        <v>19</v>
      </c>
      <c r="E2126">
        <v>6</v>
      </c>
      <c r="F2126" s="3">
        <v>2813.0097000000001</v>
      </c>
      <c r="G2126" s="2">
        <v>0.58839694656488595</v>
      </c>
      <c r="H2126" s="3">
        <v>0</v>
      </c>
      <c r="I2126" s="1">
        <v>45832</v>
      </c>
      <c r="J2126" s="4" t="s">
        <v>7</v>
      </c>
      <c r="K2126" s="4" t="s">
        <v>40</v>
      </c>
      <c r="L2126" s="3">
        <v>-521.15</v>
      </c>
      <c r="M2126" s="4" t="s">
        <v>1255</v>
      </c>
      <c r="N2126" s="3">
        <v>16878.058199999999</v>
      </c>
    </row>
    <row r="2127" spans="1:14" x14ac:dyDescent="0.35">
      <c r="A2127">
        <v>3107</v>
      </c>
      <c r="B2127" s="4" t="s">
        <v>153</v>
      </c>
      <c r="C2127" s="4" t="s">
        <v>713</v>
      </c>
      <c r="D2127" s="4" t="s">
        <v>6</v>
      </c>
      <c r="E2127">
        <v>0</v>
      </c>
      <c r="F2127" s="3">
        <v>2068.64</v>
      </c>
      <c r="G2127" s="2">
        <v>0.58839694656488595</v>
      </c>
      <c r="H2127" s="3">
        <v>0</v>
      </c>
      <c r="I2127" s="1">
        <v>45832</v>
      </c>
      <c r="J2127" s="4" t="s">
        <v>11</v>
      </c>
      <c r="K2127" s="4" t="s">
        <v>8</v>
      </c>
      <c r="L2127" s="3">
        <v>2447.29</v>
      </c>
      <c r="M2127" s="4" t="s">
        <v>1255</v>
      </c>
      <c r="N2127" s="3">
        <v>0</v>
      </c>
    </row>
    <row r="2128" spans="1:14" hidden="1" x14ac:dyDescent="0.35">
      <c r="A2128">
        <v>3108</v>
      </c>
      <c r="B2128" s="4" t="s">
        <v>228</v>
      </c>
      <c r="C2128" s="4" t="s">
        <v>50</v>
      </c>
      <c r="D2128" s="4" t="s">
        <v>25</v>
      </c>
      <c r="E2128">
        <v>0</v>
      </c>
      <c r="F2128" s="3">
        <v>2813.0097000000001</v>
      </c>
      <c r="G2128" s="2">
        <v>0.58839694656488595</v>
      </c>
      <c r="H2128" s="3">
        <v>0</v>
      </c>
      <c r="I2128" s="1">
        <v>45847</v>
      </c>
      <c r="J2128" s="4" t="s">
        <v>11</v>
      </c>
      <c r="K2128" s="4" t="s">
        <v>40</v>
      </c>
      <c r="L2128" s="3">
        <v>-815.76</v>
      </c>
      <c r="M2128" s="4" t="s">
        <v>1255</v>
      </c>
      <c r="N2128" s="3">
        <v>0</v>
      </c>
    </row>
    <row r="2129" spans="1:14" hidden="1" x14ac:dyDescent="0.35">
      <c r="A2129">
        <v>3109</v>
      </c>
      <c r="B2129" s="4" t="s">
        <v>116</v>
      </c>
      <c r="C2129" s="4" t="s">
        <v>231</v>
      </c>
      <c r="D2129" s="4" t="s">
        <v>15</v>
      </c>
      <c r="E2129">
        <v>5</v>
      </c>
      <c r="F2129" s="3">
        <v>2816.8076000000001</v>
      </c>
      <c r="G2129" s="2">
        <v>0.35</v>
      </c>
      <c r="H2129" s="3">
        <v>0</v>
      </c>
      <c r="I2129" s="1">
        <v>45847</v>
      </c>
      <c r="J2129" s="4" t="s">
        <v>9</v>
      </c>
      <c r="K2129" s="4" t="s">
        <v>40</v>
      </c>
      <c r="L2129" s="3">
        <v>445.05</v>
      </c>
      <c r="M2129" s="4" t="s">
        <v>1255</v>
      </c>
      <c r="N2129" s="3">
        <v>14084.038</v>
      </c>
    </row>
    <row r="2130" spans="1:14" hidden="1" x14ac:dyDescent="0.35">
      <c r="A2130">
        <v>3110</v>
      </c>
      <c r="B2130" s="4" t="s">
        <v>145</v>
      </c>
      <c r="C2130" s="4" t="s">
        <v>774</v>
      </c>
      <c r="D2130" s="4" t="s">
        <v>16</v>
      </c>
      <c r="E2130">
        <v>0</v>
      </c>
      <c r="F2130" s="3">
        <v>4103.32</v>
      </c>
      <c r="G2130" s="2">
        <v>0.59023076923077</v>
      </c>
      <c r="H2130" s="3">
        <v>0</v>
      </c>
      <c r="I2130" s="1">
        <v>45709</v>
      </c>
      <c r="J2130" s="4" t="s">
        <v>7</v>
      </c>
      <c r="K2130" s="4" t="s">
        <v>40</v>
      </c>
      <c r="L2130" s="3">
        <v>-828.25</v>
      </c>
      <c r="M2130" s="4" t="s">
        <v>1255</v>
      </c>
      <c r="N2130" s="3">
        <v>0</v>
      </c>
    </row>
    <row r="2131" spans="1:14" x14ac:dyDescent="0.35">
      <c r="A2131">
        <v>3111</v>
      </c>
      <c r="B2131" s="4" t="s">
        <v>243</v>
      </c>
      <c r="C2131" s="4" t="s">
        <v>836</v>
      </c>
      <c r="D2131" s="4" t="s">
        <v>26</v>
      </c>
      <c r="E2131">
        <v>-1</v>
      </c>
      <c r="F2131" s="3">
        <v>839.87</v>
      </c>
      <c r="G2131" s="2">
        <v>0.59023076923077</v>
      </c>
      <c r="H2131" s="3">
        <v>0</v>
      </c>
      <c r="I2131" s="1">
        <v>45709</v>
      </c>
      <c r="J2131" s="4" t="s">
        <v>18</v>
      </c>
      <c r="K2131" s="4" t="s">
        <v>8</v>
      </c>
      <c r="L2131" s="3">
        <v>-286.10000000000002</v>
      </c>
      <c r="M2131" s="4" t="s">
        <v>1255</v>
      </c>
      <c r="N2131" s="3">
        <v>-839.87</v>
      </c>
    </row>
    <row r="2132" spans="1:14" x14ac:dyDescent="0.35">
      <c r="A2132">
        <v>3112</v>
      </c>
      <c r="B2132" s="4" t="s">
        <v>166</v>
      </c>
      <c r="C2132" s="4" t="s">
        <v>1185</v>
      </c>
      <c r="D2132" s="4" t="s">
        <v>13</v>
      </c>
      <c r="E2132">
        <v>0</v>
      </c>
      <c r="F2132" s="3">
        <v>3026.75</v>
      </c>
      <c r="G2132" s="2">
        <v>0.59023076923077</v>
      </c>
      <c r="H2132" s="3">
        <v>0</v>
      </c>
      <c r="I2132" s="1">
        <v>45532</v>
      </c>
      <c r="J2132" s="4" t="s">
        <v>7</v>
      </c>
      <c r="K2132" s="4" t="s">
        <v>12</v>
      </c>
      <c r="L2132" s="3">
        <v>-565.91999999999996</v>
      </c>
      <c r="M2132" s="4" t="s">
        <v>1255</v>
      </c>
      <c r="N2132" s="3">
        <v>0</v>
      </c>
    </row>
    <row r="2133" spans="1:14" x14ac:dyDescent="0.35">
      <c r="A2133">
        <v>3113</v>
      </c>
      <c r="B2133" s="4" t="s">
        <v>546</v>
      </c>
      <c r="C2133" s="4" t="s">
        <v>225</v>
      </c>
      <c r="D2133" s="4" t="s">
        <v>13</v>
      </c>
      <c r="E2133">
        <v>4</v>
      </c>
      <c r="F2133" s="3">
        <v>3256.86</v>
      </c>
      <c r="G2133" s="2">
        <v>0.77</v>
      </c>
      <c r="H2133" s="3">
        <v>2996.31</v>
      </c>
      <c r="I2133" s="1">
        <v>45548</v>
      </c>
      <c r="J2133" s="4" t="s">
        <v>18</v>
      </c>
      <c r="K2133" s="4" t="s">
        <v>12</v>
      </c>
      <c r="L2133" s="3">
        <v>-109.08</v>
      </c>
      <c r="M2133" s="4" t="s">
        <v>1256</v>
      </c>
      <c r="N2133" s="3">
        <v>13027.44</v>
      </c>
    </row>
    <row r="2134" spans="1:14" hidden="1" x14ac:dyDescent="0.35">
      <c r="A2134">
        <v>3114</v>
      </c>
      <c r="B2134" s="4" t="s">
        <v>212</v>
      </c>
      <c r="C2134" s="4" t="s">
        <v>323</v>
      </c>
      <c r="D2134" s="4" t="s">
        <v>6</v>
      </c>
      <c r="E2134">
        <v>2</v>
      </c>
      <c r="F2134" s="3">
        <v>4082.61</v>
      </c>
      <c r="G2134" s="2">
        <v>0.58883720930232597</v>
      </c>
      <c r="H2134" s="3">
        <v>0</v>
      </c>
      <c r="I2134" s="1">
        <v>45548</v>
      </c>
      <c r="J2134" s="4" t="s">
        <v>20</v>
      </c>
      <c r="K2134" s="4" t="s">
        <v>40</v>
      </c>
      <c r="L2134" s="3">
        <v>-454.61</v>
      </c>
      <c r="M2134" s="4" t="s">
        <v>1255</v>
      </c>
      <c r="N2134" s="3">
        <v>8165.22</v>
      </c>
    </row>
    <row r="2135" spans="1:14" hidden="1" x14ac:dyDescent="0.35">
      <c r="A2135">
        <v>3115</v>
      </c>
      <c r="B2135" s="4" t="s">
        <v>1186</v>
      </c>
      <c r="C2135" s="4" t="s">
        <v>329</v>
      </c>
      <c r="D2135" s="4" t="s">
        <v>35</v>
      </c>
      <c r="E2135">
        <v>0</v>
      </c>
      <c r="F2135" s="3">
        <v>2817.0180999999998</v>
      </c>
      <c r="G2135" s="2">
        <v>0.58883720930232597</v>
      </c>
      <c r="H2135" s="3">
        <v>0</v>
      </c>
      <c r="I2135" s="1">
        <v>45527</v>
      </c>
      <c r="J2135" s="4" t="s">
        <v>23</v>
      </c>
      <c r="K2135" s="4" t="s">
        <v>40</v>
      </c>
      <c r="L2135" s="3">
        <v>-546.69000000000005</v>
      </c>
      <c r="M2135" s="4" t="s">
        <v>1255</v>
      </c>
      <c r="N2135" s="3">
        <v>0</v>
      </c>
    </row>
    <row r="2136" spans="1:14" x14ac:dyDescent="0.35">
      <c r="A2136">
        <v>3116</v>
      </c>
      <c r="B2136" s="4" t="s">
        <v>1123</v>
      </c>
      <c r="C2136" s="4" t="s">
        <v>231</v>
      </c>
      <c r="D2136" s="4" t="s">
        <v>25</v>
      </c>
      <c r="E2136">
        <v>0</v>
      </c>
      <c r="F2136" s="3">
        <v>1237.1500000000001</v>
      </c>
      <c r="G2136" s="2">
        <v>0.58883720930232597</v>
      </c>
      <c r="H2136" s="3">
        <v>0</v>
      </c>
      <c r="I2136" s="1">
        <v>45740</v>
      </c>
      <c r="J2136" s="4" t="s">
        <v>18</v>
      </c>
      <c r="K2136" s="4" t="s">
        <v>12</v>
      </c>
      <c r="L2136" s="3">
        <v>1357.42</v>
      </c>
      <c r="M2136" s="4" t="s">
        <v>1255</v>
      </c>
      <c r="N2136" s="3">
        <v>0</v>
      </c>
    </row>
    <row r="2137" spans="1:14" x14ac:dyDescent="0.35">
      <c r="A2137">
        <v>3117</v>
      </c>
      <c r="B2137" s="4" t="s">
        <v>1027</v>
      </c>
      <c r="C2137" s="4" t="s">
        <v>253</v>
      </c>
      <c r="D2137" s="4" t="s">
        <v>30</v>
      </c>
      <c r="E2137">
        <v>4</v>
      </c>
      <c r="F2137" s="3">
        <v>2810.3919999999998</v>
      </c>
      <c r="G2137" s="2">
        <v>0.28999999999999998</v>
      </c>
      <c r="H2137" s="3">
        <v>0</v>
      </c>
      <c r="I2137" s="1">
        <v>45563</v>
      </c>
      <c r="J2137" s="4" t="s">
        <v>18</v>
      </c>
      <c r="K2137" s="4" t="s">
        <v>12</v>
      </c>
      <c r="L2137" s="3">
        <v>-706.51</v>
      </c>
      <c r="M2137" s="4" t="s">
        <v>1255</v>
      </c>
      <c r="N2137" s="3">
        <v>11241.567999999999</v>
      </c>
    </row>
    <row r="2138" spans="1:14" x14ac:dyDescent="0.35">
      <c r="A2138">
        <v>3118</v>
      </c>
      <c r="B2138" s="4" t="s">
        <v>292</v>
      </c>
      <c r="C2138" s="4" t="s">
        <v>503</v>
      </c>
      <c r="D2138" s="4" t="s">
        <v>10</v>
      </c>
      <c r="E2138">
        <v>0</v>
      </c>
      <c r="F2138" s="3">
        <v>948.06</v>
      </c>
      <c r="G2138" s="2">
        <v>0.6</v>
      </c>
      <c r="H2138" s="3">
        <v>0</v>
      </c>
      <c r="I2138" s="1">
        <v>45611</v>
      </c>
      <c r="J2138" s="4" t="s">
        <v>20</v>
      </c>
      <c r="K2138" s="4" t="s">
        <v>12</v>
      </c>
      <c r="L2138" s="3">
        <v>69.349999999999994</v>
      </c>
      <c r="M2138" s="4" t="s">
        <v>1255</v>
      </c>
      <c r="N2138" s="3">
        <v>0</v>
      </c>
    </row>
    <row r="2139" spans="1:14" x14ac:dyDescent="0.35">
      <c r="A2139">
        <v>3119</v>
      </c>
      <c r="B2139" s="4" t="s">
        <v>79</v>
      </c>
      <c r="C2139" s="4" t="s">
        <v>877</v>
      </c>
      <c r="D2139" s="4" t="s">
        <v>6</v>
      </c>
      <c r="E2139">
        <v>0</v>
      </c>
      <c r="F2139" s="3">
        <v>722.74</v>
      </c>
      <c r="G2139" s="2">
        <v>0.59110236220472401</v>
      </c>
      <c r="H2139" s="3">
        <v>0</v>
      </c>
      <c r="I2139" s="1">
        <v>45637</v>
      </c>
      <c r="J2139" s="4" t="s">
        <v>20</v>
      </c>
      <c r="K2139" s="4" t="s">
        <v>8</v>
      </c>
      <c r="L2139" s="3">
        <v>1610.64</v>
      </c>
      <c r="M2139" s="4" t="s">
        <v>1255</v>
      </c>
      <c r="N2139" s="3">
        <v>0</v>
      </c>
    </row>
    <row r="2140" spans="1:14" hidden="1" x14ac:dyDescent="0.35">
      <c r="A2140">
        <v>3120</v>
      </c>
      <c r="B2140" s="4" t="s">
        <v>164</v>
      </c>
      <c r="C2140" s="4" t="s">
        <v>836</v>
      </c>
      <c r="D2140" s="4" t="s">
        <v>19</v>
      </c>
      <c r="E2140">
        <v>0</v>
      </c>
      <c r="F2140" s="3">
        <v>824.59</v>
      </c>
      <c r="G2140" s="2">
        <v>0.13</v>
      </c>
      <c r="H2140" s="3">
        <v>0</v>
      </c>
      <c r="I2140" s="1">
        <v>45818</v>
      </c>
      <c r="J2140" s="4" t="s">
        <v>23</v>
      </c>
      <c r="K2140" s="4" t="s">
        <v>40</v>
      </c>
      <c r="L2140" s="3">
        <v>-276.22000000000003</v>
      </c>
      <c r="M2140" s="4" t="s">
        <v>1255</v>
      </c>
      <c r="N2140" s="3">
        <v>0</v>
      </c>
    </row>
    <row r="2141" spans="1:14" x14ac:dyDescent="0.35">
      <c r="A2141">
        <v>3121</v>
      </c>
      <c r="B2141" s="4" t="s">
        <v>581</v>
      </c>
      <c r="C2141" s="4" t="s">
        <v>604</v>
      </c>
      <c r="D2141" s="4" t="s">
        <v>27</v>
      </c>
      <c r="E2141">
        <v>0</v>
      </c>
      <c r="F2141" s="3">
        <v>1049.27</v>
      </c>
      <c r="G2141" s="2">
        <v>0.59476190476190505</v>
      </c>
      <c r="H2141" s="3">
        <v>0</v>
      </c>
      <c r="I2141" s="1">
        <v>45717</v>
      </c>
      <c r="J2141" s="4" t="s">
        <v>23</v>
      </c>
      <c r="K2141" s="4" t="s">
        <v>8</v>
      </c>
      <c r="L2141" s="3">
        <v>-648.45000000000005</v>
      </c>
      <c r="M2141" s="4" t="s">
        <v>1255</v>
      </c>
      <c r="N2141" s="3">
        <v>0</v>
      </c>
    </row>
    <row r="2142" spans="1:14" x14ac:dyDescent="0.35">
      <c r="A2142">
        <v>3122</v>
      </c>
      <c r="B2142" s="4" t="s">
        <v>134</v>
      </c>
      <c r="C2142" s="4" t="s">
        <v>1156</v>
      </c>
      <c r="D2142" s="4" t="s">
        <v>14</v>
      </c>
      <c r="E2142">
        <v>0</v>
      </c>
      <c r="F2142" s="3">
        <v>2850.5472</v>
      </c>
      <c r="G2142" s="2">
        <v>1.19</v>
      </c>
      <c r="H2142" s="3">
        <v>0</v>
      </c>
      <c r="I2142" s="1">
        <v>45649</v>
      </c>
      <c r="J2142" s="4" t="s">
        <v>20</v>
      </c>
      <c r="K2142" s="4" t="s">
        <v>8</v>
      </c>
      <c r="L2142" s="3">
        <v>551.79</v>
      </c>
      <c r="M2142" s="4" t="s">
        <v>1255</v>
      </c>
      <c r="N2142" s="3">
        <v>0</v>
      </c>
    </row>
    <row r="2143" spans="1:14" x14ac:dyDescent="0.35">
      <c r="A2143">
        <v>3123</v>
      </c>
      <c r="B2143" s="4" t="s">
        <v>466</v>
      </c>
      <c r="C2143" s="4" t="s">
        <v>741</v>
      </c>
      <c r="D2143" s="4" t="s">
        <v>27</v>
      </c>
      <c r="E2143">
        <v>5</v>
      </c>
      <c r="F2143" s="3">
        <v>2860.2314999999999</v>
      </c>
      <c r="G2143" s="2">
        <v>0.59</v>
      </c>
      <c r="H2143" s="3">
        <v>0</v>
      </c>
      <c r="I2143" s="1">
        <v>45722</v>
      </c>
      <c r="J2143" s="4" t="s">
        <v>23</v>
      </c>
      <c r="K2143" s="4" t="s">
        <v>8</v>
      </c>
      <c r="L2143" s="3">
        <v>1980.42</v>
      </c>
      <c r="M2143" s="4" t="s">
        <v>1255</v>
      </c>
      <c r="N2143" s="3">
        <v>14301.157499999999</v>
      </c>
    </row>
    <row r="2144" spans="1:14" x14ac:dyDescent="0.35">
      <c r="A2144">
        <v>3124</v>
      </c>
      <c r="B2144" s="4" t="s">
        <v>60</v>
      </c>
      <c r="C2144" s="4" t="s">
        <v>1112</v>
      </c>
      <c r="D2144" s="4" t="s">
        <v>15</v>
      </c>
      <c r="E2144">
        <v>0</v>
      </c>
      <c r="F2144" s="3">
        <v>2860.2314999999999</v>
      </c>
      <c r="G2144" s="2">
        <v>0.87</v>
      </c>
      <c r="H2144" s="3">
        <v>0</v>
      </c>
      <c r="I2144" s="1">
        <v>45155</v>
      </c>
      <c r="J2144" s="4" t="s">
        <v>20</v>
      </c>
      <c r="K2144" s="4" t="s">
        <v>12</v>
      </c>
      <c r="L2144" s="3">
        <v>-399.81</v>
      </c>
      <c r="M2144" s="4" t="s">
        <v>1255</v>
      </c>
      <c r="N2144" s="3">
        <v>0</v>
      </c>
    </row>
    <row r="2145" spans="1:14" x14ac:dyDescent="0.35">
      <c r="A2145">
        <v>3125</v>
      </c>
      <c r="B2145" s="4" t="s">
        <v>141</v>
      </c>
      <c r="C2145" s="4" t="s">
        <v>268</v>
      </c>
      <c r="D2145" s="4" t="s">
        <v>17</v>
      </c>
      <c r="E2145">
        <v>5</v>
      </c>
      <c r="F2145" s="3">
        <v>4264.79</v>
      </c>
      <c r="G2145" s="2">
        <v>0.58774193548387099</v>
      </c>
      <c r="H2145" s="3">
        <v>0</v>
      </c>
      <c r="I2145" s="1">
        <v>45568</v>
      </c>
      <c r="J2145" s="4" t="s">
        <v>9</v>
      </c>
      <c r="K2145" s="4" t="s">
        <v>8</v>
      </c>
      <c r="L2145" s="3">
        <v>2388.91</v>
      </c>
      <c r="M2145" s="4" t="s">
        <v>1255</v>
      </c>
      <c r="N2145" s="3">
        <v>21323.95</v>
      </c>
    </row>
    <row r="2146" spans="1:14" x14ac:dyDescent="0.35">
      <c r="A2146">
        <v>3126</v>
      </c>
      <c r="B2146" s="4" t="s">
        <v>1187</v>
      </c>
      <c r="C2146" s="4" t="s">
        <v>293</v>
      </c>
      <c r="D2146" s="4" t="s">
        <v>28</v>
      </c>
      <c r="E2146">
        <v>4</v>
      </c>
      <c r="F2146" s="3">
        <v>2860.2314999999999</v>
      </c>
      <c r="G2146" s="2">
        <v>0.58774193548387099</v>
      </c>
      <c r="H2146" s="3">
        <v>0</v>
      </c>
      <c r="I2146" s="1">
        <v>45609</v>
      </c>
      <c r="J2146" s="4" t="s">
        <v>11</v>
      </c>
      <c r="K2146" s="4" t="s">
        <v>12</v>
      </c>
      <c r="L2146" s="3">
        <v>2624.13</v>
      </c>
      <c r="M2146" s="4" t="s">
        <v>1255</v>
      </c>
      <c r="N2146" s="3">
        <v>11440.925999999999</v>
      </c>
    </row>
    <row r="2147" spans="1:14" x14ac:dyDescent="0.35">
      <c r="A2147">
        <v>3127</v>
      </c>
      <c r="B2147" s="4" t="s">
        <v>1144</v>
      </c>
      <c r="C2147" s="4" t="s">
        <v>980</v>
      </c>
      <c r="D2147" s="4" t="s">
        <v>29</v>
      </c>
      <c r="E2147">
        <v>0</v>
      </c>
      <c r="F2147" s="3">
        <v>491.77</v>
      </c>
      <c r="G2147" s="2">
        <v>0.9</v>
      </c>
      <c r="H2147" s="3">
        <v>0</v>
      </c>
      <c r="I2147" s="1">
        <v>45663</v>
      </c>
      <c r="J2147" s="4" t="s">
        <v>20</v>
      </c>
      <c r="K2147" s="4" t="s">
        <v>12</v>
      </c>
      <c r="L2147" s="3">
        <v>2069.0500000000002</v>
      </c>
      <c r="M2147" s="4" t="s">
        <v>1255</v>
      </c>
      <c r="N2147" s="3">
        <v>0</v>
      </c>
    </row>
    <row r="2148" spans="1:14" hidden="1" x14ac:dyDescent="0.35">
      <c r="A2148">
        <v>3128</v>
      </c>
      <c r="B2148" s="4" t="s">
        <v>69</v>
      </c>
      <c r="C2148" s="4" t="s">
        <v>293</v>
      </c>
      <c r="D2148" s="4" t="s">
        <v>17</v>
      </c>
      <c r="E2148">
        <v>0</v>
      </c>
      <c r="F2148" s="3">
        <v>3216.9</v>
      </c>
      <c r="G2148" s="2">
        <v>0.58520325203251999</v>
      </c>
      <c r="H2148" s="3">
        <v>0</v>
      </c>
      <c r="I2148" s="1">
        <v>45811</v>
      </c>
      <c r="J2148" s="4" t="s">
        <v>23</v>
      </c>
      <c r="K2148" s="4" t="s">
        <v>40</v>
      </c>
      <c r="L2148" s="3">
        <v>192.22</v>
      </c>
      <c r="M2148" s="4" t="s">
        <v>1255</v>
      </c>
      <c r="N2148" s="3">
        <v>0</v>
      </c>
    </row>
    <row r="2149" spans="1:14" x14ac:dyDescent="0.35">
      <c r="A2149">
        <v>3129</v>
      </c>
      <c r="B2149" s="4" t="s">
        <v>121</v>
      </c>
      <c r="C2149" s="4" t="s">
        <v>997</v>
      </c>
      <c r="D2149" s="4" t="s">
        <v>21</v>
      </c>
      <c r="E2149">
        <v>0</v>
      </c>
      <c r="F2149" s="3">
        <v>3201.09</v>
      </c>
      <c r="G2149" s="2">
        <v>0.58520325203251999</v>
      </c>
      <c r="H2149" s="3">
        <v>0</v>
      </c>
      <c r="I2149" s="1">
        <v>45801</v>
      </c>
      <c r="J2149" s="4" t="s">
        <v>20</v>
      </c>
      <c r="K2149" s="4" t="s">
        <v>8</v>
      </c>
      <c r="L2149" s="3">
        <v>2989.88</v>
      </c>
      <c r="M2149" s="4" t="s">
        <v>1255</v>
      </c>
      <c r="N2149" s="3">
        <v>0</v>
      </c>
    </row>
    <row r="2150" spans="1:14" x14ac:dyDescent="0.35">
      <c r="A2150">
        <v>3130</v>
      </c>
      <c r="B2150" s="4" t="s">
        <v>1103</v>
      </c>
      <c r="C2150" s="4" t="s">
        <v>757</v>
      </c>
      <c r="D2150" s="4" t="s">
        <v>17</v>
      </c>
      <c r="E2150">
        <v>0</v>
      </c>
      <c r="F2150" s="3">
        <v>3742.62</v>
      </c>
      <c r="G2150" s="2">
        <v>0.58520325203251999</v>
      </c>
      <c r="H2150" s="3">
        <v>0</v>
      </c>
      <c r="I2150" s="1">
        <v>45765</v>
      </c>
      <c r="J2150" s="4" t="s">
        <v>11</v>
      </c>
      <c r="K2150" s="4" t="s">
        <v>8</v>
      </c>
      <c r="L2150" s="3">
        <v>2886.26</v>
      </c>
      <c r="M2150" s="4" t="s">
        <v>1255</v>
      </c>
      <c r="N2150" s="3">
        <v>0</v>
      </c>
    </row>
    <row r="2151" spans="1:14" x14ac:dyDescent="0.35">
      <c r="A2151">
        <v>3131</v>
      </c>
      <c r="B2151" s="4" t="s">
        <v>282</v>
      </c>
      <c r="C2151" s="4" t="s">
        <v>104</v>
      </c>
      <c r="D2151" s="4" t="s">
        <v>14</v>
      </c>
      <c r="E2151">
        <v>0</v>
      </c>
      <c r="F2151" s="3">
        <v>4938.03</v>
      </c>
      <c r="G2151" s="2">
        <v>0.58520325203251999</v>
      </c>
      <c r="H2151" s="3">
        <v>0</v>
      </c>
      <c r="I2151" s="1">
        <v>45278</v>
      </c>
      <c r="J2151" s="4" t="s">
        <v>7</v>
      </c>
      <c r="K2151" s="4" t="s">
        <v>12</v>
      </c>
      <c r="L2151" s="3">
        <v>878.99</v>
      </c>
      <c r="M2151" s="4" t="s">
        <v>1255</v>
      </c>
      <c r="N2151" s="3">
        <v>0</v>
      </c>
    </row>
    <row r="2152" spans="1:14" x14ac:dyDescent="0.35">
      <c r="A2152">
        <v>3132</v>
      </c>
      <c r="B2152" s="4" t="s">
        <v>73</v>
      </c>
      <c r="C2152" s="4" t="s">
        <v>376</v>
      </c>
      <c r="D2152" s="4" t="s">
        <v>30</v>
      </c>
      <c r="E2152">
        <v>6</v>
      </c>
      <c r="F2152" s="3">
        <v>2940.45</v>
      </c>
      <c r="G2152" s="2">
        <v>0.58520325203251999</v>
      </c>
      <c r="H2152" s="3">
        <v>0</v>
      </c>
      <c r="I2152" s="1">
        <v>45278</v>
      </c>
      <c r="J2152" s="4" t="s">
        <v>23</v>
      </c>
      <c r="K2152" s="4" t="s">
        <v>8</v>
      </c>
      <c r="L2152" s="3">
        <v>-583.80999999999995</v>
      </c>
      <c r="M2152" s="4" t="s">
        <v>1255</v>
      </c>
      <c r="N2152" s="3">
        <v>17642.7</v>
      </c>
    </row>
    <row r="2153" spans="1:14" x14ac:dyDescent="0.35">
      <c r="A2153">
        <v>3133</v>
      </c>
      <c r="B2153" s="4" t="s">
        <v>153</v>
      </c>
      <c r="C2153" s="4" t="s">
        <v>881</v>
      </c>
      <c r="D2153" s="4" t="s">
        <v>30</v>
      </c>
      <c r="E2153">
        <v>1</v>
      </c>
      <c r="F2153" s="3">
        <v>974.54</v>
      </c>
      <c r="G2153" s="2">
        <v>0.44</v>
      </c>
      <c r="H2153" s="3">
        <v>545.74</v>
      </c>
      <c r="I2153" s="1">
        <v>45570</v>
      </c>
      <c r="J2153" s="4" t="s">
        <v>23</v>
      </c>
      <c r="K2153" s="4" t="s">
        <v>12</v>
      </c>
      <c r="L2153" s="3">
        <v>2655.22</v>
      </c>
      <c r="M2153" s="4" t="s">
        <v>1256</v>
      </c>
      <c r="N2153" s="3">
        <v>974.54</v>
      </c>
    </row>
    <row r="2154" spans="1:14" x14ac:dyDescent="0.35">
      <c r="A2154">
        <v>3134</v>
      </c>
      <c r="B2154" s="4" t="s">
        <v>83</v>
      </c>
      <c r="C2154" s="4" t="s">
        <v>1036</v>
      </c>
      <c r="D2154" s="4" t="s">
        <v>27</v>
      </c>
      <c r="E2154">
        <v>0</v>
      </c>
      <c r="F2154" s="3">
        <v>2844.7341000000001</v>
      </c>
      <c r="G2154" s="2">
        <v>0.53</v>
      </c>
      <c r="H2154" s="3">
        <v>0</v>
      </c>
      <c r="I2154" s="1">
        <v>45570</v>
      </c>
      <c r="J2154" s="4" t="s">
        <v>9</v>
      </c>
      <c r="K2154" s="4" t="s">
        <v>12</v>
      </c>
      <c r="L2154" s="3">
        <v>1130.74</v>
      </c>
      <c r="M2154" s="4" t="s">
        <v>1255</v>
      </c>
      <c r="N2154" s="3">
        <v>0</v>
      </c>
    </row>
    <row r="2155" spans="1:14" x14ac:dyDescent="0.35">
      <c r="A2155">
        <v>3135</v>
      </c>
      <c r="B2155" s="4" t="s">
        <v>71</v>
      </c>
      <c r="C2155" s="4" t="s">
        <v>997</v>
      </c>
      <c r="D2155" s="4" t="s">
        <v>10</v>
      </c>
      <c r="E2155">
        <v>1</v>
      </c>
      <c r="F2155" s="3">
        <v>2855.2408</v>
      </c>
      <c r="G2155" s="2">
        <v>0.67</v>
      </c>
      <c r="H2155" s="3">
        <v>0</v>
      </c>
      <c r="I2155" s="1">
        <v>45570</v>
      </c>
      <c r="J2155" s="4" t="s">
        <v>23</v>
      </c>
      <c r="K2155" s="4" t="s">
        <v>12</v>
      </c>
      <c r="L2155" s="3">
        <v>2619.5</v>
      </c>
      <c r="M2155" s="4" t="s">
        <v>1255</v>
      </c>
      <c r="N2155" s="3">
        <v>2855.2408</v>
      </c>
    </row>
    <row r="2156" spans="1:14" x14ac:dyDescent="0.35">
      <c r="A2156">
        <v>3136</v>
      </c>
      <c r="B2156" s="4" t="s">
        <v>559</v>
      </c>
      <c r="C2156" s="4" t="s">
        <v>345</v>
      </c>
      <c r="D2156" s="4" t="s">
        <v>28</v>
      </c>
      <c r="E2156">
        <v>0</v>
      </c>
      <c r="F2156" s="3">
        <v>3622.93</v>
      </c>
      <c r="G2156" s="2">
        <v>0.58616666666666695</v>
      </c>
      <c r="H2156" s="3">
        <v>0</v>
      </c>
      <c r="I2156" s="1">
        <v>45313</v>
      </c>
      <c r="J2156" s="4" t="s">
        <v>7</v>
      </c>
      <c r="K2156" s="4" t="s">
        <v>8</v>
      </c>
      <c r="L2156" s="3">
        <v>813.36</v>
      </c>
      <c r="M2156" s="4" t="s">
        <v>1255</v>
      </c>
      <c r="N2156" s="3">
        <v>0</v>
      </c>
    </row>
    <row r="2157" spans="1:14" hidden="1" x14ac:dyDescent="0.35">
      <c r="A2157">
        <v>3137</v>
      </c>
      <c r="B2157" s="4" t="s">
        <v>197</v>
      </c>
      <c r="C2157" s="4" t="s">
        <v>511</v>
      </c>
      <c r="D2157" s="4" t="s">
        <v>10</v>
      </c>
      <c r="E2157">
        <v>0</v>
      </c>
      <c r="F2157" s="3">
        <v>2855.2408</v>
      </c>
      <c r="G2157" s="2">
        <v>0.58616666666666695</v>
      </c>
      <c r="H2157" s="3">
        <v>0</v>
      </c>
      <c r="I2157" s="1">
        <v>45613</v>
      </c>
      <c r="J2157" s="4" t="s">
        <v>18</v>
      </c>
      <c r="K2157" s="4" t="s">
        <v>40</v>
      </c>
      <c r="L2157" s="3">
        <v>-122.35</v>
      </c>
      <c r="M2157" s="4" t="s">
        <v>1255</v>
      </c>
      <c r="N2157" s="3">
        <v>0</v>
      </c>
    </row>
    <row r="2158" spans="1:14" x14ac:dyDescent="0.35">
      <c r="A2158">
        <v>3138</v>
      </c>
      <c r="B2158" s="4" t="s">
        <v>544</v>
      </c>
      <c r="C2158" s="4" t="s">
        <v>1039</v>
      </c>
      <c r="D2158" s="4" t="s">
        <v>35</v>
      </c>
      <c r="E2158">
        <v>0</v>
      </c>
      <c r="F2158" s="3">
        <v>855.81</v>
      </c>
      <c r="G2158" s="2">
        <v>0.31</v>
      </c>
      <c r="H2158" s="3">
        <v>0</v>
      </c>
      <c r="I2158" s="1">
        <v>45842</v>
      </c>
      <c r="J2158" s="4" t="s">
        <v>7</v>
      </c>
      <c r="K2158" s="4" t="s">
        <v>8</v>
      </c>
      <c r="L2158" s="3">
        <v>1801</v>
      </c>
      <c r="M2158" s="4" t="s">
        <v>1255</v>
      </c>
      <c r="N2158" s="3">
        <v>0</v>
      </c>
    </row>
    <row r="2159" spans="1:14" x14ac:dyDescent="0.35">
      <c r="A2159">
        <v>3139</v>
      </c>
      <c r="B2159" s="4" t="s">
        <v>117</v>
      </c>
      <c r="C2159" s="4" t="s">
        <v>352</v>
      </c>
      <c r="D2159" s="4" t="s">
        <v>37</v>
      </c>
      <c r="E2159">
        <v>6</v>
      </c>
      <c r="F2159" s="3">
        <v>2850.9036000000001</v>
      </c>
      <c r="G2159" s="2">
        <v>0.58848739495798297</v>
      </c>
      <c r="H2159" s="3">
        <v>0</v>
      </c>
      <c r="I2159" s="1">
        <v>45842</v>
      </c>
      <c r="J2159" s="4" t="s">
        <v>23</v>
      </c>
      <c r="K2159" s="4" t="s">
        <v>12</v>
      </c>
      <c r="L2159" s="3">
        <v>563.12</v>
      </c>
      <c r="M2159" s="4" t="s">
        <v>1255</v>
      </c>
      <c r="N2159" s="3">
        <v>17105.421600000001</v>
      </c>
    </row>
    <row r="2160" spans="1:14" x14ac:dyDescent="0.35">
      <c r="A2160">
        <v>3140</v>
      </c>
      <c r="B2160" s="4" t="s">
        <v>1050</v>
      </c>
      <c r="C2160" s="4" t="s">
        <v>622</v>
      </c>
      <c r="D2160" s="4" t="s">
        <v>32</v>
      </c>
      <c r="E2160">
        <v>0</v>
      </c>
      <c r="F2160" s="3">
        <v>2862.2393999999999</v>
      </c>
      <c r="G2160" s="2">
        <v>0.58848739495798297</v>
      </c>
      <c r="H2160" s="3">
        <v>0</v>
      </c>
      <c r="I2160" s="1">
        <v>45842</v>
      </c>
      <c r="J2160" s="4" t="s">
        <v>9</v>
      </c>
      <c r="K2160" s="4" t="s">
        <v>12</v>
      </c>
      <c r="L2160" s="3">
        <v>2551.31</v>
      </c>
      <c r="M2160" s="4" t="s">
        <v>1255</v>
      </c>
      <c r="N2160" s="3">
        <v>0</v>
      </c>
    </row>
    <row r="2161" spans="1:14" x14ac:dyDescent="0.35">
      <c r="A2161">
        <v>3141</v>
      </c>
      <c r="B2161" s="4" t="s">
        <v>859</v>
      </c>
      <c r="C2161" s="4" t="s">
        <v>643</v>
      </c>
      <c r="D2161" s="4" t="s">
        <v>30</v>
      </c>
      <c r="E2161">
        <v>0</v>
      </c>
      <c r="F2161" s="3">
        <v>2862.2393999999999</v>
      </c>
      <c r="G2161" s="2">
        <v>0.58848739495798297</v>
      </c>
      <c r="H2161" s="3">
        <v>0</v>
      </c>
      <c r="I2161" s="1">
        <v>45430</v>
      </c>
      <c r="J2161" s="4" t="s">
        <v>11</v>
      </c>
      <c r="K2161" s="4" t="s">
        <v>8</v>
      </c>
      <c r="L2161" s="3">
        <v>2279.1799999999998</v>
      </c>
      <c r="M2161" s="4" t="s">
        <v>1255</v>
      </c>
      <c r="N2161" s="3">
        <v>0</v>
      </c>
    </row>
    <row r="2162" spans="1:14" x14ac:dyDescent="0.35">
      <c r="A2162">
        <v>3142</v>
      </c>
      <c r="B2162" s="4" t="s">
        <v>103</v>
      </c>
      <c r="C2162" s="4" t="s">
        <v>80</v>
      </c>
      <c r="D2162" s="4" t="s">
        <v>31</v>
      </c>
      <c r="E2162">
        <v>1</v>
      </c>
      <c r="F2162" s="3">
        <v>4887.3599999999997</v>
      </c>
      <c r="G2162" s="2">
        <v>0.58848739495798297</v>
      </c>
      <c r="H2162" s="3">
        <v>0</v>
      </c>
      <c r="I2162" s="1">
        <v>45594</v>
      </c>
      <c r="J2162" s="4" t="s">
        <v>23</v>
      </c>
      <c r="K2162" s="4" t="s">
        <v>12</v>
      </c>
      <c r="L2162" s="3">
        <v>-243.32</v>
      </c>
      <c r="M2162" s="4" t="s">
        <v>1255</v>
      </c>
      <c r="N2162" s="3">
        <v>4887.3599999999997</v>
      </c>
    </row>
    <row r="2163" spans="1:14" x14ac:dyDescent="0.35">
      <c r="A2163">
        <v>3143</v>
      </c>
      <c r="B2163" s="4" t="s">
        <v>278</v>
      </c>
      <c r="C2163" s="4" t="s">
        <v>446</v>
      </c>
      <c r="D2163" s="4" t="s">
        <v>37</v>
      </c>
      <c r="E2163">
        <v>0</v>
      </c>
      <c r="F2163" s="3">
        <v>2862.2393999999999</v>
      </c>
      <c r="G2163" s="2">
        <v>0.58848739495798297</v>
      </c>
      <c r="H2163" s="3">
        <v>0</v>
      </c>
      <c r="I2163" s="1">
        <v>45594</v>
      </c>
      <c r="J2163" s="4" t="s">
        <v>23</v>
      </c>
      <c r="K2163" s="4" t="s">
        <v>12</v>
      </c>
      <c r="L2163" s="3">
        <v>-525.49</v>
      </c>
      <c r="M2163" s="4" t="s">
        <v>1255</v>
      </c>
      <c r="N2163" s="3">
        <v>0</v>
      </c>
    </row>
    <row r="2164" spans="1:14" hidden="1" x14ac:dyDescent="0.35">
      <c r="A2164">
        <v>3144</v>
      </c>
      <c r="B2164" s="4" t="s">
        <v>328</v>
      </c>
      <c r="C2164" s="4" t="s">
        <v>1188</v>
      </c>
      <c r="D2164" s="4" t="s">
        <v>17</v>
      </c>
      <c r="E2164">
        <v>0</v>
      </c>
      <c r="F2164" s="3">
        <v>2664.43</v>
      </c>
      <c r="G2164" s="2">
        <v>0.58848739495798297</v>
      </c>
      <c r="H2164" s="3">
        <v>0</v>
      </c>
      <c r="I2164" s="1">
        <v>45774</v>
      </c>
      <c r="J2164" s="4" t="s">
        <v>23</v>
      </c>
      <c r="K2164" s="4" t="s">
        <v>40</v>
      </c>
      <c r="L2164" s="3">
        <v>1324.18</v>
      </c>
      <c r="M2164" s="4" t="s">
        <v>1255</v>
      </c>
      <c r="N2164" s="3">
        <v>0</v>
      </c>
    </row>
    <row r="2165" spans="1:14" x14ac:dyDescent="0.35">
      <c r="A2165">
        <v>3145</v>
      </c>
      <c r="B2165" s="4" t="s">
        <v>569</v>
      </c>
      <c r="C2165" s="4" t="s">
        <v>92</v>
      </c>
      <c r="D2165" s="4" t="s">
        <v>27</v>
      </c>
      <c r="E2165">
        <v>0</v>
      </c>
      <c r="F2165" s="3">
        <v>4414.97</v>
      </c>
      <c r="G2165" s="2">
        <v>0.58848739495798297</v>
      </c>
      <c r="H2165" s="3">
        <v>0</v>
      </c>
      <c r="I2165" s="1">
        <v>45774</v>
      </c>
      <c r="J2165" s="4" t="s">
        <v>23</v>
      </c>
      <c r="K2165" s="4" t="s">
        <v>12</v>
      </c>
      <c r="L2165" s="3">
        <v>2754.74</v>
      </c>
      <c r="M2165" s="4" t="s">
        <v>1255</v>
      </c>
      <c r="N2165" s="3">
        <v>0</v>
      </c>
    </row>
    <row r="2166" spans="1:14" x14ac:dyDescent="0.35">
      <c r="A2166">
        <v>3146</v>
      </c>
      <c r="B2166" s="4" t="s">
        <v>559</v>
      </c>
      <c r="C2166" s="4" t="s">
        <v>257</v>
      </c>
      <c r="D2166" s="4" t="s">
        <v>27</v>
      </c>
      <c r="E2166">
        <v>0</v>
      </c>
      <c r="F2166" s="3">
        <v>2851.7375999999999</v>
      </c>
      <c r="G2166" s="2">
        <v>0.58848739495798297</v>
      </c>
      <c r="H2166" s="3">
        <v>0</v>
      </c>
      <c r="I2166" s="1">
        <v>45774</v>
      </c>
      <c r="J2166" s="4" t="s">
        <v>23</v>
      </c>
      <c r="K2166" s="4" t="s">
        <v>12</v>
      </c>
      <c r="L2166" s="3">
        <v>146.19</v>
      </c>
      <c r="M2166" s="4" t="s">
        <v>1255</v>
      </c>
      <c r="N2166" s="3">
        <v>0</v>
      </c>
    </row>
    <row r="2167" spans="1:14" hidden="1" x14ac:dyDescent="0.35">
      <c r="A2167">
        <v>3147</v>
      </c>
      <c r="B2167" s="4" t="s">
        <v>79</v>
      </c>
      <c r="C2167" s="4" t="s">
        <v>61</v>
      </c>
      <c r="D2167" s="4" t="s">
        <v>17</v>
      </c>
      <c r="E2167">
        <v>0</v>
      </c>
      <c r="F2167" s="3">
        <v>2842.7015999999999</v>
      </c>
      <c r="G2167" s="2">
        <v>0.58848739495798297</v>
      </c>
      <c r="H2167" s="3">
        <v>0</v>
      </c>
      <c r="I2167" s="1">
        <v>45853</v>
      </c>
      <c r="J2167" s="4" t="s">
        <v>18</v>
      </c>
      <c r="K2167" s="4" t="s">
        <v>40</v>
      </c>
      <c r="L2167" s="3">
        <v>2987.89</v>
      </c>
      <c r="M2167" s="4" t="s">
        <v>1255</v>
      </c>
      <c r="N2167" s="3">
        <v>0</v>
      </c>
    </row>
    <row r="2168" spans="1:14" x14ac:dyDescent="0.35">
      <c r="A2168">
        <v>3148</v>
      </c>
      <c r="B2168" s="4" t="s">
        <v>646</v>
      </c>
      <c r="C2168" s="4" t="s">
        <v>1189</v>
      </c>
      <c r="D2168" s="4" t="s">
        <v>17</v>
      </c>
      <c r="E2168">
        <v>6</v>
      </c>
      <c r="F2168" s="3">
        <v>2842.7015999999999</v>
      </c>
      <c r="G2168" s="2">
        <v>0.5</v>
      </c>
      <c r="H2168" s="3">
        <v>0</v>
      </c>
      <c r="I2168" s="1">
        <v>45378</v>
      </c>
      <c r="J2168" s="4" t="s">
        <v>9</v>
      </c>
      <c r="K2168" s="4" t="s">
        <v>8</v>
      </c>
      <c r="L2168" s="3">
        <v>605.46</v>
      </c>
      <c r="M2168" s="4" t="s">
        <v>1255</v>
      </c>
      <c r="N2168" s="3">
        <v>17056.209599999998</v>
      </c>
    </row>
    <row r="2169" spans="1:14" x14ac:dyDescent="0.35">
      <c r="A2169">
        <v>3149</v>
      </c>
      <c r="B2169" s="4" t="s">
        <v>807</v>
      </c>
      <c r="C2169" s="4" t="s">
        <v>1190</v>
      </c>
      <c r="D2169" s="4" t="s">
        <v>13</v>
      </c>
      <c r="E2169">
        <v>5</v>
      </c>
      <c r="F2169" s="3">
        <v>2842.7015999999999</v>
      </c>
      <c r="G2169" s="2">
        <v>0.58923728813559295</v>
      </c>
      <c r="H2169" s="3">
        <v>0</v>
      </c>
      <c r="I2169" s="1">
        <v>45378</v>
      </c>
      <c r="J2169" s="4" t="s">
        <v>18</v>
      </c>
      <c r="K2169" s="4" t="s">
        <v>8</v>
      </c>
      <c r="L2169" s="3">
        <v>-681.76</v>
      </c>
      <c r="M2169" s="4" t="s">
        <v>1255</v>
      </c>
      <c r="N2169" s="3">
        <v>14213.508</v>
      </c>
    </row>
    <row r="2170" spans="1:14" hidden="1" x14ac:dyDescent="0.35">
      <c r="A2170">
        <v>3150</v>
      </c>
      <c r="B2170" s="4" t="s">
        <v>312</v>
      </c>
      <c r="C2170" s="4" t="s">
        <v>242</v>
      </c>
      <c r="D2170" s="4" t="s">
        <v>28</v>
      </c>
      <c r="E2170">
        <v>0</v>
      </c>
      <c r="F2170" s="3">
        <v>850.69</v>
      </c>
      <c r="G2170" s="2">
        <v>0.41</v>
      </c>
      <c r="H2170" s="3">
        <v>0</v>
      </c>
      <c r="I2170" s="1">
        <v>45545</v>
      </c>
      <c r="J2170" s="4" t="s">
        <v>18</v>
      </c>
      <c r="K2170" s="4" t="s">
        <v>40</v>
      </c>
      <c r="L2170" s="3">
        <v>2291.9299999999998</v>
      </c>
      <c r="M2170" s="4" t="s">
        <v>1255</v>
      </c>
      <c r="N2170" s="3">
        <v>0</v>
      </c>
    </row>
    <row r="2171" spans="1:14" x14ac:dyDescent="0.35">
      <c r="A2171">
        <v>3151</v>
      </c>
      <c r="B2171" s="4" t="s">
        <v>544</v>
      </c>
      <c r="C2171" s="4" t="s">
        <v>175</v>
      </c>
      <c r="D2171" s="4" t="s">
        <v>6</v>
      </c>
      <c r="E2171">
        <v>0</v>
      </c>
      <c r="F2171" s="3">
        <v>2842.7015999999999</v>
      </c>
      <c r="G2171" s="2">
        <v>0.19</v>
      </c>
      <c r="H2171" s="3">
        <v>0</v>
      </c>
      <c r="I2171" s="1">
        <v>45836</v>
      </c>
      <c r="J2171" s="4" t="s">
        <v>11</v>
      </c>
      <c r="K2171" s="4" t="s">
        <v>12</v>
      </c>
      <c r="L2171" s="3">
        <v>-858.13</v>
      </c>
      <c r="M2171" s="4" t="s">
        <v>1255</v>
      </c>
      <c r="N2171" s="3">
        <v>0</v>
      </c>
    </row>
    <row r="2172" spans="1:14" hidden="1" x14ac:dyDescent="0.35">
      <c r="A2172">
        <v>3152</v>
      </c>
      <c r="B2172" s="4" t="s">
        <v>827</v>
      </c>
      <c r="C2172" s="4" t="s">
        <v>683</v>
      </c>
      <c r="D2172" s="4" t="s">
        <v>28</v>
      </c>
      <c r="E2172">
        <v>-2</v>
      </c>
      <c r="F2172" s="3">
        <v>2116.65</v>
      </c>
      <c r="G2172" s="2">
        <v>0.21</v>
      </c>
      <c r="H2172" s="3">
        <v>-3344.31</v>
      </c>
      <c r="I2172" s="1">
        <v>45563</v>
      </c>
      <c r="J2172" s="4" t="s">
        <v>11</v>
      </c>
      <c r="K2172" s="4" t="s">
        <v>40</v>
      </c>
      <c r="L2172" s="3">
        <v>385.42</v>
      </c>
      <c r="M2172" s="4" t="s">
        <v>1255</v>
      </c>
      <c r="N2172" s="3">
        <v>-4233.3</v>
      </c>
    </row>
    <row r="2173" spans="1:14" x14ac:dyDescent="0.35">
      <c r="A2173">
        <v>3153</v>
      </c>
      <c r="B2173" s="4" t="s">
        <v>262</v>
      </c>
      <c r="C2173" s="4" t="s">
        <v>203</v>
      </c>
      <c r="D2173" s="4" t="s">
        <v>17</v>
      </c>
      <c r="E2173">
        <v>0</v>
      </c>
      <c r="F2173" s="3">
        <v>4723.0200000000004</v>
      </c>
      <c r="G2173" s="2">
        <v>0.52</v>
      </c>
      <c r="H2173" s="3">
        <v>0</v>
      </c>
      <c r="I2173" s="1">
        <v>45563</v>
      </c>
      <c r="J2173" s="4" t="s">
        <v>9</v>
      </c>
      <c r="K2173" s="4" t="s">
        <v>12</v>
      </c>
      <c r="L2173" s="3">
        <v>316.63</v>
      </c>
      <c r="M2173" s="4" t="s">
        <v>1255</v>
      </c>
      <c r="N2173" s="3">
        <v>0</v>
      </c>
    </row>
    <row r="2174" spans="1:14" x14ac:dyDescent="0.35">
      <c r="A2174">
        <v>3155</v>
      </c>
      <c r="B2174" s="4" t="s">
        <v>278</v>
      </c>
      <c r="C2174" s="4" t="s">
        <v>307</v>
      </c>
      <c r="D2174" s="4" t="s">
        <v>35</v>
      </c>
      <c r="E2174">
        <v>0</v>
      </c>
      <c r="F2174" s="3">
        <v>2847.6295</v>
      </c>
      <c r="G2174" s="2">
        <v>0.27</v>
      </c>
      <c r="H2174" s="3">
        <v>0</v>
      </c>
      <c r="I2174" s="1">
        <v>45501</v>
      </c>
      <c r="J2174" s="4" t="s">
        <v>11</v>
      </c>
      <c r="K2174" s="4" t="s">
        <v>8</v>
      </c>
      <c r="L2174" s="3">
        <v>2621.96</v>
      </c>
      <c r="M2174" s="4" t="s">
        <v>1255</v>
      </c>
      <c r="N2174" s="3">
        <v>0</v>
      </c>
    </row>
    <row r="2175" spans="1:14" x14ac:dyDescent="0.35">
      <c r="A2175">
        <v>3156</v>
      </c>
      <c r="B2175" s="4" t="s">
        <v>388</v>
      </c>
      <c r="C2175" s="4" t="s">
        <v>712</v>
      </c>
      <c r="D2175" s="4" t="s">
        <v>13</v>
      </c>
      <c r="E2175">
        <v>1</v>
      </c>
      <c r="F2175" s="3">
        <v>2845.8137999999999</v>
      </c>
      <c r="G2175" s="2">
        <v>0.52</v>
      </c>
      <c r="H2175" s="3">
        <v>0</v>
      </c>
      <c r="I2175" s="1">
        <v>45501</v>
      </c>
      <c r="J2175" s="4" t="s">
        <v>9</v>
      </c>
      <c r="K2175" s="4" t="s">
        <v>8</v>
      </c>
      <c r="L2175" s="3">
        <v>2568.9</v>
      </c>
      <c r="M2175" s="4" t="s">
        <v>1255</v>
      </c>
      <c r="N2175" s="3">
        <v>2845.8137999999999</v>
      </c>
    </row>
    <row r="2176" spans="1:14" x14ac:dyDescent="0.35">
      <c r="A2176">
        <v>3157</v>
      </c>
      <c r="B2176" s="4" t="s">
        <v>228</v>
      </c>
      <c r="C2176" s="4" t="s">
        <v>958</v>
      </c>
      <c r="D2176" s="4" t="s">
        <v>35</v>
      </c>
      <c r="E2176">
        <v>6</v>
      </c>
      <c r="F2176" s="3">
        <v>1768.88</v>
      </c>
      <c r="G2176" s="2">
        <v>0.60187500000000005</v>
      </c>
      <c r="H2176" s="3">
        <v>0</v>
      </c>
      <c r="I2176" s="1">
        <v>45310</v>
      </c>
      <c r="J2176" s="4" t="s">
        <v>20</v>
      </c>
      <c r="K2176" s="4" t="s">
        <v>12</v>
      </c>
      <c r="L2176" s="3">
        <v>-750.14</v>
      </c>
      <c r="M2176" s="4" t="s">
        <v>1255</v>
      </c>
      <c r="N2176" s="3">
        <v>10613.28</v>
      </c>
    </row>
    <row r="2177" spans="1:14" hidden="1" x14ac:dyDescent="0.35">
      <c r="A2177">
        <v>3158</v>
      </c>
      <c r="B2177" s="4" t="s">
        <v>1031</v>
      </c>
      <c r="C2177" s="4" t="s">
        <v>140</v>
      </c>
      <c r="D2177" s="4" t="s">
        <v>29</v>
      </c>
      <c r="E2177">
        <v>0</v>
      </c>
      <c r="F2177" s="3">
        <v>2845.8137999999999</v>
      </c>
      <c r="G2177" s="2">
        <v>0.60187500000000005</v>
      </c>
      <c r="H2177" s="3">
        <v>0</v>
      </c>
      <c r="I2177" s="1">
        <v>45500</v>
      </c>
      <c r="J2177" s="4" t="s">
        <v>20</v>
      </c>
      <c r="K2177" s="4" t="s">
        <v>40</v>
      </c>
      <c r="L2177" s="3">
        <v>-274.08999999999997</v>
      </c>
      <c r="M2177" s="4" t="s">
        <v>1255</v>
      </c>
      <c r="N2177" s="3">
        <v>0</v>
      </c>
    </row>
    <row r="2178" spans="1:14" x14ac:dyDescent="0.35">
      <c r="A2178">
        <v>3159</v>
      </c>
      <c r="B2178" s="4" t="s">
        <v>398</v>
      </c>
      <c r="C2178" s="4" t="s">
        <v>82</v>
      </c>
      <c r="D2178" s="4" t="s">
        <v>28</v>
      </c>
      <c r="E2178">
        <v>0</v>
      </c>
      <c r="F2178" s="3">
        <v>2852.2240999999999</v>
      </c>
      <c r="G2178" s="2">
        <v>0.60187500000000005</v>
      </c>
      <c r="H2178" s="3">
        <v>0</v>
      </c>
      <c r="I2178" s="1">
        <v>45728</v>
      </c>
      <c r="J2178" s="4" t="s">
        <v>7</v>
      </c>
      <c r="K2178" s="4" t="s">
        <v>12</v>
      </c>
      <c r="L2178" s="3">
        <v>1668.66</v>
      </c>
      <c r="M2178" s="4" t="s">
        <v>1255</v>
      </c>
      <c r="N2178" s="3">
        <v>0</v>
      </c>
    </row>
    <row r="2179" spans="1:14" x14ac:dyDescent="0.35">
      <c r="A2179">
        <v>3160</v>
      </c>
      <c r="B2179" s="4" t="s">
        <v>672</v>
      </c>
      <c r="C2179" s="4" t="s">
        <v>192</v>
      </c>
      <c r="D2179" s="4" t="s">
        <v>32</v>
      </c>
      <c r="E2179">
        <v>6</v>
      </c>
      <c r="F2179" s="3">
        <v>4976.8100000000004</v>
      </c>
      <c r="G2179" s="2">
        <v>0.60187500000000005</v>
      </c>
      <c r="H2179" s="3">
        <v>0</v>
      </c>
      <c r="I2179" s="1">
        <v>45794</v>
      </c>
      <c r="J2179" s="4" t="s">
        <v>9</v>
      </c>
      <c r="K2179" s="4" t="s">
        <v>8</v>
      </c>
      <c r="L2179" s="3">
        <v>845.06</v>
      </c>
      <c r="M2179" s="4" t="s">
        <v>1255</v>
      </c>
      <c r="N2179" s="3">
        <v>29860.86</v>
      </c>
    </row>
    <row r="2180" spans="1:14" x14ac:dyDescent="0.35">
      <c r="A2180">
        <v>3161</v>
      </c>
      <c r="B2180" s="4" t="s">
        <v>745</v>
      </c>
      <c r="C2180" s="4" t="s">
        <v>88</v>
      </c>
      <c r="D2180" s="4" t="s">
        <v>14</v>
      </c>
      <c r="E2180">
        <v>0</v>
      </c>
      <c r="F2180" s="3">
        <v>2852.2240999999999</v>
      </c>
      <c r="G2180" s="2">
        <v>0.60187500000000005</v>
      </c>
      <c r="H2180" s="3">
        <v>0</v>
      </c>
      <c r="I2180" s="1">
        <v>45422</v>
      </c>
      <c r="J2180" s="4" t="s">
        <v>11</v>
      </c>
      <c r="K2180" s="4" t="s">
        <v>8</v>
      </c>
      <c r="L2180" s="3">
        <v>1399.1</v>
      </c>
      <c r="M2180" s="4" t="s">
        <v>1255</v>
      </c>
      <c r="N2180" s="3">
        <v>0</v>
      </c>
    </row>
    <row r="2181" spans="1:14" hidden="1" x14ac:dyDescent="0.35">
      <c r="A2181">
        <v>3162</v>
      </c>
      <c r="B2181" s="4" t="s">
        <v>388</v>
      </c>
      <c r="C2181" s="4" t="s">
        <v>349</v>
      </c>
      <c r="D2181" s="4" t="s">
        <v>19</v>
      </c>
      <c r="E2181">
        <v>0</v>
      </c>
      <c r="F2181" s="3">
        <v>2839.502</v>
      </c>
      <c r="G2181" s="2">
        <v>0.60187500000000005</v>
      </c>
      <c r="H2181" s="3">
        <v>0</v>
      </c>
      <c r="I2181" s="1">
        <v>45655</v>
      </c>
      <c r="J2181" s="4" t="s">
        <v>18</v>
      </c>
      <c r="K2181" s="4" t="s">
        <v>40</v>
      </c>
      <c r="L2181" s="3">
        <v>344.06</v>
      </c>
      <c r="M2181" s="4" t="s">
        <v>1255</v>
      </c>
      <c r="N2181" s="3">
        <v>0</v>
      </c>
    </row>
    <row r="2182" spans="1:14" x14ac:dyDescent="0.35">
      <c r="A2182">
        <v>3163</v>
      </c>
      <c r="B2182" s="4" t="s">
        <v>264</v>
      </c>
      <c r="C2182" s="4" t="s">
        <v>891</v>
      </c>
      <c r="D2182" s="4" t="s">
        <v>32</v>
      </c>
      <c r="E2182">
        <v>0</v>
      </c>
      <c r="F2182" s="3">
        <v>2839.502</v>
      </c>
      <c r="G2182" s="2">
        <v>0.60187500000000005</v>
      </c>
      <c r="H2182" s="3">
        <v>0</v>
      </c>
      <c r="I2182" s="1">
        <v>45816</v>
      </c>
      <c r="J2182" s="4" t="s">
        <v>9</v>
      </c>
      <c r="K2182" s="4" t="s">
        <v>8</v>
      </c>
      <c r="L2182" s="3">
        <v>-13.76</v>
      </c>
      <c r="M2182" s="4" t="s">
        <v>1255</v>
      </c>
      <c r="N2182" s="3">
        <v>0</v>
      </c>
    </row>
    <row r="2183" spans="1:14" x14ac:dyDescent="0.35">
      <c r="A2183">
        <v>3164</v>
      </c>
      <c r="B2183" s="4" t="s">
        <v>264</v>
      </c>
      <c r="C2183" s="4" t="s">
        <v>409</v>
      </c>
      <c r="D2183" s="4" t="s">
        <v>27</v>
      </c>
      <c r="E2183">
        <v>3</v>
      </c>
      <c r="F2183" s="3">
        <v>2839.502</v>
      </c>
      <c r="G2183" s="2">
        <v>0.09</v>
      </c>
      <c r="H2183" s="3">
        <v>0</v>
      </c>
      <c r="I2183" s="1">
        <v>45749</v>
      </c>
      <c r="J2183" s="4" t="s">
        <v>18</v>
      </c>
      <c r="K2183" s="4" t="s">
        <v>8</v>
      </c>
      <c r="L2183" s="3">
        <v>-750.61</v>
      </c>
      <c r="M2183" s="4" t="s">
        <v>1255</v>
      </c>
      <c r="N2183" s="3">
        <v>8518.5059999999994</v>
      </c>
    </row>
    <row r="2184" spans="1:14" x14ac:dyDescent="0.35">
      <c r="A2184">
        <v>3165</v>
      </c>
      <c r="B2184" s="4" t="s">
        <v>517</v>
      </c>
      <c r="C2184" s="4" t="s">
        <v>1191</v>
      </c>
      <c r="D2184" s="4" t="s">
        <v>31</v>
      </c>
      <c r="E2184">
        <v>0</v>
      </c>
      <c r="F2184" s="3">
        <v>2994.31</v>
      </c>
      <c r="G2184" s="2">
        <v>0.60648648648648695</v>
      </c>
      <c r="H2184" s="3">
        <v>0</v>
      </c>
      <c r="I2184" s="1">
        <v>45749</v>
      </c>
      <c r="J2184" s="4" t="s">
        <v>18</v>
      </c>
      <c r="K2184" s="4" t="s">
        <v>8</v>
      </c>
      <c r="L2184" s="3">
        <v>-990.57</v>
      </c>
      <c r="M2184" s="4" t="s">
        <v>1255</v>
      </c>
      <c r="N2184" s="3">
        <v>0</v>
      </c>
    </row>
    <row r="2185" spans="1:14" x14ac:dyDescent="0.35">
      <c r="A2185">
        <v>3166</v>
      </c>
      <c r="B2185" s="4" t="s">
        <v>132</v>
      </c>
      <c r="C2185" s="4" t="s">
        <v>169</v>
      </c>
      <c r="D2185" s="4" t="s">
        <v>31</v>
      </c>
      <c r="E2185">
        <v>-2</v>
      </c>
      <c r="F2185" s="3">
        <v>2839.502</v>
      </c>
      <c r="G2185" s="2">
        <v>0.60648648648648695</v>
      </c>
      <c r="H2185" s="3">
        <v>0</v>
      </c>
      <c r="I2185" s="1">
        <v>45674</v>
      </c>
      <c r="J2185" s="4" t="s">
        <v>20</v>
      </c>
      <c r="K2185" s="4" t="s">
        <v>12</v>
      </c>
      <c r="L2185" s="3">
        <v>1384.25</v>
      </c>
      <c r="M2185" s="4" t="s">
        <v>1255</v>
      </c>
      <c r="N2185" s="3">
        <v>-5679.0039999999999</v>
      </c>
    </row>
    <row r="2186" spans="1:14" x14ac:dyDescent="0.35">
      <c r="A2186">
        <v>3167</v>
      </c>
      <c r="B2186" s="4" t="s">
        <v>172</v>
      </c>
      <c r="C2186" s="4" t="s">
        <v>720</v>
      </c>
      <c r="D2186" s="4" t="s">
        <v>32</v>
      </c>
      <c r="E2186">
        <v>0</v>
      </c>
      <c r="F2186" s="3">
        <v>2838.5695000000001</v>
      </c>
      <c r="G2186" s="2">
        <v>0.60648648648648695</v>
      </c>
      <c r="H2186" s="3">
        <v>0</v>
      </c>
      <c r="I2186" s="1">
        <v>45558</v>
      </c>
      <c r="J2186" s="4" t="s">
        <v>11</v>
      </c>
      <c r="K2186" s="4" t="s">
        <v>12</v>
      </c>
      <c r="L2186" s="3">
        <v>1078.74</v>
      </c>
      <c r="M2186" s="4" t="s">
        <v>1255</v>
      </c>
      <c r="N2186" s="3">
        <v>0</v>
      </c>
    </row>
    <row r="2187" spans="1:14" x14ac:dyDescent="0.35">
      <c r="A2187">
        <v>3168</v>
      </c>
      <c r="B2187" s="4" t="s">
        <v>172</v>
      </c>
      <c r="C2187" s="4" t="s">
        <v>429</v>
      </c>
      <c r="D2187" s="4" t="s">
        <v>32</v>
      </c>
      <c r="E2187">
        <v>-1</v>
      </c>
      <c r="F2187" s="3">
        <v>1845.75</v>
      </c>
      <c r="G2187" s="2">
        <v>0.60648648648648695</v>
      </c>
      <c r="H2187" s="3">
        <v>0</v>
      </c>
      <c r="I2187" s="1">
        <v>45814</v>
      </c>
      <c r="J2187" s="4" t="s">
        <v>18</v>
      </c>
      <c r="K2187" s="4" t="s">
        <v>12</v>
      </c>
      <c r="L2187" s="3">
        <v>268.45</v>
      </c>
      <c r="M2187" s="4" t="s">
        <v>1255</v>
      </c>
      <c r="N2187" s="3">
        <v>-1845.75</v>
      </c>
    </row>
    <row r="2188" spans="1:14" x14ac:dyDescent="0.35">
      <c r="A2188">
        <v>3169</v>
      </c>
      <c r="B2188" s="4" t="s">
        <v>122</v>
      </c>
      <c r="C2188" s="4" t="s">
        <v>595</v>
      </c>
      <c r="D2188" s="4" t="s">
        <v>10</v>
      </c>
      <c r="E2188">
        <v>-2</v>
      </c>
      <c r="F2188" s="3">
        <v>2838.5695000000001</v>
      </c>
      <c r="G2188" s="2">
        <v>0.60648648648648695</v>
      </c>
      <c r="H2188" s="3">
        <v>0</v>
      </c>
      <c r="I2188" s="1">
        <v>45380</v>
      </c>
      <c r="J2188" s="4" t="s">
        <v>23</v>
      </c>
      <c r="K2188" s="4" t="s">
        <v>8</v>
      </c>
      <c r="L2188" s="3">
        <v>796.19</v>
      </c>
      <c r="M2188" s="4" t="s">
        <v>1255</v>
      </c>
      <c r="N2188" s="3">
        <v>-5677.1390000000001</v>
      </c>
    </row>
    <row r="2189" spans="1:14" x14ac:dyDescent="0.35">
      <c r="A2189">
        <v>3170</v>
      </c>
      <c r="B2189" s="4" t="s">
        <v>183</v>
      </c>
      <c r="C2189" s="4" t="s">
        <v>1192</v>
      </c>
      <c r="D2189" s="4" t="s">
        <v>30</v>
      </c>
      <c r="E2189">
        <v>2</v>
      </c>
      <c r="F2189" s="3">
        <v>2229.77</v>
      </c>
      <c r="G2189" s="2">
        <v>0.60648648648648695</v>
      </c>
      <c r="H2189" s="3">
        <v>0</v>
      </c>
      <c r="I2189" s="1">
        <v>45380</v>
      </c>
      <c r="J2189" s="4" t="s">
        <v>9</v>
      </c>
      <c r="K2189" s="4" t="s">
        <v>8</v>
      </c>
      <c r="L2189" s="3">
        <v>2733.99</v>
      </c>
      <c r="M2189" s="4" t="s">
        <v>1255</v>
      </c>
      <c r="N2189" s="3">
        <v>4459.54</v>
      </c>
    </row>
    <row r="2190" spans="1:14" x14ac:dyDescent="0.35">
      <c r="A2190">
        <v>3171</v>
      </c>
      <c r="B2190" s="4" t="s">
        <v>167</v>
      </c>
      <c r="C2190" s="4" t="s">
        <v>453</v>
      </c>
      <c r="D2190" s="4" t="s">
        <v>26</v>
      </c>
      <c r="E2190">
        <v>0</v>
      </c>
      <c r="F2190" s="3">
        <v>3618.17</v>
      </c>
      <c r="G2190" s="2">
        <v>0.60648648648648695</v>
      </c>
      <c r="H2190" s="3">
        <v>0</v>
      </c>
      <c r="I2190" s="1">
        <v>45816</v>
      </c>
      <c r="J2190" s="4" t="s">
        <v>9</v>
      </c>
      <c r="K2190" s="4" t="s">
        <v>12</v>
      </c>
      <c r="L2190" s="3">
        <v>726.81</v>
      </c>
      <c r="M2190" s="4" t="s">
        <v>1255</v>
      </c>
      <c r="N2190" s="3">
        <v>0</v>
      </c>
    </row>
    <row r="2191" spans="1:14" hidden="1" x14ac:dyDescent="0.35">
      <c r="A2191">
        <v>3172</v>
      </c>
      <c r="B2191" s="4" t="s">
        <v>224</v>
      </c>
      <c r="C2191" s="4" t="s">
        <v>261</v>
      </c>
      <c r="D2191" s="4" t="s">
        <v>22</v>
      </c>
      <c r="E2191">
        <v>3</v>
      </c>
      <c r="F2191" s="3">
        <v>4433.3500000000004</v>
      </c>
      <c r="G2191" s="2">
        <v>0.60648648648648695</v>
      </c>
      <c r="H2191" s="3">
        <v>0</v>
      </c>
      <c r="I2191" s="1">
        <v>45624</v>
      </c>
      <c r="J2191" s="4" t="s">
        <v>20</v>
      </c>
      <c r="K2191" s="4" t="s">
        <v>40</v>
      </c>
      <c r="L2191" s="3">
        <v>329.75</v>
      </c>
      <c r="M2191" s="4" t="s">
        <v>1255</v>
      </c>
      <c r="N2191" s="3">
        <v>13300.05</v>
      </c>
    </row>
    <row r="2192" spans="1:14" hidden="1" x14ac:dyDescent="0.35">
      <c r="A2192">
        <v>3174</v>
      </c>
      <c r="B2192" s="4" t="s">
        <v>1117</v>
      </c>
      <c r="C2192" s="4" t="s">
        <v>454</v>
      </c>
      <c r="D2192" s="4" t="s">
        <v>10</v>
      </c>
      <c r="E2192">
        <v>4</v>
      </c>
      <c r="F2192" s="3">
        <v>4345.79</v>
      </c>
      <c r="G2192" s="2">
        <v>1.1399999999999999</v>
      </c>
      <c r="H2192" s="3">
        <v>-2433.64</v>
      </c>
      <c r="I2192" s="1">
        <v>45705</v>
      </c>
      <c r="J2192" s="4" t="s">
        <v>20</v>
      </c>
      <c r="K2192" s="4" t="s">
        <v>40</v>
      </c>
      <c r="L2192" s="3">
        <v>2747.47</v>
      </c>
      <c r="M2192" s="4" t="s">
        <v>1255</v>
      </c>
      <c r="N2192" s="3">
        <v>17383.16</v>
      </c>
    </row>
    <row r="2193" spans="1:14" x14ac:dyDescent="0.35">
      <c r="A2193">
        <v>3175</v>
      </c>
      <c r="B2193" s="4" t="s">
        <v>213</v>
      </c>
      <c r="C2193" s="4" t="s">
        <v>329</v>
      </c>
      <c r="D2193" s="4" t="s">
        <v>21</v>
      </c>
      <c r="E2193">
        <v>3</v>
      </c>
      <c r="F2193" s="3">
        <v>2937.09</v>
      </c>
      <c r="G2193" s="2">
        <v>0.60163636363636397</v>
      </c>
      <c r="H2193" s="3">
        <v>0</v>
      </c>
      <c r="I2193" s="1">
        <v>45378</v>
      </c>
      <c r="J2193" s="4" t="s">
        <v>20</v>
      </c>
      <c r="K2193" s="4" t="s">
        <v>8</v>
      </c>
      <c r="L2193" s="3">
        <v>2471.63</v>
      </c>
      <c r="M2193" s="4" t="s">
        <v>1255</v>
      </c>
      <c r="N2193" s="3">
        <v>8811.27</v>
      </c>
    </row>
    <row r="2194" spans="1:14" x14ac:dyDescent="0.35">
      <c r="A2194">
        <v>3176</v>
      </c>
      <c r="B2194" s="4" t="s">
        <v>445</v>
      </c>
      <c r="C2194" s="4" t="s">
        <v>149</v>
      </c>
      <c r="D2194" s="4" t="s">
        <v>25</v>
      </c>
      <c r="E2194">
        <v>0</v>
      </c>
      <c r="F2194" s="3">
        <v>4473.84</v>
      </c>
      <c r="G2194" s="2">
        <v>0.3</v>
      </c>
      <c r="H2194" s="3">
        <v>0</v>
      </c>
      <c r="I2194" s="1">
        <v>45515</v>
      </c>
      <c r="J2194" s="4" t="s">
        <v>20</v>
      </c>
      <c r="K2194" s="4" t="s">
        <v>12</v>
      </c>
      <c r="L2194" s="3">
        <v>2874.33</v>
      </c>
      <c r="M2194" s="4" t="s">
        <v>1255</v>
      </c>
      <c r="N2194" s="3">
        <v>0</v>
      </c>
    </row>
    <row r="2195" spans="1:14" x14ac:dyDescent="0.35">
      <c r="A2195">
        <v>3177</v>
      </c>
      <c r="B2195" s="4" t="s">
        <v>359</v>
      </c>
      <c r="C2195" s="4" t="s">
        <v>810</v>
      </c>
      <c r="D2195" s="4" t="s">
        <v>6</v>
      </c>
      <c r="E2195">
        <v>-1</v>
      </c>
      <c r="F2195" s="3">
        <v>2833.8782000000001</v>
      </c>
      <c r="G2195" s="2">
        <v>0.604403669724771</v>
      </c>
      <c r="H2195" s="3">
        <v>0</v>
      </c>
      <c r="I2195" s="1">
        <v>45697</v>
      </c>
      <c r="J2195" s="4" t="s">
        <v>9</v>
      </c>
      <c r="K2195" s="4" t="s">
        <v>8</v>
      </c>
      <c r="L2195" s="3">
        <v>2693.49</v>
      </c>
      <c r="M2195" s="4" t="s">
        <v>1255</v>
      </c>
      <c r="N2195" s="3">
        <v>-2833.8782000000001</v>
      </c>
    </row>
    <row r="2196" spans="1:14" x14ac:dyDescent="0.35">
      <c r="A2196">
        <v>3178</v>
      </c>
      <c r="B2196" s="4" t="s">
        <v>510</v>
      </c>
      <c r="C2196" s="4" t="s">
        <v>545</v>
      </c>
      <c r="D2196" s="4" t="s">
        <v>30</v>
      </c>
      <c r="E2196">
        <v>0</v>
      </c>
      <c r="F2196" s="3">
        <v>2823.4987000000001</v>
      </c>
      <c r="G2196" s="2">
        <v>0.66</v>
      </c>
      <c r="H2196" s="3">
        <v>0</v>
      </c>
      <c r="I2196" s="1">
        <v>45697</v>
      </c>
      <c r="J2196" s="4" t="s">
        <v>23</v>
      </c>
      <c r="K2196" s="4" t="s">
        <v>8</v>
      </c>
      <c r="L2196" s="3">
        <v>-174.17</v>
      </c>
      <c r="M2196" s="4" t="s">
        <v>1255</v>
      </c>
      <c r="N2196" s="3">
        <v>0</v>
      </c>
    </row>
    <row r="2197" spans="1:14" x14ac:dyDescent="0.35">
      <c r="A2197">
        <v>3179</v>
      </c>
      <c r="B2197" s="4" t="s">
        <v>65</v>
      </c>
      <c r="C2197" s="4" t="s">
        <v>242</v>
      </c>
      <c r="D2197" s="4" t="s">
        <v>10</v>
      </c>
      <c r="E2197">
        <v>1</v>
      </c>
      <c r="F2197" s="3">
        <v>2057.88</v>
      </c>
      <c r="G2197" s="2">
        <v>0.60388888888888903</v>
      </c>
      <c r="H2197" s="3">
        <v>0</v>
      </c>
      <c r="I2197" s="1">
        <v>45588</v>
      </c>
      <c r="J2197" s="4" t="s">
        <v>9</v>
      </c>
      <c r="K2197" s="4" t="s">
        <v>8</v>
      </c>
      <c r="L2197" s="3">
        <v>932.33</v>
      </c>
      <c r="M2197" s="4" t="s">
        <v>1255</v>
      </c>
      <c r="N2197" s="3">
        <v>2057.88</v>
      </c>
    </row>
    <row r="2198" spans="1:14" hidden="1" x14ac:dyDescent="0.35">
      <c r="A2198">
        <v>3180</v>
      </c>
      <c r="B2198" s="4" t="s">
        <v>185</v>
      </c>
      <c r="C2198" s="4" t="s">
        <v>377</v>
      </c>
      <c r="D2198" s="4" t="s">
        <v>29</v>
      </c>
      <c r="E2198">
        <v>5</v>
      </c>
      <c r="F2198" s="3">
        <v>1981.32</v>
      </c>
      <c r="G2198" s="2">
        <v>0.60388888888888903</v>
      </c>
      <c r="H2198" s="3">
        <v>0</v>
      </c>
      <c r="I2198" s="1">
        <v>45519</v>
      </c>
      <c r="J2198" s="4" t="s">
        <v>18</v>
      </c>
      <c r="K2198" s="4" t="s">
        <v>40</v>
      </c>
      <c r="L2198" s="3">
        <v>1113.19</v>
      </c>
      <c r="M2198" s="4" t="s">
        <v>1255</v>
      </c>
      <c r="N2198" s="3">
        <v>9906.6</v>
      </c>
    </row>
    <row r="2199" spans="1:14" hidden="1" x14ac:dyDescent="0.35">
      <c r="A2199">
        <v>3181</v>
      </c>
      <c r="B2199" s="4" t="s">
        <v>183</v>
      </c>
      <c r="C2199" s="4" t="s">
        <v>479</v>
      </c>
      <c r="D2199" s="4" t="s">
        <v>13</v>
      </c>
      <c r="E2199">
        <v>0</v>
      </c>
      <c r="F2199" s="3">
        <v>2828.3751999999999</v>
      </c>
      <c r="G2199" s="2">
        <v>0.60388888888888903</v>
      </c>
      <c r="H2199" s="3">
        <v>0</v>
      </c>
      <c r="I2199" s="1">
        <v>45441</v>
      </c>
      <c r="J2199" s="4" t="s">
        <v>9</v>
      </c>
      <c r="K2199" s="4" t="s">
        <v>40</v>
      </c>
      <c r="L2199" s="3">
        <v>1727.03</v>
      </c>
      <c r="M2199" s="4" t="s">
        <v>1255</v>
      </c>
      <c r="N2199" s="3">
        <v>0</v>
      </c>
    </row>
    <row r="2200" spans="1:14" x14ac:dyDescent="0.35">
      <c r="A2200">
        <v>3182</v>
      </c>
      <c r="B2200" s="4" t="s">
        <v>65</v>
      </c>
      <c r="C2200" s="4" t="s">
        <v>102</v>
      </c>
      <c r="D2200" s="4" t="s">
        <v>25</v>
      </c>
      <c r="E2200">
        <v>0</v>
      </c>
      <c r="F2200" s="3">
        <v>3078.92</v>
      </c>
      <c r="G2200" s="2">
        <v>0.60388888888888903</v>
      </c>
      <c r="H2200" s="3">
        <v>0</v>
      </c>
      <c r="I2200" s="1">
        <v>45441</v>
      </c>
      <c r="J2200" s="4" t="s">
        <v>23</v>
      </c>
      <c r="K2200" s="4" t="s">
        <v>12</v>
      </c>
      <c r="L2200" s="3">
        <v>1935.04</v>
      </c>
      <c r="M2200" s="4" t="s">
        <v>1255</v>
      </c>
      <c r="N2200" s="3">
        <v>0</v>
      </c>
    </row>
    <row r="2201" spans="1:14" hidden="1" x14ac:dyDescent="0.35">
      <c r="A2201">
        <v>3183</v>
      </c>
      <c r="B2201" s="4" t="s">
        <v>363</v>
      </c>
      <c r="C2201" s="4" t="s">
        <v>205</v>
      </c>
      <c r="D2201" s="4" t="s">
        <v>33</v>
      </c>
      <c r="E2201">
        <v>0</v>
      </c>
      <c r="F2201" s="3">
        <v>2833.8051</v>
      </c>
      <c r="G2201" s="2">
        <v>0.60388888888888903</v>
      </c>
      <c r="H2201" s="3">
        <v>0</v>
      </c>
      <c r="I2201" s="1">
        <v>45444</v>
      </c>
      <c r="J2201" s="4" t="s">
        <v>18</v>
      </c>
      <c r="K2201" s="4" t="s">
        <v>40</v>
      </c>
      <c r="L2201" s="3">
        <v>2332.84</v>
      </c>
      <c r="M2201" s="4" t="s">
        <v>1255</v>
      </c>
      <c r="N2201" s="3">
        <v>0</v>
      </c>
    </row>
    <row r="2202" spans="1:14" hidden="1" x14ac:dyDescent="0.35">
      <c r="A2202">
        <v>3184</v>
      </c>
      <c r="B2202" s="4" t="s">
        <v>89</v>
      </c>
      <c r="C2202" s="4" t="s">
        <v>1193</v>
      </c>
      <c r="D2202" s="4" t="s">
        <v>38</v>
      </c>
      <c r="E2202">
        <v>3</v>
      </c>
      <c r="F2202" s="3">
        <v>2832.2237</v>
      </c>
      <c r="G2202" s="2">
        <v>1</v>
      </c>
      <c r="H2202" s="3">
        <v>0</v>
      </c>
      <c r="I2202" s="1">
        <v>45135</v>
      </c>
      <c r="J2202" s="4" t="s">
        <v>20</v>
      </c>
      <c r="K2202" s="4" t="s">
        <v>40</v>
      </c>
      <c r="L2202" s="3">
        <v>386.15</v>
      </c>
      <c r="M2202" s="4" t="s">
        <v>1255</v>
      </c>
      <c r="N2202" s="3">
        <v>8496.6710999999996</v>
      </c>
    </row>
    <row r="2203" spans="1:14" hidden="1" x14ac:dyDescent="0.35">
      <c r="A2203">
        <v>3185</v>
      </c>
      <c r="B2203" s="4" t="s">
        <v>841</v>
      </c>
      <c r="C2203" s="4" t="s">
        <v>1194</v>
      </c>
      <c r="D2203" s="4" t="s">
        <v>32</v>
      </c>
      <c r="E2203">
        <v>2</v>
      </c>
      <c r="F2203" s="3">
        <v>2832.2237</v>
      </c>
      <c r="G2203" s="2">
        <v>0.60018691588785</v>
      </c>
      <c r="H2203" s="3">
        <v>0</v>
      </c>
      <c r="I2203" s="1">
        <v>45601</v>
      </c>
      <c r="J2203" s="4" t="s">
        <v>9</v>
      </c>
      <c r="K2203" s="4" t="s">
        <v>40</v>
      </c>
      <c r="L2203" s="3">
        <v>-726.08</v>
      </c>
      <c r="M2203" s="4" t="s">
        <v>1255</v>
      </c>
      <c r="N2203" s="3">
        <v>5664.4474</v>
      </c>
    </row>
    <row r="2204" spans="1:14" x14ac:dyDescent="0.35">
      <c r="A2204">
        <v>3186</v>
      </c>
      <c r="B2204" s="4" t="s">
        <v>1195</v>
      </c>
      <c r="C2204" s="4" t="s">
        <v>1196</v>
      </c>
      <c r="D2204" s="4" t="s">
        <v>32</v>
      </c>
      <c r="E2204">
        <v>5</v>
      </c>
      <c r="F2204" s="3">
        <v>2832.2237</v>
      </c>
      <c r="G2204" s="2">
        <v>0.60018691588785</v>
      </c>
      <c r="H2204" s="3">
        <v>0</v>
      </c>
      <c r="I2204" s="1">
        <v>45601</v>
      </c>
      <c r="J2204" s="4" t="s">
        <v>23</v>
      </c>
      <c r="K2204" s="4" t="s">
        <v>12</v>
      </c>
      <c r="L2204" s="3">
        <v>-637.71</v>
      </c>
      <c r="M2204" s="4" t="s">
        <v>1255</v>
      </c>
      <c r="N2204" s="3">
        <v>14161.1185</v>
      </c>
    </row>
    <row r="2205" spans="1:14" x14ac:dyDescent="0.35">
      <c r="A2205">
        <v>3187</v>
      </c>
      <c r="B2205" s="4" t="s">
        <v>292</v>
      </c>
      <c r="C2205" s="4" t="s">
        <v>265</v>
      </c>
      <c r="D2205" s="4" t="s">
        <v>24</v>
      </c>
      <c r="E2205">
        <v>6</v>
      </c>
      <c r="F2205" s="3">
        <v>3998.97</v>
      </c>
      <c r="G2205" s="2">
        <v>0.60018691588785</v>
      </c>
      <c r="H2205" s="3">
        <v>0</v>
      </c>
      <c r="I2205" s="1">
        <v>45321</v>
      </c>
      <c r="J2205" s="4" t="s">
        <v>11</v>
      </c>
      <c r="K2205" s="4" t="s">
        <v>8</v>
      </c>
      <c r="L2205" s="3">
        <v>716.49</v>
      </c>
      <c r="M2205" s="4" t="s">
        <v>1255</v>
      </c>
      <c r="N2205" s="3">
        <v>23993.82</v>
      </c>
    </row>
    <row r="2206" spans="1:14" x14ac:dyDescent="0.35">
      <c r="A2206">
        <v>3188</v>
      </c>
      <c r="B2206" s="4" t="s">
        <v>477</v>
      </c>
      <c r="C2206" s="4" t="s">
        <v>164</v>
      </c>
      <c r="D2206" s="4" t="s">
        <v>14</v>
      </c>
      <c r="E2206">
        <v>0</v>
      </c>
      <c r="F2206" s="3">
        <v>936.76</v>
      </c>
      <c r="G2206" s="2">
        <v>0.60018691588785</v>
      </c>
      <c r="H2206" s="3">
        <v>0</v>
      </c>
      <c r="I2206" s="1">
        <v>45321</v>
      </c>
      <c r="J2206" s="4" t="s">
        <v>23</v>
      </c>
      <c r="K2206" s="4" t="s">
        <v>12</v>
      </c>
      <c r="L2206" s="3">
        <v>1308.49</v>
      </c>
      <c r="M2206" s="4" t="s">
        <v>1255</v>
      </c>
      <c r="N2206" s="3">
        <v>0</v>
      </c>
    </row>
    <row r="2207" spans="1:14" x14ac:dyDescent="0.35">
      <c r="A2207">
        <v>3189</v>
      </c>
      <c r="B2207" s="4" t="s">
        <v>351</v>
      </c>
      <c r="C2207" s="4" t="s">
        <v>518</v>
      </c>
      <c r="D2207" s="4" t="s">
        <v>29</v>
      </c>
      <c r="E2207">
        <v>0</v>
      </c>
      <c r="F2207" s="3">
        <v>1299.74</v>
      </c>
      <c r="G2207" s="2">
        <v>0.09</v>
      </c>
      <c r="H2207" s="3">
        <v>0</v>
      </c>
      <c r="I2207" s="1">
        <v>45644</v>
      </c>
      <c r="J2207" s="4" t="s">
        <v>18</v>
      </c>
      <c r="K2207" s="4" t="s">
        <v>8</v>
      </c>
      <c r="L2207" s="3">
        <v>1607.44</v>
      </c>
      <c r="M2207" s="4" t="s">
        <v>1255</v>
      </c>
      <c r="N2207" s="3">
        <v>0</v>
      </c>
    </row>
    <row r="2208" spans="1:14" x14ac:dyDescent="0.35">
      <c r="A2208">
        <v>3190</v>
      </c>
      <c r="B2208" s="4" t="s">
        <v>62</v>
      </c>
      <c r="C2208" s="4" t="s">
        <v>82</v>
      </c>
      <c r="D2208" s="4" t="s">
        <v>22</v>
      </c>
      <c r="E2208">
        <v>0</v>
      </c>
      <c r="F2208" s="3">
        <v>2836.9865</v>
      </c>
      <c r="G2208" s="2">
        <v>0.44</v>
      </c>
      <c r="H2208" s="3">
        <v>0</v>
      </c>
      <c r="I2208" s="1">
        <v>45644</v>
      </c>
      <c r="J2208" s="4" t="s">
        <v>23</v>
      </c>
      <c r="K2208" s="4" t="s">
        <v>12</v>
      </c>
      <c r="L2208" s="3">
        <v>620.19000000000005</v>
      </c>
      <c r="M2208" s="4" t="s">
        <v>1255</v>
      </c>
      <c r="N2208" s="3">
        <v>0</v>
      </c>
    </row>
    <row r="2209" spans="1:14" hidden="1" x14ac:dyDescent="0.35">
      <c r="A2209">
        <v>3191</v>
      </c>
      <c r="B2209" s="4" t="s">
        <v>164</v>
      </c>
      <c r="C2209" s="4" t="s">
        <v>1197</v>
      </c>
      <c r="D2209" s="4" t="s">
        <v>30</v>
      </c>
      <c r="E2209">
        <v>0</v>
      </c>
      <c r="F2209" s="3">
        <v>2847.1</v>
      </c>
      <c r="G2209" s="2">
        <v>0.60657142857142798</v>
      </c>
      <c r="H2209" s="3">
        <v>0</v>
      </c>
      <c r="I2209" s="1">
        <v>45687</v>
      </c>
      <c r="J2209" s="4" t="s">
        <v>7</v>
      </c>
      <c r="K2209" s="4" t="s">
        <v>40</v>
      </c>
      <c r="L2209" s="3">
        <v>173.16</v>
      </c>
      <c r="M2209" s="4" t="s">
        <v>1255</v>
      </c>
      <c r="N2209" s="3">
        <v>0</v>
      </c>
    </row>
    <row r="2210" spans="1:14" x14ac:dyDescent="0.35">
      <c r="A2210">
        <v>3192</v>
      </c>
      <c r="B2210" s="4" t="s">
        <v>213</v>
      </c>
      <c r="C2210" s="4" t="s">
        <v>983</v>
      </c>
      <c r="D2210" s="4" t="s">
        <v>21</v>
      </c>
      <c r="E2210">
        <v>-2</v>
      </c>
      <c r="F2210" s="3">
        <v>3568.45</v>
      </c>
      <c r="G2210" s="2">
        <v>0.37</v>
      </c>
      <c r="H2210" s="3">
        <v>-4496.25</v>
      </c>
      <c r="I2210" s="1">
        <v>45136</v>
      </c>
      <c r="J2210" s="4" t="s">
        <v>7</v>
      </c>
      <c r="K2210" s="4" t="s">
        <v>8</v>
      </c>
      <c r="L2210" s="3">
        <v>1683.74</v>
      </c>
      <c r="M2210" s="4" t="s">
        <v>1255</v>
      </c>
      <c r="N2210" s="3">
        <v>-7136.9</v>
      </c>
    </row>
    <row r="2211" spans="1:14" x14ac:dyDescent="0.35">
      <c r="A2211">
        <v>3193</v>
      </c>
      <c r="B2211" s="4" t="s">
        <v>264</v>
      </c>
      <c r="C2211" s="4" t="s">
        <v>694</v>
      </c>
      <c r="D2211" s="4" t="s">
        <v>16</v>
      </c>
      <c r="E2211">
        <v>3</v>
      </c>
      <c r="F2211" s="3">
        <v>2847.1</v>
      </c>
      <c r="G2211" s="2">
        <v>0.60884615384615404</v>
      </c>
      <c r="H2211" s="3">
        <v>0</v>
      </c>
      <c r="I2211" s="1">
        <v>45465</v>
      </c>
      <c r="J2211" s="4" t="s">
        <v>9</v>
      </c>
      <c r="K2211" s="4" t="s">
        <v>8</v>
      </c>
      <c r="L2211" s="3">
        <v>1236.54</v>
      </c>
      <c r="M2211" s="4" t="s">
        <v>1255</v>
      </c>
      <c r="N2211" s="3">
        <v>8541.2999999999993</v>
      </c>
    </row>
    <row r="2212" spans="1:14" x14ac:dyDescent="0.35">
      <c r="A2212">
        <v>3195</v>
      </c>
      <c r="B2212" s="4" t="s">
        <v>260</v>
      </c>
      <c r="C2212" s="4" t="s">
        <v>61</v>
      </c>
      <c r="D2212" s="4" t="s">
        <v>30</v>
      </c>
      <c r="E2212">
        <v>0</v>
      </c>
      <c r="F2212" s="3">
        <v>958.16</v>
      </c>
      <c r="G2212" s="2">
        <v>0.60884615384615404</v>
      </c>
      <c r="H2212" s="3">
        <v>0</v>
      </c>
      <c r="I2212" s="1">
        <v>45302</v>
      </c>
      <c r="J2212" s="4" t="s">
        <v>7</v>
      </c>
      <c r="K2212" s="4" t="s">
        <v>8</v>
      </c>
      <c r="L2212" s="3">
        <v>2567.6999999999998</v>
      </c>
      <c r="M2212" s="4" t="s">
        <v>1255</v>
      </c>
      <c r="N2212" s="3">
        <v>0</v>
      </c>
    </row>
    <row r="2213" spans="1:14" x14ac:dyDescent="0.35">
      <c r="A2213">
        <v>3196</v>
      </c>
      <c r="B2213" s="4" t="s">
        <v>494</v>
      </c>
      <c r="C2213" s="4" t="s">
        <v>348</v>
      </c>
      <c r="D2213" s="4" t="s">
        <v>25</v>
      </c>
      <c r="E2213">
        <v>0</v>
      </c>
      <c r="F2213" s="3">
        <v>4897.24</v>
      </c>
      <c r="G2213" s="2">
        <v>0.60884615384615404</v>
      </c>
      <c r="H2213" s="3">
        <v>0</v>
      </c>
      <c r="I2213" s="1">
        <v>45518</v>
      </c>
      <c r="J2213" s="4" t="s">
        <v>20</v>
      </c>
      <c r="K2213" s="4" t="s">
        <v>12</v>
      </c>
      <c r="L2213" s="3">
        <v>2989.6</v>
      </c>
      <c r="M2213" s="4" t="s">
        <v>1255</v>
      </c>
      <c r="N2213" s="3">
        <v>0</v>
      </c>
    </row>
    <row r="2214" spans="1:14" x14ac:dyDescent="0.35">
      <c r="A2214">
        <v>3197</v>
      </c>
      <c r="B2214" s="4" t="s">
        <v>43</v>
      </c>
      <c r="C2214" s="4" t="s">
        <v>316</v>
      </c>
      <c r="D2214" s="4" t="s">
        <v>35</v>
      </c>
      <c r="E2214">
        <v>5</v>
      </c>
      <c r="F2214" s="3">
        <v>2849.8069999999998</v>
      </c>
      <c r="G2214" s="2">
        <v>1.1200000000000001</v>
      </c>
      <c r="H2214" s="3">
        <v>0</v>
      </c>
      <c r="I2214" s="1">
        <v>45540</v>
      </c>
      <c r="J2214" s="4" t="s">
        <v>23</v>
      </c>
      <c r="K2214" s="4" t="s">
        <v>8</v>
      </c>
      <c r="L2214" s="3">
        <v>2348.85</v>
      </c>
      <c r="M2214" s="4" t="s">
        <v>1255</v>
      </c>
      <c r="N2214" s="3">
        <v>14249.035</v>
      </c>
    </row>
    <row r="2215" spans="1:14" x14ac:dyDescent="0.35">
      <c r="A2215">
        <v>3198</v>
      </c>
      <c r="B2215" s="4" t="s">
        <v>103</v>
      </c>
      <c r="C2215" s="4" t="s">
        <v>133</v>
      </c>
      <c r="D2215" s="4" t="s">
        <v>10</v>
      </c>
      <c r="E2215">
        <v>0</v>
      </c>
      <c r="F2215" s="3">
        <v>2835.973</v>
      </c>
      <c r="G2215" s="2">
        <v>0.603883495145631</v>
      </c>
      <c r="H2215" s="3">
        <v>0</v>
      </c>
      <c r="I2215" s="1">
        <v>45748</v>
      </c>
      <c r="J2215" s="4" t="s">
        <v>20</v>
      </c>
      <c r="K2215" s="4" t="s">
        <v>8</v>
      </c>
      <c r="L2215" s="3">
        <v>816.72</v>
      </c>
      <c r="M2215" s="4" t="s">
        <v>1255</v>
      </c>
      <c r="N2215" s="3">
        <v>0</v>
      </c>
    </row>
    <row r="2216" spans="1:14" x14ac:dyDescent="0.35">
      <c r="A2216">
        <v>3200</v>
      </c>
      <c r="B2216" s="4" t="s">
        <v>79</v>
      </c>
      <c r="C2216" s="4" t="s">
        <v>104</v>
      </c>
      <c r="D2216" s="4" t="s">
        <v>35</v>
      </c>
      <c r="E2216">
        <v>0</v>
      </c>
      <c r="F2216" s="3">
        <v>2835.973</v>
      </c>
      <c r="G2216" s="2">
        <v>0.603883495145631</v>
      </c>
      <c r="H2216" s="3">
        <v>0</v>
      </c>
      <c r="I2216" s="1">
        <v>45522</v>
      </c>
      <c r="J2216" s="4" t="s">
        <v>11</v>
      </c>
      <c r="K2216" s="4" t="s">
        <v>12</v>
      </c>
      <c r="L2216" s="3">
        <v>2779.48</v>
      </c>
      <c r="M2216" s="4" t="s">
        <v>1255</v>
      </c>
      <c r="N2216" s="3">
        <v>0</v>
      </c>
    </row>
    <row r="2217" spans="1:14" x14ac:dyDescent="0.35">
      <c r="A2217">
        <v>3201</v>
      </c>
      <c r="B2217" s="4" t="s">
        <v>262</v>
      </c>
      <c r="C2217" s="4" t="s">
        <v>695</v>
      </c>
      <c r="D2217" s="4" t="s">
        <v>22</v>
      </c>
      <c r="E2217">
        <v>0</v>
      </c>
      <c r="F2217" s="3">
        <v>3494.89</v>
      </c>
      <c r="G2217" s="2">
        <v>0.603883495145631</v>
      </c>
      <c r="H2217" s="3">
        <v>0</v>
      </c>
      <c r="I2217" s="1">
        <v>45546</v>
      </c>
      <c r="J2217" s="4" t="s">
        <v>23</v>
      </c>
      <c r="K2217" s="4" t="s">
        <v>8</v>
      </c>
      <c r="L2217" s="3">
        <v>1036.32</v>
      </c>
      <c r="M2217" s="4" t="s">
        <v>1255</v>
      </c>
      <c r="N2217" s="3">
        <v>0</v>
      </c>
    </row>
    <row r="2218" spans="1:14" hidden="1" x14ac:dyDescent="0.35">
      <c r="A2218">
        <v>3203</v>
      </c>
      <c r="B2218" s="4" t="s">
        <v>110</v>
      </c>
      <c r="C2218" s="4" t="s">
        <v>403</v>
      </c>
      <c r="D2218" s="4" t="s">
        <v>30</v>
      </c>
      <c r="E2218">
        <v>-1</v>
      </c>
      <c r="F2218" s="3">
        <v>4883.5200000000004</v>
      </c>
      <c r="G2218" s="2">
        <v>0.60833333333333295</v>
      </c>
      <c r="H2218" s="3">
        <v>0</v>
      </c>
      <c r="I2218" s="1">
        <v>45698</v>
      </c>
      <c r="J2218" s="4" t="s">
        <v>20</v>
      </c>
      <c r="K2218" s="4" t="s">
        <v>40</v>
      </c>
      <c r="L2218" s="3">
        <v>1510.55</v>
      </c>
      <c r="M2218" s="4" t="s">
        <v>1255</v>
      </c>
      <c r="N2218" s="3">
        <v>-4883.5200000000004</v>
      </c>
    </row>
    <row r="2219" spans="1:14" x14ac:dyDescent="0.35">
      <c r="A2219">
        <v>3204</v>
      </c>
      <c r="B2219" s="4" t="s">
        <v>235</v>
      </c>
      <c r="C2219" s="4" t="s">
        <v>176</v>
      </c>
      <c r="D2219" s="4" t="s">
        <v>19</v>
      </c>
      <c r="E2219">
        <v>0</v>
      </c>
      <c r="F2219" s="3">
        <v>781.13</v>
      </c>
      <c r="G2219" s="2">
        <v>0.60833333333333295</v>
      </c>
      <c r="H2219" s="3">
        <v>0</v>
      </c>
      <c r="I2219" s="1">
        <v>45501</v>
      </c>
      <c r="J2219" s="4" t="s">
        <v>11</v>
      </c>
      <c r="K2219" s="4" t="s">
        <v>8</v>
      </c>
      <c r="L2219" s="3">
        <v>2822.85</v>
      </c>
      <c r="M2219" s="4" t="s">
        <v>1255</v>
      </c>
      <c r="N2219" s="3">
        <v>0</v>
      </c>
    </row>
    <row r="2220" spans="1:14" hidden="1" x14ac:dyDescent="0.35">
      <c r="A2220">
        <v>3205</v>
      </c>
      <c r="B2220" s="4" t="s">
        <v>697</v>
      </c>
      <c r="C2220" s="4" t="s">
        <v>391</v>
      </c>
      <c r="D2220" s="4" t="s">
        <v>22</v>
      </c>
      <c r="E2220">
        <v>0</v>
      </c>
      <c r="F2220" s="3">
        <v>2819.4838</v>
      </c>
      <c r="G2220" s="2">
        <v>0.60833333333333295</v>
      </c>
      <c r="H2220" s="3">
        <v>0</v>
      </c>
      <c r="I2220" s="1">
        <v>45646</v>
      </c>
      <c r="J2220" s="4" t="s">
        <v>23</v>
      </c>
      <c r="K2220" s="4" t="s">
        <v>40</v>
      </c>
      <c r="L2220" s="3">
        <v>1723.22</v>
      </c>
      <c r="M2220" s="4" t="s">
        <v>1255</v>
      </c>
      <c r="N2220" s="3">
        <v>0</v>
      </c>
    </row>
    <row r="2221" spans="1:14" x14ac:dyDescent="0.35">
      <c r="A2221">
        <v>3206</v>
      </c>
      <c r="B2221" s="4" t="s">
        <v>1060</v>
      </c>
      <c r="C2221" s="4" t="s">
        <v>1198</v>
      </c>
      <c r="D2221" s="4" t="s">
        <v>31</v>
      </c>
      <c r="E2221">
        <v>-1</v>
      </c>
      <c r="F2221" s="3">
        <v>2833.6390000000001</v>
      </c>
      <c r="G2221" s="2">
        <v>0.54</v>
      </c>
      <c r="H2221" s="3">
        <v>0</v>
      </c>
      <c r="I2221" s="1">
        <v>45634</v>
      </c>
      <c r="J2221" s="4" t="s">
        <v>7</v>
      </c>
      <c r="K2221" s="4" t="s">
        <v>8</v>
      </c>
      <c r="L2221" s="3">
        <v>550.46</v>
      </c>
      <c r="M2221" s="4" t="s">
        <v>1255</v>
      </c>
      <c r="N2221" s="3">
        <v>-2833.6390000000001</v>
      </c>
    </row>
    <row r="2222" spans="1:14" x14ac:dyDescent="0.35">
      <c r="A2222">
        <v>3207</v>
      </c>
      <c r="B2222" s="4" t="s">
        <v>1001</v>
      </c>
      <c r="C2222" s="4" t="s">
        <v>1139</v>
      </c>
      <c r="D2222" s="4" t="s">
        <v>21</v>
      </c>
      <c r="E2222">
        <v>0</v>
      </c>
      <c r="F2222" s="3">
        <v>2833.6390000000001</v>
      </c>
      <c r="G2222" s="2">
        <v>0.609009900990099</v>
      </c>
      <c r="H2222" s="3">
        <v>0</v>
      </c>
      <c r="I2222" s="1">
        <v>45634</v>
      </c>
      <c r="J2222" s="4" t="s">
        <v>9</v>
      </c>
      <c r="K2222" s="4" t="s">
        <v>8</v>
      </c>
      <c r="L2222" s="3">
        <v>-547.29</v>
      </c>
      <c r="M2222" s="4" t="s">
        <v>1255</v>
      </c>
      <c r="N2222" s="3">
        <v>0</v>
      </c>
    </row>
    <row r="2223" spans="1:14" x14ac:dyDescent="0.35">
      <c r="A2223">
        <v>3208</v>
      </c>
      <c r="B2223" s="4" t="s">
        <v>359</v>
      </c>
      <c r="C2223" s="4" t="s">
        <v>1199</v>
      </c>
      <c r="D2223" s="4" t="s">
        <v>33</v>
      </c>
      <c r="E2223">
        <v>4</v>
      </c>
      <c r="F2223" s="3">
        <v>4280.7</v>
      </c>
      <c r="G2223" s="2">
        <v>0.609009900990099</v>
      </c>
      <c r="H2223" s="3">
        <v>0</v>
      </c>
      <c r="I2223" s="1">
        <v>45554</v>
      </c>
      <c r="J2223" s="4" t="s">
        <v>20</v>
      </c>
      <c r="K2223" s="4" t="s">
        <v>12</v>
      </c>
      <c r="L2223" s="3">
        <v>68.36</v>
      </c>
      <c r="M2223" s="4" t="s">
        <v>1255</v>
      </c>
      <c r="N2223" s="3">
        <v>17122.8</v>
      </c>
    </row>
    <row r="2224" spans="1:14" x14ac:dyDescent="0.35">
      <c r="A2224">
        <v>3209</v>
      </c>
      <c r="B2224" s="4" t="s">
        <v>54</v>
      </c>
      <c r="C2224" s="4" t="s">
        <v>404</v>
      </c>
      <c r="D2224" s="4" t="s">
        <v>29</v>
      </c>
      <c r="E2224">
        <v>0</v>
      </c>
      <c r="F2224" s="3">
        <v>3221.55</v>
      </c>
      <c r="G2224" s="2">
        <v>0.609009900990099</v>
      </c>
      <c r="H2224" s="3">
        <v>0</v>
      </c>
      <c r="I2224" s="1">
        <v>45279</v>
      </c>
      <c r="J2224" s="4" t="s">
        <v>9</v>
      </c>
      <c r="K2224" s="4" t="s">
        <v>12</v>
      </c>
      <c r="L2224" s="3">
        <v>1996.4</v>
      </c>
      <c r="M2224" s="4" t="s">
        <v>1255</v>
      </c>
      <c r="N2224" s="3">
        <v>0</v>
      </c>
    </row>
    <row r="2225" spans="1:14" x14ac:dyDescent="0.35">
      <c r="A2225">
        <v>3210</v>
      </c>
      <c r="B2225" s="4" t="s">
        <v>110</v>
      </c>
      <c r="C2225" s="4" t="s">
        <v>895</v>
      </c>
      <c r="D2225" s="4" t="s">
        <v>32</v>
      </c>
      <c r="E2225">
        <v>0</v>
      </c>
      <c r="F2225" s="3">
        <v>2823.5196999999998</v>
      </c>
      <c r="G2225" s="2">
        <v>0.609009900990099</v>
      </c>
      <c r="H2225" s="3">
        <v>0</v>
      </c>
      <c r="I2225" s="1">
        <v>45676</v>
      </c>
      <c r="J2225" s="4" t="s">
        <v>11</v>
      </c>
      <c r="K2225" s="4" t="s">
        <v>12</v>
      </c>
      <c r="L2225" s="3">
        <v>1580.66</v>
      </c>
      <c r="M2225" s="4" t="s">
        <v>1255</v>
      </c>
      <c r="N2225" s="3">
        <v>0</v>
      </c>
    </row>
    <row r="2226" spans="1:14" x14ac:dyDescent="0.35">
      <c r="A2226">
        <v>3211</v>
      </c>
      <c r="B2226" s="4" t="s">
        <v>646</v>
      </c>
      <c r="C2226" s="4" t="s">
        <v>197</v>
      </c>
      <c r="D2226" s="4" t="s">
        <v>15</v>
      </c>
      <c r="E2226">
        <v>0</v>
      </c>
      <c r="F2226" s="3">
        <v>1624.28</v>
      </c>
      <c r="G2226" s="2">
        <v>1.29</v>
      </c>
      <c r="H2226" s="3">
        <v>0</v>
      </c>
      <c r="I2226" s="1">
        <v>45697</v>
      </c>
      <c r="J2226" s="4" t="s">
        <v>18</v>
      </c>
      <c r="K2226" s="4" t="s">
        <v>12</v>
      </c>
      <c r="L2226" s="3">
        <v>1863.17</v>
      </c>
      <c r="M2226" s="4" t="s">
        <v>1255</v>
      </c>
      <c r="N2226" s="3">
        <v>0</v>
      </c>
    </row>
    <row r="2227" spans="1:14" x14ac:dyDescent="0.35">
      <c r="A2227">
        <v>3212</v>
      </c>
      <c r="B2227" s="4" t="s">
        <v>164</v>
      </c>
      <c r="C2227" s="4" t="s">
        <v>175</v>
      </c>
      <c r="D2227" s="4" t="s">
        <v>10</v>
      </c>
      <c r="E2227">
        <v>0</v>
      </c>
      <c r="F2227" s="3">
        <v>4606.8500000000004</v>
      </c>
      <c r="G2227" s="2">
        <v>0.28000000000000003</v>
      </c>
      <c r="H2227" s="3">
        <v>0</v>
      </c>
      <c r="I2227" s="1">
        <v>45530</v>
      </c>
      <c r="J2227" s="4" t="s">
        <v>9</v>
      </c>
      <c r="K2227" s="4" t="s">
        <v>8</v>
      </c>
      <c r="L2227" s="3">
        <v>188.97</v>
      </c>
      <c r="M2227" s="4" t="s">
        <v>1255</v>
      </c>
      <c r="N2227" s="3">
        <v>0</v>
      </c>
    </row>
    <row r="2228" spans="1:14" x14ac:dyDescent="0.35">
      <c r="A2228">
        <v>3213</v>
      </c>
      <c r="B2228" s="4" t="s">
        <v>758</v>
      </c>
      <c r="C2228" s="4" t="s">
        <v>186</v>
      </c>
      <c r="D2228" s="4" t="s">
        <v>27</v>
      </c>
      <c r="E2228">
        <v>6</v>
      </c>
      <c r="F2228" s="3">
        <v>1213.25</v>
      </c>
      <c r="G2228" s="2">
        <v>1.1100000000000001</v>
      </c>
      <c r="H2228" s="3">
        <v>-800.75</v>
      </c>
      <c r="I2228" s="1">
        <v>45592</v>
      </c>
      <c r="J2228" s="4" t="s">
        <v>9</v>
      </c>
      <c r="K2228" s="4" t="s">
        <v>8</v>
      </c>
      <c r="L2228" s="3">
        <v>-82.79</v>
      </c>
      <c r="M2228" s="4" t="s">
        <v>1255</v>
      </c>
      <c r="N2228" s="3">
        <v>7279.5</v>
      </c>
    </row>
    <row r="2229" spans="1:14" x14ac:dyDescent="0.35">
      <c r="A2229">
        <v>3214</v>
      </c>
      <c r="B2229" s="4" t="s">
        <v>197</v>
      </c>
      <c r="C2229" s="4" t="s">
        <v>242</v>
      </c>
      <c r="D2229" s="4" t="s">
        <v>32</v>
      </c>
      <c r="E2229">
        <v>0</v>
      </c>
      <c r="F2229" s="3">
        <v>2816.5046000000002</v>
      </c>
      <c r="G2229" s="2">
        <v>0.60030612244897996</v>
      </c>
      <c r="H2229" s="3">
        <v>0</v>
      </c>
      <c r="I2229" s="1">
        <v>45774</v>
      </c>
      <c r="J2229" s="4" t="s">
        <v>11</v>
      </c>
      <c r="K2229" s="4" t="s">
        <v>8</v>
      </c>
      <c r="L2229" s="3">
        <v>1084.99</v>
      </c>
      <c r="M2229" s="4" t="s">
        <v>1255</v>
      </c>
      <c r="N2229" s="3">
        <v>0</v>
      </c>
    </row>
    <row r="2230" spans="1:14" hidden="1" x14ac:dyDescent="0.35">
      <c r="A2230">
        <v>3215</v>
      </c>
      <c r="B2230" s="4" t="s">
        <v>494</v>
      </c>
      <c r="C2230" s="4" t="s">
        <v>665</v>
      </c>
      <c r="D2230" s="4" t="s">
        <v>32</v>
      </c>
      <c r="E2230">
        <v>1</v>
      </c>
      <c r="F2230" s="3">
        <v>552.80999999999995</v>
      </c>
      <c r="G2230" s="2">
        <v>0.56999999999999995</v>
      </c>
      <c r="H2230" s="3">
        <v>237.71</v>
      </c>
      <c r="I2230" s="1">
        <v>45774</v>
      </c>
      <c r="J2230" s="4" t="s">
        <v>7</v>
      </c>
      <c r="K2230" s="4" t="s">
        <v>40</v>
      </c>
      <c r="L2230" s="3">
        <v>206.75</v>
      </c>
      <c r="M2230" s="4" t="s">
        <v>1256</v>
      </c>
      <c r="N2230" s="3">
        <v>552.80999999999995</v>
      </c>
    </row>
    <row r="2231" spans="1:14" hidden="1" x14ac:dyDescent="0.35">
      <c r="A2231">
        <v>3216</v>
      </c>
      <c r="B2231" s="4" t="s">
        <v>1200</v>
      </c>
      <c r="C2231" s="4" t="s">
        <v>345</v>
      </c>
      <c r="D2231" s="4" t="s">
        <v>22</v>
      </c>
      <c r="E2231">
        <v>0</v>
      </c>
      <c r="F2231" s="3">
        <v>2828.0387999999998</v>
      </c>
      <c r="G2231" s="2">
        <v>7.0000000000000007E-2</v>
      </c>
      <c r="H2231" s="3">
        <v>0</v>
      </c>
      <c r="I2231" s="1">
        <v>45596</v>
      </c>
      <c r="J2231" s="4" t="s">
        <v>20</v>
      </c>
      <c r="K2231" s="4" t="s">
        <v>40</v>
      </c>
      <c r="L2231" s="3">
        <v>1989.05</v>
      </c>
      <c r="M2231" s="4" t="s">
        <v>1255</v>
      </c>
      <c r="N2231" s="3">
        <v>0</v>
      </c>
    </row>
    <row r="2232" spans="1:14" x14ac:dyDescent="0.35">
      <c r="A2232">
        <v>3217</v>
      </c>
      <c r="B2232" s="4" t="s">
        <v>256</v>
      </c>
      <c r="C2232" s="4" t="s">
        <v>595</v>
      </c>
      <c r="D2232" s="4" t="s">
        <v>25</v>
      </c>
      <c r="E2232">
        <v>0</v>
      </c>
      <c r="F2232" s="3">
        <v>1039.75</v>
      </c>
      <c r="G2232" s="2">
        <v>0.60614583333333305</v>
      </c>
      <c r="H2232" s="3">
        <v>0</v>
      </c>
      <c r="I2232" s="1">
        <v>45136</v>
      </c>
      <c r="J2232" s="4" t="s">
        <v>20</v>
      </c>
      <c r="K2232" s="4" t="s">
        <v>8</v>
      </c>
      <c r="L2232" s="3">
        <v>902.04</v>
      </c>
      <c r="M2232" s="4" t="s">
        <v>1255</v>
      </c>
      <c r="N2232" s="3">
        <v>0</v>
      </c>
    </row>
    <row r="2233" spans="1:14" x14ac:dyDescent="0.35">
      <c r="A2233">
        <v>3218</v>
      </c>
      <c r="B2233" s="4" t="s">
        <v>193</v>
      </c>
      <c r="C2233" s="4" t="s">
        <v>534</v>
      </c>
      <c r="D2233" s="4" t="s">
        <v>15</v>
      </c>
      <c r="E2233">
        <v>0</v>
      </c>
      <c r="F2233" s="3">
        <v>2844.5259000000001</v>
      </c>
      <c r="G2233" s="2">
        <v>0.16</v>
      </c>
      <c r="H2233" s="3">
        <v>0</v>
      </c>
      <c r="I2233" s="1">
        <v>45520</v>
      </c>
      <c r="J2233" s="4" t="s">
        <v>20</v>
      </c>
      <c r="K2233" s="4" t="s">
        <v>12</v>
      </c>
      <c r="L2233" s="3">
        <v>946.6</v>
      </c>
      <c r="M2233" s="4" t="s">
        <v>1255</v>
      </c>
      <c r="N2233" s="3">
        <v>0</v>
      </c>
    </row>
    <row r="2234" spans="1:14" x14ac:dyDescent="0.35">
      <c r="A2234">
        <v>3219</v>
      </c>
      <c r="B2234" s="4" t="s">
        <v>359</v>
      </c>
      <c r="C2234" s="4" t="s">
        <v>301</v>
      </c>
      <c r="D2234" s="4" t="s">
        <v>29</v>
      </c>
      <c r="E2234">
        <v>5</v>
      </c>
      <c r="F2234" s="3">
        <v>2857.6995000000002</v>
      </c>
      <c r="G2234" s="2">
        <v>0.61084210526315796</v>
      </c>
      <c r="H2234" s="3">
        <v>0</v>
      </c>
      <c r="I2234" s="1">
        <v>45375</v>
      </c>
      <c r="J2234" s="4" t="s">
        <v>18</v>
      </c>
      <c r="K2234" s="4" t="s">
        <v>8</v>
      </c>
      <c r="L2234" s="3">
        <v>908.45</v>
      </c>
      <c r="M2234" s="4" t="s">
        <v>1255</v>
      </c>
      <c r="N2234" s="3">
        <v>14288.497499999999</v>
      </c>
    </row>
    <row r="2235" spans="1:14" hidden="1" x14ac:dyDescent="0.35">
      <c r="A2235">
        <v>3221</v>
      </c>
      <c r="B2235" s="4" t="s">
        <v>278</v>
      </c>
      <c r="C2235" s="4" t="s">
        <v>196</v>
      </c>
      <c r="D2235" s="4" t="s">
        <v>14</v>
      </c>
      <c r="E2235">
        <v>-2</v>
      </c>
      <c r="F2235" s="3">
        <v>2857.6995000000002</v>
      </c>
      <c r="G2235" s="2">
        <v>0.615106382978724</v>
      </c>
      <c r="H2235" s="3">
        <v>0</v>
      </c>
      <c r="I2235" s="1">
        <v>45855</v>
      </c>
      <c r="J2235" s="4" t="s">
        <v>20</v>
      </c>
      <c r="K2235" s="4" t="s">
        <v>40</v>
      </c>
      <c r="L2235" s="3">
        <v>2141.34</v>
      </c>
      <c r="M2235" s="4" t="s">
        <v>1255</v>
      </c>
      <c r="N2235" s="3">
        <v>-5715.3990000000003</v>
      </c>
    </row>
    <row r="2236" spans="1:14" x14ac:dyDescent="0.35">
      <c r="A2236">
        <v>3222</v>
      </c>
      <c r="B2236" s="4" t="s">
        <v>466</v>
      </c>
      <c r="C2236" s="4" t="s">
        <v>950</v>
      </c>
      <c r="D2236" s="4" t="s">
        <v>31</v>
      </c>
      <c r="E2236">
        <v>-2</v>
      </c>
      <c r="F2236" s="3">
        <v>2873.3226</v>
      </c>
      <c r="G2236" s="2">
        <v>0.615106382978724</v>
      </c>
      <c r="H2236" s="3">
        <v>0</v>
      </c>
      <c r="I2236" s="1">
        <v>45703</v>
      </c>
      <c r="J2236" s="4" t="s">
        <v>20</v>
      </c>
      <c r="K2236" s="4" t="s">
        <v>12</v>
      </c>
      <c r="L2236" s="3">
        <v>-545.96</v>
      </c>
      <c r="M2236" s="4" t="s">
        <v>1255</v>
      </c>
      <c r="N2236" s="3">
        <v>-5746.6451999999999</v>
      </c>
    </row>
    <row r="2237" spans="1:14" x14ac:dyDescent="0.35">
      <c r="A2237">
        <v>3223</v>
      </c>
      <c r="B2237" s="4" t="s">
        <v>65</v>
      </c>
      <c r="C2237" s="4" t="s">
        <v>785</v>
      </c>
      <c r="D2237" s="4" t="s">
        <v>28</v>
      </c>
      <c r="E2237">
        <v>0</v>
      </c>
      <c r="F2237" s="3">
        <v>2873.3226</v>
      </c>
      <c r="G2237" s="2">
        <v>0.615106382978724</v>
      </c>
      <c r="H2237" s="3">
        <v>0</v>
      </c>
      <c r="I2237" s="1">
        <v>45356</v>
      </c>
      <c r="J2237" s="4" t="s">
        <v>11</v>
      </c>
      <c r="K2237" s="4" t="s">
        <v>8</v>
      </c>
      <c r="L2237" s="3">
        <v>1477.87</v>
      </c>
      <c r="M2237" s="4" t="s">
        <v>1255</v>
      </c>
      <c r="N2237" s="3">
        <v>0</v>
      </c>
    </row>
    <row r="2238" spans="1:14" hidden="1" x14ac:dyDescent="0.35">
      <c r="A2238">
        <v>3224</v>
      </c>
      <c r="B2238" s="4" t="s">
        <v>185</v>
      </c>
      <c r="C2238" s="4" t="s">
        <v>82</v>
      </c>
      <c r="D2238" s="4" t="s">
        <v>6</v>
      </c>
      <c r="E2238">
        <v>6</v>
      </c>
      <c r="F2238" s="3">
        <v>878.95</v>
      </c>
      <c r="G2238" s="2">
        <v>0.01</v>
      </c>
      <c r="H2238" s="3">
        <v>5220.96</v>
      </c>
      <c r="I2238" s="1">
        <v>45769</v>
      </c>
      <c r="J2238" s="4" t="s">
        <v>11</v>
      </c>
      <c r="K2238" s="4" t="s">
        <v>40</v>
      </c>
      <c r="L2238" s="3">
        <v>2099.52</v>
      </c>
      <c r="M2238" s="4" t="s">
        <v>1256</v>
      </c>
      <c r="N2238" s="3">
        <v>5273.7</v>
      </c>
    </row>
    <row r="2239" spans="1:14" hidden="1" x14ac:dyDescent="0.35">
      <c r="A2239">
        <v>3225</v>
      </c>
      <c r="B2239" s="4" t="s">
        <v>328</v>
      </c>
      <c r="C2239" s="4" t="s">
        <v>1054</v>
      </c>
      <c r="D2239" s="4" t="s">
        <v>17</v>
      </c>
      <c r="E2239">
        <v>6</v>
      </c>
      <c r="F2239" s="3">
        <v>2873.3226</v>
      </c>
      <c r="G2239" s="2">
        <v>0.62161290322580598</v>
      </c>
      <c r="H2239" s="3">
        <v>0</v>
      </c>
      <c r="I2239" s="1">
        <v>45769</v>
      </c>
      <c r="J2239" s="4" t="s">
        <v>20</v>
      </c>
      <c r="K2239" s="4" t="s">
        <v>40</v>
      </c>
      <c r="L2239" s="3">
        <v>2666.58</v>
      </c>
      <c r="M2239" s="4" t="s">
        <v>1255</v>
      </c>
      <c r="N2239" s="3">
        <v>17239.935600000001</v>
      </c>
    </row>
    <row r="2240" spans="1:14" x14ac:dyDescent="0.35">
      <c r="A2240">
        <v>3226</v>
      </c>
      <c r="B2240" s="4" t="s">
        <v>264</v>
      </c>
      <c r="C2240" s="4" t="s">
        <v>142</v>
      </c>
      <c r="D2240" s="4" t="s">
        <v>25</v>
      </c>
      <c r="E2240">
        <v>0</v>
      </c>
      <c r="F2240" s="3">
        <v>2888.0956999999999</v>
      </c>
      <c r="G2240" s="2">
        <v>0.62161290322580598</v>
      </c>
      <c r="H2240" s="3">
        <v>0</v>
      </c>
      <c r="I2240" s="1">
        <v>45146</v>
      </c>
      <c r="J2240" s="4" t="s">
        <v>18</v>
      </c>
      <c r="K2240" s="4" t="s">
        <v>8</v>
      </c>
      <c r="L2240" s="3">
        <v>2715.65</v>
      </c>
      <c r="M2240" s="4" t="s">
        <v>1255</v>
      </c>
      <c r="N2240" s="3">
        <v>0</v>
      </c>
    </row>
    <row r="2241" spans="1:14" x14ac:dyDescent="0.35">
      <c r="A2241">
        <v>3227</v>
      </c>
      <c r="B2241" s="4" t="s">
        <v>75</v>
      </c>
      <c r="C2241" s="4" t="s">
        <v>307</v>
      </c>
      <c r="D2241" s="4" t="s">
        <v>14</v>
      </c>
      <c r="E2241">
        <v>0</v>
      </c>
      <c r="F2241" s="3">
        <v>2888.0956999999999</v>
      </c>
      <c r="G2241" s="2">
        <v>0.62161290322580598</v>
      </c>
      <c r="H2241" s="3">
        <v>0</v>
      </c>
      <c r="I2241" s="1">
        <v>45505</v>
      </c>
      <c r="J2241" s="4" t="s">
        <v>11</v>
      </c>
      <c r="K2241" s="4" t="s">
        <v>8</v>
      </c>
      <c r="L2241" s="3">
        <v>2498.2199999999998</v>
      </c>
      <c r="M2241" s="4" t="s">
        <v>1255</v>
      </c>
      <c r="N2241" s="3">
        <v>0</v>
      </c>
    </row>
    <row r="2242" spans="1:14" x14ac:dyDescent="0.35">
      <c r="A2242">
        <v>3228</v>
      </c>
      <c r="B2242" s="4" t="s">
        <v>388</v>
      </c>
      <c r="C2242" s="4" t="s">
        <v>514</v>
      </c>
      <c r="D2242" s="4" t="s">
        <v>28</v>
      </c>
      <c r="E2242">
        <v>0</v>
      </c>
      <c r="F2242" s="3">
        <v>2125.02</v>
      </c>
      <c r="G2242" s="2">
        <v>0.62161290322580598</v>
      </c>
      <c r="H2242" s="3">
        <v>0</v>
      </c>
      <c r="I2242" s="1">
        <v>45563</v>
      </c>
      <c r="J2242" s="4" t="s">
        <v>23</v>
      </c>
      <c r="K2242" s="4" t="s">
        <v>8</v>
      </c>
      <c r="L2242" s="3">
        <v>1154.25</v>
      </c>
      <c r="M2242" s="4" t="s">
        <v>1255</v>
      </c>
      <c r="N2242" s="3">
        <v>0</v>
      </c>
    </row>
    <row r="2243" spans="1:14" x14ac:dyDescent="0.35">
      <c r="A2243">
        <v>3229</v>
      </c>
      <c r="B2243" s="4" t="s">
        <v>219</v>
      </c>
      <c r="C2243" s="4" t="s">
        <v>349</v>
      </c>
      <c r="D2243" s="4" t="s">
        <v>35</v>
      </c>
      <c r="E2243">
        <v>-1</v>
      </c>
      <c r="F2243" s="3">
        <v>2888.0956999999999</v>
      </c>
      <c r="G2243" s="2">
        <v>0.62161290322580598</v>
      </c>
      <c r="H2243" s="3">
        <v>0</v>
      </c>
      <c r="I2243" s="1">
        <v>45563</v>
      </c>
      <c r="J2243" s="4" t="s">
        <v>7</v>
      </c>
      <c r="K2243" s="4" t="s">
        <v>8</v>
      </c>
      <c r="L2243" s="3">
        <v>1178.45</v>
      </c>
      <c r="M2243" s="4" t="s">
        <v>1255</v>
      </c>
      <c r="N2243" s="3">
        <v>-2888.0956999999999</v>
      </c>
    </row>
    <row r="2244" spans="1:14" x14ac:dyDescent="0.35">
      <c r="A2244">
        <v>3230</v>
      </c>
      <c r="B2244" s="4" t="s">
        <v>1201</v>
      </c>
      <c r="C2244" s="4" t="s">
        <v>416</v>
      </c>
      <c r="D2244" s="4" t="s">
        <v>10</v>
      </c>
      <c r="E2244">
        <v>3</v>
      </c>
      <c r="F2244" s="3">
        <v>4694.3100000000004</v>
      </c>
      <c r="G2244" s="2">
        <v>0.09</v>
      </c>
      <c r="H2244" s="3">
        <v>12815.47</v>
      </c>
      <c r="I2244" s="1">
        <v>45563</v>
      </c>
      <c r="J2244" s="4" t="s">
        <v>18</v>
      </c>
      <c r="K2244" s="4" t="s">
        <v>12</v>
      </c>
      <c r="L2244" s="3">
        <v>-215.18</v>
      </c>
      <c r="M2244" s="4" t="s">
        <v>1256</v>
      </c>
      <c r="N2244" s="3">
        <v>14082.93</v>
      </c>
    </row>
    <row r="2245" spans="1:14" x14ac:dyDescent="0.35">
      <c r="A2245">
        <v>3231</v>
      </c>
      <c r="B2245" s="4" t="s">
        <v>278</v>
      </c>
      <c r="C2245" s="4" t="s">
        <v>1112</v>
      </c>
      <c r="D2245" s="4" t="s">
        <v>13</v>
      </c>
      <c r="E2245">
        <v>0</v>
      </c>
      <c r="F2245" s="3">
        <v>2893.7903000000001</v>
      </c>
      <c r="G2245" s="2">
        <v>0.62739130434782597</v>
      </c>
      <c r="H2245" s="3">
        <v>0</v>
      </c>
      <c r="I2245" s="1">
        <v>45345</v>
      </c>
      <c r="J2245" s="4" t="s">
        <v>20</v>
      </c>
      <c r="K2245" s="4" t="s">
        <v>12</v>
      </c>
      <c r="L2245" s="3">
        <v>2837.72</v>
      </c>
      <c r="M2245" s="4" t="s">
        <v>1255</v>
      </c>
      <c r="N2245" s="3">
        <v>0</v>
      </c>
    </row>
    <row r="2246" spans="1:14" hidden="1" x14ac:dyDescent="0.35">
      <c r="A2246">
        <v>3232</v>
      </c>
      <c r="B2246" s="4" t="s">
        <v>230</v>
      </c>
      <c r="C2246" s="4" t="s">
        <v>293</v>
      </c>
      <c r="D2246" s="4" t="s">
        <v>10</v>
      </c>
      <c r="E2246">
        <v>-2</v>
      </c>
      <c r="F2246" s="3">
        <v>2880.2525999999998</v>
      </c>
      <c r="G2246" s="2">
        <v>0.3</v>
      </c>
      <c r="H2246" s="3">
        <v>0</v>
      </c>
      <c r="I2246" s="1">
        <v>45626</v>
      </c>
      <c r="J2246" s="4" t="s">
        <v>18</v>
      </c>
      <c r="K2246" s="4" t="s">
        <v>40</v>
      </c>
      <c r="L2246" s="3">
        <v>1045.42</v>
      </c>
      <c r="M2246" s="4" t="s">
        <v>1255</v>
      </c>
      <c r="N2246" s="3">
        <v>-5760.5051999999996</v>
      </c>
    </row>
    <row r="2247" spans="1:14" x14ac:dyDescent="0.35">
      <c r="A2247">
        <v>3233</v>
      </c>
      <c r="B2247" s="4" t="s">
        <v>1087</v>
      </c>
      <c r="C2247" s="4" t="s">
        <v>1020</v>
      </c>
      <c r="D2247" s="4" t="s">
        <v>15</v>
      </c>
      <c r="E2247">
        <v>0</v>
      </c>
      <c r="F2247" s="3">
        <v>2654.66</v>
      </c>
      <c r="G2247" s="2">
        <v>0.63098901098901095</v>
      </c>
      <c r="H2247" s="3">
        <v>0</v>
      </c>
      <c r="I2247" s="1">
        <v>45491</v>
      </c>
      <c r="J2247" s="4" t="s">
        <v>18</v>
      </c>
      <c r="K2247" s="4" t="s">
        <v>12</v>
      </c>
      <c r="L2247" s="3">
        <v>2008.66</v>
      </c>
      <c r="M2247" s="4" t="s">
        <v>1255</v>
      </c>
      <c r="N2247" s="3">
        <v>0</v>
      </c>
    </row>
    <row r="2248" spans="1:14" hidden="1" x14ac:dyDescent="0.35">
      <c r="A2248">
        <v>3234</v>
      </c>
      <c r="B2248" s="4" t="s">
        <v>50</v>
      </c>
      <c r="C2248" s="4" t="s">
        <v>236</v>
      </c>
      <c r="D2248" s="4" t="s">
        <v>32</v>
      </c>
      <c r="E2248">
        <v>0</v>
      </c>
      <c r="F2248" s="3">
        <v>2068.3000000000002</v>
      </c>
      <c r="G2248" s="2">
        <v>0.63098901098901095</v>
      </c>
      <c r="H2248" s="3">
        <v>0</v>
      </c>
      <c r="I2248" s="1">
        <v>45623</v>
      </c>
      <c r="J2248" s="4" t="s">
        <v>23</v>
      </c>
      <c r="K2248" s="4" t="s">
        <v>40</v>
      </c>
      <c r="L2248" s="3">
        <v>-896.79</v>
      </c>
      <c r="M2248" s="4" t="s">
        <v>1255</v>
      </c>
      <c r="N2248" s="3">
        <v>0</v>
      </c>
    </row>
    <row r="2249" spans="1:14" hidden="1" x14ac:dyDescent="0.35">
      <c r="A2249">
        <v>3235</v>
      </c>
      <c r="B2249" s="4" t="s">
        <v>1202</v>
      </c>
      <c r="C2249" s="4" t="s">
        <v>1032</v>
      </c>
      <c r="D2249" s="4" t="s">
        <v>13</v>
      </c>
      <c r="E2249">
        <v>0</v>
      </c>
      <c r="F2249" s="3">
        <v>3466.1</v>
      </c>
      <c r="G2249" s="2">
        <v>0.63098901098901095</v>
      </c>
      <c r="H2249" s="3">
        <v>0</v>
      </c>
      <c r="I2249" s="1">
        <v>45804</v>
      </c>
      <c r="J2249" s="4" t="s">
        <v>18</v>
      </c>
      <c r="K2249" s="4" t="s">
        <v>40</v>
      </c>
      <c r="L2249" s="3">
        <v>1011.48</v>
      </c>
      <c r="M2249" s="4" t="s">
        <v>1255</v>
      </c>
      <c r="N2249" s="3">
        <v>0</v>
      </c>
    </row>
    <row r="2250" spans="1:14" x14ac:dyDescent="0.35">
      <c r="A2250">
        <v>3236</v>
      </c>
      <c r="B2250" s="4" t="s">
        <v>181</v>
      </c>
      <c r="C2250" s="4" t="s">
        <v>104</v>
      </c>
      <c r="D2250" s="4" t="s">
        <v>34</v>
      </c>
      <c r="E2250">
        <v>0</v>
      </c>
      <c r="F2250" s="3">
        <v>3253.51</v>
      </c>
      <c r="G2250" s="2">
        <v>0.55000000000000004</v>
      </c>
      <c r="H2250" s="3">
        <v>0</v>
      </c>
      <c r="I2250" s="1">
        <v>45654</v>
      </c>
      <c r="J2250" s="4" t="s">
        <v>20</v>
      </c>
      <c r="K2250" s="4" t="s">
        <v>8</v>
      </c>
      <c r="L2250" s="3">
        <v>713.71</v>
      </c>
      <c r="M2250" s="4" t="s">
        <v>1255</v>
      </c>
      <c r="N2250" s="3">
        <v>0</v>
      </c>
    </row>
    <row r="2251" spans="1:14" hidden="1" x14ac:dyDescent="0.35">
      <c r="A2251">
        <v>3237</v>
      </c>
      <c r="B2251" s="4" t="s">
        <v>1203</v>
      </c>
      <c r="C2251" s="4" t="s">
        <v>542</v>
      </c>
      <c r="D2251" s="4" t="s">
        <v>10</v>
      </c>
      <c r="E2251">
        <v>3</v>
      </c>
      <c r="F2251" s="3">
        <v>2883.7271999999998</v>
      </c>
      <c r="G2251" s="2">
        <v>0.63188888888888906</v>
      </c>
      <c r="H2251" s="3">
        <v>0</v>
      </c>
      <c r="I2251" s="1">
        <v>45562</v>
      </c>
      <c r="J2251" s="4" t="s">
        <v>9</v>
      </c>
      <c r="K2251" s="4" t="s">
        <v>40</v>
      </c>
      <c r="L2251" s="3">
        <v>1866.05</v>
      </c>
      <c r="M2251" s="4" t="s">
        <v>1255</v>
      </c>
      <c r="N2251" s="3">
        <v>8651.1815999999999</v>
      </c>
    </row>
    <row r="2252" spans="1:14" hidden="1" x14ac:dyDescent="0.35">
      <c r="A2252">
        <v>3238</v>
      </c>
      <c r="B2252" s="4" t="s">
        <v>93</v>
      </c>
      <c r="C2252" s="4" t="s">
        <v>878</v>
      </c>
      <c r="D2252" s="4" t="s">
        <v>26</v>
      </c>
      <c r="E2252">
        <v>0</v>
      </c>
      <c r="F2252" s="3">
        <v>2880.8606</v>
      </c>
      <c r="G2252" s="2">
        <v>0.87</v>
      </c>
      <c r="H2252" s="3">
        <v>0</v>
      </c>
      <c r="I2252" s="1">
        <v>45560</v>
      </c>
      <c r="J2252" s="4" t="s">
        <v>7</v>
      </c>
      <c r="K2252" s="4" t="s">
        <v>40</v>
      </c>
      <c r="L2252" s="3">
        <v>744.17</v>
      </c>
      <c r="M2252" s="4" t="s">
        <v>1255</v>
      </c>
      <c r="N2252" s="3">
        <v>0</v>
      </c>
    </row>
    <row r="2253" spans="1:14" x14ac:dyDescent="0.35">
      <c r="A2253">
        <v>3239</v>
      </c>
      <c r="B2253" s="4" t="s">
        <v>1204</v>
      </c>
      <c r="C2253" s="4" t="s">
        <v>1114</v>
      </c>
      <c r="D2253" s="4" t="s">
        <v>21</v>
      </c>
      <c r="E2253">
        <v>1</v>
      </c>
      <c r="F2253" s="3">
        <v>4585.71</v>
      </c>
      <c r="G2253" s="2">
        <v>0.62921348314606695</v>
      </c>
      <c r="H2253" s="3">
        <v>0</v>
      </c>
      <c r="I2253" s="1">
        <v>45795</v>
      </c>
      <c r="J2253" s="4" t="s">
        <v>9</v>
      </c>
      <c r="K2253" s="4" t="s">
        <v>12</v>
      </c>
      <c r="L2253" s="3">
        <v>1277.56</v>
      </c>
      <c r="M2253" s="4" t="s">
        <v>1255</v>
      </c>
      <c r="N2253" s="3">
        <v>4585.71</v>
      </c>
    </row>
    <row r="2254" spans="1:14" x14ac:dyDescent="0.35">
      <c r="A2254">
        <v>3240</v>
      </c>
      <c r="B2254" s="4" t="s">
        <v>659</v>
      </c>
      <c r="C2254" s="4" t="s">
        <v>1205</v>
      </c>
      <c r="D2254" s="4" t="s">
        <v>17</v>
      </c>
      <c r="E2254">
        <v>0</v>
      </c>
      <c r="F2254" s="3">
        <v>2880.8606</v>
      </c>
      <c r="G2254" s="2">
        <v>0.62921348314606695</v>
      </c>
      <c r="H2254" s="3">
        <v>0</v>
      </c>
      <c r="I2254" s="1">
        <v>45575</v>
      </c>
      <c r="J2254" s="4" t="s">
        <v>18</v>
      </c>
      <c r="K2254" s="4" t="s">
        <v>12</v>
      </c>
      <c r="L2254" s="3">
        <v>940.05</v>
      </c>
      <c r="M2254" s="4" t="s">
        <v>1255</v>
      </c>
      <c r="N2254" s="3">
        <v>0</v>
      </c>
    </row>
    <row r="2255" spans="1:14" x14ac:dyDescent="0.35">
      <c r="A2255">
        <v>3242</v>
      </c>
      <c r="B2255" s="4" t="s">
        <v>56</v>
      </c>
      <c r="C2255" s="4" t="s">
        <v>316</v>
      </c>
      <c r="D2255" s="4" t="s">
        <v>13</v>
      </c>
      <c r="E2255">
        <v>0</v>
      </c>
      <c r="F2255" s="3">
        <v>2867.5414999999998</v>
      </c>
      <c r="G2255" s="2">
        <v>0.16</v>
      </c>
      <c r="H2255" s="3">
        <v>0</v>
      </c>
      <c r="I2255" s="1">
        <v>45367</v>
      </c>
      <c r="J2255" s="4" t="s">
        <v>11</v>
      </c>
      <c r="K2255" s="4" t="s">
        <v>12</v>
      </c>
      <c r="L2255" s="3">
        <v>2996.49</v>
      </c>
      <c r="M2255" s="4" t="s">
        <v>1255</v>
      </c>
      <c r="N2255" s="3">
        <v>0</v>
      </c>
    </row>
    <row r="2256" spans="1:14" x14ac:dyDescent="0.35">
      <c r="A2256">
        <v>3243</v>
      </c>
      <c r="B2256" s="4" t="s">
        <v>328</v>
      </c>
      <c r="C2256" s="4" t="s">
        <v>369</v>
      </c>
      <c r="D2256" s="4" t="s">
        <v>31</v>
      </c>
      <c r="E2256">
        <v>4</v>
      </c>
      <c r="F2256" s="3">
        <v>2865.0331000000001</v>
      </c>
      <c r="G2256" s="2">
        <v>0.87</v>
      </c>
      <c r="H2256" s="3">
        <v>0</v>
      </c>
      <c r="I2256" s="1">
        <v>45367</v>
      </c>
      <c r="J2256" s="4" t="s">
        <v>7</v>
      </c>
      <c r="K2256" s="4" t="s">
        <v>12</v>
      </c>
      <c r="L2256" s="3">
        <v>1345.46</v>
      </c>
      <c r="M2256" s="4" t="s">
        <v>1255</v>
      </c>
      <c r="N2256" s="3">
        <v>11460.1324</v>
      </c>
    </row>
    <row r="2257" spans="1:14" x14ac:dyDescent="0.35">
      <c r="A2257">
        <v>3244</v>
      </c>
      <c r="B2257" s="4" t="s">
        <v>262</v>
      </c>
      <c r="C2257" s="4" t="s">
        <v>258</v>
      </c>
      <c r="D2257" s="4" t="s">
        <v>33</v>
      </c>
      <c r="E2257">
        <v>-2</v>
      </c>
      <c r="F2257" s="3">
        <v>2865.0331000000001</v>
      </c>
      <c r="G2257" s="2">
        <v>0.47</v>
      </c>
      <c r="H2257" s="3">
        <v>0</v>
      </c>
      <c r="I2257" s="1">
        <v>45714</v>
      </c>
      <c r="J2257" s="4" t="s">
        <v>9</v>
      </c>
      <c r="K2257" s="4" t="s">
        <v>12</v>
      </c>
      <c r="L2257" s="3">
        <v>2205.34</v>
      </c>
      <c r="M2257" s="4" t="s">
        <v>1255</v>
      </c>
      <c r="N2257" s="3">
        <v>-5730.0662000000002</v>
      </c>
    </row>
    <row r="2258" spans="1:14" x14ac:dyDescent="0.35">
      <c r="A2258">
        <v>3245</v>
      </c>
      <c r="B2258" s="4" t="s">
        <v>132</v>
      </c>
      <c r="C2258" s="4" t="s">
        <v>1206</v>
      </c>
      <c r="D2258" s="4" t="s">
        <v>22</v>
      </c>
      <c r="E2258">
        <v>0</v>
      </c>
      <c r="F2258" s="3">
        <v>2865.0331000000001</v>
      </c>
      <c r="G2258" s="2">
        <v>0.63247058823529401</v>
      </c>
      <c r="H2258" s="3">
        <v>0</v>
      </c>
      <c r="I2258" s="1">
        <v>45282</v>
      </c>
      <c r="J2258" s="4" t="s">
        <v>23</v>
      </c>
      <c r="K2258" s="4" t="s">
        <v>12</v>
      </c>
      <c r="L2258" s="3">
        <v>1403.98</v>
      </c>
      <c r="M2258" s="4" t="s">
        <v>1255</v>
      </c>
      <c r="N2258" s="3">
        <v>0</v>
      </c>
    </row>
    <row r="2259" spans="1:14" hidden="1" x14ac:dyDescent="0.35">
      <c r="A2259">
        <v>3246</v>
      </c>
      <c r="B2259" s="4" t="s">
        <v>849</v>
      </c>
      <c r="C2259" s="4" t="s">
        <v>88</v>
      </c>
      <c r="D2259" s="4" t="s">
        <v>16</v>
      </c>
      <c r="E2259">
        <v>0</v>
      </c>
      <c r="F2259" s="3">
        <v>4842.74</v>
      </c>
      <c r="G2259" s="2">
        <v>0.63247058823529401</v>
      </c>
      <c r="H2259" s="3">
        <v>0</v>
      </c>
      <c r="I2259" s="1">
        <v>45282</v>
      </c>
      <c r="J2259" s="4" t="s">
        <v>20</v>
      </c>
      <c r="K2259" s="4" t="s">
        <v>40</v>
      </c>
      <c r="L2259" s="3">
        <v>2628.24</v>
      </c>
      <c r="M2259" s="4" t="s">
        <v>1255</v>
      </c>
      <c r="N2259" s="3">
        <v>0</v>
      </c>
    </row>
    <row r="2260" spans="1:14" x14ac:dyDescent="0.35">
      <c r="A2260">
        <v>3247</v>
      </c>
      <c r="B2260" s="4" t="s">
        <v>458</v>
      </c>
      <c r="C2260" s="4" t="s">
        <v>1076</v>
      </c>
      <c r="D2260" s="4" t="s">
        <v>17</v>
      </c>
      <c r="E2260">
        <v>0</v>
      </c>
      <c r="F2260" s="3">
        <v>2865.0331000000001</v>
      </c>
      <c r="G2260" s="2">
        <v>0.63247058823529401</v>
      </c>
      <c r="H2260" s="3">
        <v>0</v>
      </c>
      <c r="I2260" s="1">
        <v>45631</v>
      </c>
      <c r="J2260" s="4" t="s">
        <v>7</v>
      </c>
      <c r="K2260" s="4" t="s">
        <v>12</v>
      </c>
      <c r="L2260" s="3">
        <v>2182.4899999999998</v>
      </c>
      <c r="M2260" s="4" t="s">
        <v>1255</v>
      </c>
      <c r="N2260" s="3">
        <v>0</v>
      </c>
    </row>
    <row r="2261" spans="1:14" hidden="1" x14ac:dyDescent="0.35">
      <c r="A2261">
        <v>3248</v>
      </c>
      <c r="B2261" s="4" t="s">
        <v>274</v>
      </c>
      <c r="C2261" s="4" t="s">
        <v>611</v>
      </c>
      <c r="D2261" s="4" t="s">
        <v>17</v>
      </c>
      <c r="E2261">
        <v>0</v>
      </c>
      <c r="F2261" s="3">
        <v>2061.91</v>
      </c>
      <c r="G2261" s="2">
        <v>0.63247058823529401</v>
      </c>
      <c r="H2261" s="3">
        <v>0</v>
      </c>
      <c r="I2261" s="1">
        <v>45800</v>
      </c>
      <c r="J2261" s="4" t="s">
        <v>9</v>
      </c>
      <c r="K2261" s="4" t="s">
        <v>40</v>
      </c>
      <c r="L2261" s="3">
        <v>-729.1</v>
      </c>
      <c r="M2261" s="4" t="s">
        <v>1255</v>
      </c>
      <c r="N2261" s="3">
        <v>0</v>
      </c>
    </row>
    <row r="2262" spans="1:14" hidden="1" x14ac:dyDescent="0.35">
      <c r="A2262">
        <v>3249</v>
      </c>
      <c r="B2262" s="4" t="s">
        <v>568</v>
      </c>
      <c r="C2262" s="4" t="s">
        <v>1058</v>
      </c>
      <c r="D2262" s="4" t="s">
        <v>15</v>
      </c>
      <c r="E2262">
        <v>0</v>
      </c>
      <c r="F2262" s="3">
        <v>2849.337</v>
      </c>
      <c r="G2262" s="2">
        <v>0.63247058823529401</v>
      </c>
      <c r="H2262" s="3">
        <v>0</v>
      </c>
      <c r="I2262" s="1">
        <v>45800</v>
      </c>
      <c r="J2262" s="4" t="s">
        <v>7</v>
      </c>
      <c r="K2262" s="4" t="s">
        <v>40</v>
      </c>
      <c r="L2262" s="3">
        <v>1787.82</v>
      </c>
      <c r="M2262" s="4" t="s">
        <v>1255</v>
      </c>
      <c r="N2262" s="3">
        <v>0</v>
      </c>
    </row>
    <row r="2263" spans="1:14" hidden="1" x14ac:dyDescent="0.35">
      <c r="A2263">
        <v>3250</v>
      </c>
      <c r="B2263" s="4" t="s">
        <v>366</v>
      </c>
      <c r="C2263" s="4" t="s">
        <v>656</v>
      </c>
      <c r="D2263" s="4" t="s">
        <v>15</v>
      </c>
      <c r="E2263">
        <v>0</v>
      </c>
      <c r="F2263" s="3">
        <v>2855.6363999999999</v>
      </c>
      <c r="G2263" s="2">
        <v>0.63247058823529401</v>
      </c>
      <c r="H2263" s="3">
        <v>0</v>
      </c>
      <c r="I2263" s="1">
        <v>45800</v>
      </c>
      <c r="J2263" s="4" t="s">
        <v>18</v>
      </c>
      <c r="K2263" s="4" t="s">
        <v>40</v>
      </c>
      <c r="L2263" s="3">
        <v>2200.6</v>
      </c>
      <c r="M2263" s="4" t="s">
        <v>1255</v>
      </c>
      <c r="N2263" s="3">
        <v>0</v>
      </c>
    </row>
    <row r="2264" spans="1:14" x14ac:dyDescent="0.35">
      <c r="A2264">
        <v>3251</v>
      </c>
      <c r="B2264" s="4" t="s">
        <v>334</v>
      </c>
      <c r="C2264" s="4" t="s">
        <v>842</v>
      </c>
      <c r="D2264" s="4" t="s">
        <v>24</v>
      </c>
      <c r="E2264">
        <v>0</v>
      </c>
      <c r="F2264" s="3">
        <v>2855.6363999999999</v>
      </c>
      <c r="G2264" s="2">
        <v>0.63247058823529401</v>
      </c>
      <c r="H2264" s="3">
        <v>0</v>
      </c>
      <c r="I2264" s="1">
        <v>45672</v>
      </c>
      <c r="J2264" s="4" t="s">
        <v>7</v>
      </c>
      <c r="K2264" s="4" t="s">
        <v>8</v>
      </c>
      <c r="L2264" s="3">
        <v>2977.81</v>
      </c>
      <c r="M2264" s="4" t="s">
        <v>1255</v>
      </c>
      <c r="N2264" s="3">
        <v>0</v>
      </c>
    </row>
    <row r="2265" spans="1:14" x14ac:dyDescent="0.35">
      <c r="A2265">
        <v>3252</v>
      </c>
      <c r="B2265" s="4" t="s">
        <v>264</v>
      </c>
      <c r="C2265" s="4" t="s">
        <v>82</v>
      </c>
      <c r="D2265" s="4" t="s">
        <v>38</v>
      </c>
      <c r="E2265">
        <v>0</v>
      </c>
      <c r="F2265" s="3">
        <v>2855.6363999999999</v>
      </c>
      <c r="G2265" s="2">
        <v>0.63247058823529401</v>
      </c>
      <c r="H2265" s="3">
        <v>0</v>
      </c>
      <c r="I2265" s="1">
        <v>45700</v>
      </c>
      <c r="J2265" s="4" t="s">
        <v>9</v>
      </c>
      <c r="K2265" s="4" t="s">
        <v>12</v>
      </c>
      <c r="L2265" s="3">
        <v>-544.70000000000005</v>
      </c>
      <c r="M2265" s="4" t="s">
        <v>1255</v>
      </c>
      <c r="N2265" s="3">
        <v>0</v>
      </c>
    </row>
    <row r="2266" spans="1:14" hidden="1" x14ac:dyDescent="0.35">
      <c r="A2266">
        <v>3253</v>
      </c>
      <c r="B2266" s="4" t="s">
        <v>1004</v>
      </c>
      <c r="C2266" s="4" t="s">
        <v>247</v>
      </c>
      <c r="D2266" s="4" t="s">
        <v>27</v>
      </c>
      <c r="E2266">
        <v>5</v>
      </c>
      <c r="F2266" s="3">
        <v>4429.95</v>
      </c>
      <c r="G2266" s="2">
        <v>0.35</v>
      </c>
      <c r="H2266" s="3">
        <v>14397.34</v>
      </c>
      <c r="I2266" s="1">
        <v>45727</v>
      </c>
      <c r="J2266" s="4" t="s">
        <v>23</v>
      </c>
      <c r="K2266" s="4" t="s">
        <v>40</v>
      </c>
      <c r="L2266" s="3">
        <v>-746.94</v>
      </c>
      <c r="M2266" s="4" t="s">
        <v>1256</v>
      </c>
      <c r="N2266" s="3">
        <v>22149.75</v>
      </c>
    </row>
    <row r="2267" spans="1:14" x14ac:dyDescent="0.35">
      <c r="A2267">
        <v>3254</v>
      </c>
      <c r="B2267" s="4" t="s">
        <v>745</v>
      </c>
      <c r="C2267" s="4" t="s">
        <v>202</v>
      </c>
      <c r="D2267" s="4" t="s">
        <v>27</v>
      </c>
      <c r="E2267">
        <v>-2</v>
      </c>
      <c r="F2267" s="3">
        <v>2855.6363999999999</v>
      </c>
      <c r="G2267" s="2">
        <v>1.02</v>
      </c>
      <c r="H2267" s="3">
        <v>0</v>
      </c>
      <c r="I2267" s="1">
        <v>45815</v>
      </c>
      <c r="J2267" s="4" t="s">
        <v>20</v>
      </c>
      <c r="K2267" s="4" t="s">
        <v>8</v>
      </c>
      <c r="L2267" s="3">
        <v>2285.19</v>
      </c>
      <c r="M2267" s="4" t="s">
        <v>1255</v>
      </c>
      <c r="N2267" s="3">
        <v>-5711.2727999999997</v>
      </c>
    </row>
    <row r="2268" spans="1:14" x14ac:dyDescent="0.35">
      <c r="A2268">
        <v>3255</v>
      </c>
      <c r="B2268" s="4" t="s">
        <v>482</v>
      </c>
      <c r="C2268" s="4" t="s">
        <v>337</v>
      </c>
      <c r="D2268" s="4" t="s">
        <v>33</v>
      </c>
      <c r="E2268">
        <v>6</v>
      </c>
      <c r="F2268" s="3">
        <v>3904.86</v>
      </c>
      <c r="G2268" s="2">
        <v>0.63120481927710803</v>
      </c>
      <c r="H2268" s="3">
        <v>0</v>
      </c>
      <c r="I2268" s="1">
        <v>45630</v>
      </c>
      <c r="J2268" s="4" t="s">
        <v>11</v>
      </c>
      <c r="K2268" s="4" t="s">
        <v>8</v>
      </c>
      <c r="L2268" s="3">
        <v>1504.25</v>
      </c>
      <c r="M2268" s="4" t="s">
        <v>1255</v>
      </c>
      <c r="N2268" s="3">
        <v>23429.16</v>
      </c>
    </row>
    <row r="2269" spans="1:14" x14ac:dyDescent="0.35">
      <c r="A2269">
        <v>3256</v>
      </c>
      <c r="B2269" s="4" t="s">
        <v>208</v>
      </c>
      <c r="C2269" s="4" t="s">
        <v>218</v>
      </c>
      <c r="D2269" s="4" t="s">
        <v>15</v>
      </c>
      <c r="E2269">
        <v>2</v>
      </c>
      <c r="F2269" s="3">
        <v>2842.9403000000002</v>
      </c>
      <c r="G2269" s="2">
        <v>0.63120481927710803</v>
      </c>
      <c r="H2269" s="3">
        <v>0</v>
      </c>
      <c r="I2269" s="1">
        <v>45860</v>
      </c>
      <c r="J2269" s="4" t="s">
        <v>11</v>
      </c>
      <c r="K2269" s="4" t="s">
        <v>12</v>
      </c>
      <c r="L2269" s="3">
        <v>298.94</v>
      </c>
      <c r="M2269" s="4" t="s">
        <v>1255</v>
      </c>
      <c r="N2269" s="3">
        <v>5685.8806000000004</v>
      </c>
    </row>
    <row r="2270" spans="1:14" x14ac:dyDescent="0.35">
      <c r="A2270">
        <v>3257</v>
      </c>
      <c r="B2270" s="4" t="s">
        <v>110</v>
      </c>
      <c r="C2270" s="4" t="s">
        <v>349</v>
      </c>
      <c r="D2270" s="4" t="s">
        <v>28</v>
      </c>
      <c r="E2270">
        <v>-2</v>
      </c>
      <c r="F2270" s="3">
        <v>2834.3067999999998</v>
      </c>
      <c r="G2270" s="2">
        <v>0.63120481927710803</v>
      </c>
      <c r="H2270" s="3">
        <v>0</v>
      </c>
      <c r="I2270" s="1">
        <v>45734</v>
      </c>
      <c r="J2270" s="4" t="s">
        <v>23</v>
      </c>
      <c r="K2270" s="4" t="s">
        <v>12</v>
      </c>
      <c r="L2270" s="3">
        <v>-271.48</v>
      </c>
      <c r="M2270" s="4" t="s">
        <v>1255</v>
      </c>
      <c r="N2270" s="3">
        <v>-5668.6135999999997</v>
      </c>
    </row>
    <row r="2271" spans="1:14" x14ac:dyDescent="0.35">
      <c r="A2271">
        <v>3258</v>
      </c>
      <c r="B2271" s="4" t="s">
        <v>1207</v>
      </c>
      <c r="C2271" s="4" t="s">
        <v>949</v>
      </c>
      <c r="D2271" s="4" t="s">
        <v>13</v>
      </c>
      <c r="E2271">
        <v>0</v>
      </c>
      <c r="F2271" s="3">
        <v>2834.3067999999998</v>
      </c>
      <c r="G2271" s="2">
        <v>0.63120481927710803</v>
      </c>
      <c r="H2271" s="3">
        <v>0</v>
      </c>
      <c r="I2271" s="1">
        <v>45722</v>
      </c>
      <c r="J2271" s="4" t="s">
        <v>9</v>
      </c>
      <c r="K2271" s="4" t="s">
        <v>12</v>
      </c>
      <c r="L2271" s="3">
        <v>682.17</v>
      </c>
      <c r="M2271" s="4" t="s">
        <v>1255</v>
      </c>
      <c r="N2271" s="3">
        <v>0</v>
      </c>
    </row>
    <row r="2272" spans="1:14" x14ac:dyDescent="0.35">
      <c r="A2272">
        <v>3259</v>
      </c>
      <c r="B2272" s="4" t="s">
        <v>419</v>
      </c>
      <c r="C2272" s="4" t="s">
        <v>50</v>
      </c>
      <c r="D2272" s="4" t="s">
        <v>29</v>
      </c>
      <c r="E2272">
        <v>0</v>
      </c>
      <c r="F2272" s="3">
        <v>2834.3067999999998</v>
      </c>
      <c r="G2272" s="2">
        <v>0.63120481927710803</v>
      </c>
      <c r="H2272" s="3">
        <v>0</v>
      </c>
      <c r="I2272" s="1">
        <v>45766</v>
      </c>
      <c r="J2272" s="4" t="s">
        <v>11</v>
      </c>
      <c r="K2272" s="4" t="s">
        <v>12</v>
      </c>
      <c r="L2272" s="3">
        <v>2448.2199999999998</v>
      </c>
      <c r="M2272" s="4" t="s">
        <v>1255</v>
      </c>
      <c r="N2272" s="3">
        <v>0</v>
      </c>
    </row>
    <row r="2273" spans="1:14" x14ac:dyDescent="0.35">
      <c r="A2273">
        <v>3261</v>
      </c>
      <c r="B2273" s="4" t="s">
        <v>348</v>
      </c>
      <c r="C2273" s="4" t="s">
        <v>160</v>
      </c>
      <c r="D2273" s="4" t="s">
        <v>30</v>
      </c>
      <c r="E2273">
        <v>-1</v>
      </c>
      <c r="F2273" s="3">
        <v>2834.3067999999998</v>
      </c>
      <c r="G2273" s="2">
        <v>0.63073170731707295</v>
      </c>
      <c r="H2273" s="3">
        <v>0</v>
      </c>
      <c r="I2273" s="1">
        <v>45789</v>
      </c>
      <c r="J2273" s="4" t="s">
        <v>20</v>
      </c>
      <c r="K2273" s="4" t="s">
        <v>8</v>
      </c>
      <c r="L2273" s="3">
        <v>-602.39</v>
      </c>
      <c r="M2273" s="4" t="s">
        <v>1255</v>
      </c>
      <c r="N2273" s="3">
        <v>-2834.3067999999998</v>
      </c>
    </row>
    <row r="2274" spans="1:14" hidden="1" x14ac:dyDescent="0.35">
      <c r="A2274">
        <v>3262</v>
      </c>
      <c r="B2274" s="4" t="s">
        <v>435</v>
      </c>
      <c r="C2274" s="4" t="s">
        <v>1076</v>
      </c>
      <c r="D2274" s="4" t="s">
        <v>35</v>
      </c>
      <c r="E2274">
        <v>0</v>
      </c>
      <c r="F2274" s="3">
        <v>3727.53</v>
      </c>
      <c r="G2274" s="2">
        <v>0.63073170731707295</v>
      </c>
      <c r="H2274" s="3">
        <v>0</v>
      </c>
      <c r="I2274" s="1">
        <v>45789</v>
      </c>
      <c r="J2274" s="4" t="s">
        <v>9</v>
      </c>
      <c r="K2274" s="4" t="s">
        <v>40</v>
      </c>
      <c r="L2274" s="3">
        <v>29.62</v>
      </c>
      <c r="M2274" s="4" t="s">
        <v>1255</v>
      </c>
      <c r="N2274" s="3">
        <v>0</v>
      </c>
    </row>
    <row r="2275" spans="1:14" x14ac:dyDescent="0.35">
      <c r="A2275">
        <v>3263</v>
      </c>
      <c r="B2275" s="4" t="s">
        <v>62</v>
      </c>
      <c r="C2275" s="4" t="s">
        <v>1208</v>
      </c>
      <c r="D2275" s="4" t="s">
        <v>22</v>
      </c>
      <c r="E2275">
        <v>6</v>
      </c>
      <c r="F2275" s="3">
        <v>3121.49</v>
      </c>
      <c r="G2275" s="2">
        <v>0.63073170731707295</v>
      </c>
      <c r="H2275" s="3">
        <v>0</v>
      </c>
      <c r="I2275" s="1">
        <v>45678</v>
      </c>
      <c r="J2275" s="4" t="s">
        <v>18</v>
      </c>
      <c r="K2275" s="4" t="s">
        <v>12</v>
      </c>
      <c r="L2275" s="3">
        <v>1156.27</v>
      </c>
      <c r="M2275" s="4" t="s">
        <v>1255</v>
      </c>
      <c r="N2275" s="3">
        <v>18728.939999999999</v>
      </c>
    </row>
    <row r="2276" spans="1:14" hidden="1" x14ac:dyDescent="0.35">
      <c r="A2276">
        <v>3264</v>
      </c>
      <c r="B2276" s="4" t="s">
        <v>358</v>
      </c>
      <c r="C2276" s="4" t="s">
        <v>1133</v>
      </c>
      <c r="D2276" s="4" t="s">
        <v>25</v>
      </c>
      <c r="E2276">
        <v>0</v>
      </c>
      <c r="F2276" s="3">
        <v>944.36</v>
      </c>
      <c r="G2276" s="2">
        <v>7.0000000000000007E-2</v>
      </c>
      <c r="H2276" s="3">
        <v>0</v>
      </c>
      <c r="I2276" s="1">
        <v>45831</v>
      </c>
      <c r="J2276" s="4" t="s">
        <v>23</v>
      </c>
      <c r="K2276" s="4" t="s">
        <v>40</v>
      </c>
      <c r="L2276" s="3">
        <v>1133.74</v>
      </c>
      <c r="M2276" s="4" t="s">
        <v>1255</v>
      </c>
      <c r="N2276" s="3">
        <v>0</v>
      </c>
    </row>
    <row r="2277" spans="1:14" x14ac:dyDescent="0.35">
      <c r="A2277">
        <v>3265</v>
      </c>
      <c r="B2277" s="4" t="s">
        <v>67</v>
      </c>
      <c r="C2277" s="4" t="s">
        <v>697</v>
      </c>
      <c r="D2277" s="4" t="s">
        <v>34</v>
      </c>
      <c r="E2277">
        <v>-1</v>
      </c>
      <c r="F2277" s="3">
        <v>1882.93</v>
      </c>
      <c r="G2277" s="2">
        <v>0.63765432098765396</v>
      </c>
      <c r="H2277" s="3">
        <v>0</v>
      </c>
      <c r="I2277" s="1">
        <v>45835</v>
      </c>
      <c r="J2277" s="4" t="s">
        <v>18</v>
      </c>
      <c r="K2277" s="4" t="s">
        <v>12</v>
      </c>
      <c r="L2277" s="3">
        <v>520.85</v>
      </c>
      <c r="M2277" s="4" t="s">
        <v>1255</v>
      </c>
      <c r="N2277" s="3">
        <v>-1882.93</v>
      </c>
    </row>
    <row r="2278" spans="1:14" x14ac:dyDescent="0.35">
      <c r="A2278">
        <v>3266</v>
      </c>
      <c r="B2278" s="4" t="s">
        <v>582</v>
      </c>
      <c r="C2278" s="4" t="s">
        <v>505</v>
      </c>
      <c r="D2278" s="4" t="s">
        <v>26</v>
      </c>
      <c r="E2278">
        <v>0</v>
      </c>
      <c r="F2278" s="3">
        <v>3349.58</v>
      </c>
      <c r="G2278" s="2">
        <v>0.63765432098765396</v>
      </c>
      <c r="H2278" s="3">
        <v>0</v>
      </c>
      <c r="I2278" s="1">
        <v>45835</v>
      </c>
      <c r="J2278" s="4" t="s">
        <v>11</v>
      </c>
      <c r="K2278" s="4" t="s">
        <v>12</v>
      </c>
      <c r="L2278" s="3">
        <v>1085.2</v>
      </c>
      <c r="M2278" s="4" t="s">
        <v>1255</v>
      </c>
      <c r="N2278" s="3">
        <v>0</v>
      </c>
    </row>
    <row r="2279" spans="1:14" x14ac:dyDescent="0.35">
      <c r="A2279">
        <v>3267</v>
      </c>
      <c r="B2279" s="4" t="s">
        <v>1209</v>
      </c>
      <c r="C2279" s="4" t="s">
        <v>1048</v>
      </c>
      <c r="D2279" s="4" t="s">
        <v>24</v>
      </c>
      <c r="E2279">
        <v>1</v>
      </c>
      <c r="F2279" s="3">
        <v>3965.8</v>
      </c>
      <c r="G2279" s="2">
        <v>0.48</v>
      </c>
      <c r="H2279" s="3">
        <v>2062.2199999999998</v>
      </c>
      <c r="I2279" s="1">
        <v>45587</v>
      </c>
      <c r="J2279" s="4" t="s">
        <v>18</v>
      </c>
      <c r="K2279" s="4" t="s">
        <v>12</v>
      </c>
      <c r="L2279" s="3">
        <v>1222.8499999999999</v>
      </c>
      <c r="M2279" s="4" t="s">
        <v>1256</v>
      </c>
      <c r="N2279" s="3">
        <v>3965.8</v>
      </c>
    </row>
    <row r="2280" spans="1:14" hidden="1" x14ac:dyDescent="0.35">
      <c r="A2280">
        <v>3269</v>
      </c>
      <c r="B2280" s="4" t="s">
        <v>481</v>
      </c>
      <c r="C2280" s="4" t="s">
        <v>92</v>
      </c>
      <c r="D2280" s="4" t="s">
        <v>15</v>
      </c>
      <c r="E2280">
        <v>0</v>
      </c>
      <c r="F2280" s="3">
        <v>2998.25</v>
      </c>
      <c r="G2280" s="2">
        <v>1.19</v>
      </c>
      <c r="H2280" s="3">
        <v>0</v>
      </c>
      <c r="I2280" s="1">
        <v>45380</v>
      </c>
      <c r="J2280" s="4" t="s">
        <v>9</v>
      </c>
      <c r="K2280" s="4" t="s">
        <v>40</v>
      </c>
      <c r="L2280" s="3">
        <v>-781.65</v>
      </c>
      <c r="M2280" s="4" t="s">
        <v>1255</v>
      </c>
      <c r="N2280" s="3">
        <v>0</v>
      </c>
    </row>
    <row r="2281" spans="1:14" hidden="1" x14ac:dyDescent="0.35">
      <c r="A2281">
        <v>3270</v>
      </c>
      <c r="B2281" s="4" t="s">
        <v>139</v>
      </c>
      <c r="C2281" s="4" t="s">
        <v>132</v>
      </c>
      <c r="D2281" s="4" t="s">
        <v>37</v>
      </c>
      <c r="E2281">
        <v>3</v>
      </c>
      <c r="F2281" s="3">
        <v>3190.74</v>
      </c>
      <c r="G2281" s="2">
        <v>0.96</v>
      </c>
      <c r="H2281" s="3">
        <v>382.89</v>
      </c>
      <c r="I2281" s="1">
        <v>45380</v>
      </c>
      <c r="J2281" s="4" t="s">
        <v>9</v>
      </c>
      <c r="K2281" s="4" t="s">
        <v>40</v>
      </c>
      <c r="L2281" s="3">
        <v>2195.96</v>
      </c>
      <c r="M2281" s="4" t="s">
        <v>1256</v>
      </c>
      <c r="N2281" s="3">
        <v>9572.2199999999993</v>
      </c>
    </row>
    <row r="2282" spans="1:14" x14ac:dyDescent="0.35">
      <c r="A2282">
        <v>3271</v>
      </c>
      <c r="B2282" s="4" t="s">
        <v>228</v>
      </c>
      <c r="C2282" s="4" t="s">
        <v>1210</v>
      </c>
      <c r="D2282" s="4" t="s">
        <v>33</v>
      </c>
      <c r="E2282">
        <v>0</v>
      </c>
      <c r="F2282" s="3">
        <v>2672.26</v>
      </c>
      <c r="G2282" s="2">
        <v>0.28999999999999998</v>
      </c>
      <c r="H2282" s="3">
        <v>0</v>
      </c>
      <c r="I2282" s="1">
        <v>45662</v>
      </c>
      <c r="J2282" s="4" t="s">
        <v>9</v>
      </c>
      <c r="K2282" s="4" t="s">
        <v>8</v>
      </c>
      <c r="L2282" s="3">
        <v>722.57</v>
      </c>
      <c r="M2282" s="4" t="s">
        <v>1255</v>
      </c>
      <c r="N2282" s="3">
        <v>0</v>
      </c>
    </row>
    <row r="2283" spans="1:14" x14ac:dyDescent="0.35">
      <c r="A2283">
        <v>3272</v>
      </c>
      <c r="B2283" s="4" t="s">
        <v>65</v>
      </c>
      <c r="C2283" s="4" t="s">
        <v>80</v>
      </c>
      <c r="D2283" s="4" t="s">
        <v>29</v>
      </c>
      <c r="E2283">
        <v>3</v>
      </c>
      <c r="F2283" s="3">
        <v>4236.45</v>
      </c>
      <c r="G2283" s="2">
        <v>0.63285714285714301</v>
      </c>
      <c r="H2283" s="3">
        <v>0</v>
      </c>
      <c r="I2283" s="1">
        <v>45531</v>
      </c>
      <c r="J2283" s="4" t="s">
        <v>11</v>
      </c>
      <c r="K2283" s="4" t="s">
        <v>8</v>
      </c>
      <c r="L2283" s="3">
        <v>-849.83</v>
      </c>
      <c r="M2283" s="4" t="s">
        <v>1255</v>
      </c>
      <c r="N2283" s="3">
        <v>12709.35</v>
      </c>
    </row>
    <row r="2284" spans="1:14" x14ac:dyDescent="0.35">
      <c r="A2284">
        <v>3273</v>
      </c>
      <c r="B2284" s="4" t="s">
        <v>111</v>
      </c>
      <c r="C2284" s="4" t="s">
        <v>316</v>
      </c>
      <c r="D2284" s="4" t="s">
        <v>29</v>
      </c>
      <c r="E2284">
        <v>0</v>
      </c>
      <c r="F2284" s="3">
        <v>4089.68</v>
      </c>
      <c r="G2284" s="2">
        <v>0.63285714285714301</v>
      </c>
      <c r="H2284" s="3">
        <v>0</v>
      </c>
      <c r="I2284" s="1">
        <v>45516</v>
      </c>
      <c r="J2284" s="4" t="s">
        <v>18</v>
      </c>
      <c r="K2284" s="4" t="s">
        <v>12</v>
      </c>
      <c r="L2284" s="3">
        <v>-713.14</v>
      </c>
      <c r="M2284" s="4" t="s">
        <v>1255</v>
      </c>
      <c r="N2284" s="3">
        <v>0</v>
      </c>
    </row>
    <row r="2285" spans="1:14" x14ac:dyDescent="0.35">
      <c r="A2285">
        <v>3274</v>
      </c>
      <c r="B2285" s="4" t="s">
        <v>226</v>
      </c>
      <c r="C2285" s="4" t="s">
        <v>1193</v>
      </c>
      <c r="D2285" s="4" t="s">
        <v>17</v>
      </c>
      <c r="E2285">
        <v>-2</v>
      </c>
      <c r="F2285" s="3">
        <v>4409.22</v>
      </c>
      <c r="G2285" s="2">
        <v>0.63285714285714301</v>
      </c>
      <c r="H2285" s="3">
        <v>0</v>
      </c>
      <c r="I2285" s="1">
        <v>45534</v>
      </c>
      <c r="J2285" s="4" t="s">
        <v>7</v>
      </c>
      <c r="K2285" s="4" t="s">
        <v>8</v>
      </c>
      <c r="L2285" s="3">
        <v>2886.62</v>
      </c>
      <c r="M2285" s="4" t="s">
        <v>1255</v>
      </c>
      <c r="N2285" s="3">
        <v>-8818.44</v>
      </c>
    </row>
    <row r="2286" spans="1:14" x14ac:dyDescent="0.35">
      <c r="A2286">
        <v>3275</v>
      </c>
      <c r="B2286" s="4" t="s">
        <v>1135</v>
      </c>
      <c r="C2286" s="4" t="s">
        <v>1171</v>
      </c>
      <c r="D2286" s="4" t="s">
        <v>33</v>
      </c>
      <c r="E2286">
        <v>6</v>
      </c>
      <c r="F2286" s="3">
        <v>2824.3245999999999</v>
      </c>
      <c r="G2286" s="2">
        <v>0.63285714285714301</v>
      </c>
      <c r="H2286" s="3">
        <v>0</v>
      </c>
      <c r="I2286" s="1">
        <v>45520</v>
      </c>
      <c r="J2286" s="4" t="s">
        <v>9</v>
      </c>
      <c r="K2286" s="4" t="s">
        <v>8</v>
      </c>
      <c r="L2286" s="3">
        <v>-733.06</v>
      </c>
      <c r="M2286" s="4" t="s">
        <v>1255</v>
      </c>
      <c r="N2286" s="3">
        <v>16945.9476</v>
      </c>
    </row>
    <row r="2287" spans="1:14" x14ac:dyDescent="0.35">
      <c r="A2287">
        <v>3276</v>
      </c>
      <c r="B2287" s="4" t="s">
        <v>549</v>
      </c>
      <c r="C2287" s="4" t="s">
        <v>769</v>
      </c>
      <c r="D2287" s="4" t="s">
        <v>37</v>
      </c>
      <c r="E2287">
        <v>6</v>
      </c>
      <c r="F2287" s="3">
        <v>2809.9164999999998</v>
      </c>
      <c r="G2287" s="2">
        <v>0.63285714285714301</v>
      </c>
      <c r="H2287" s="3">
        <v>0</v>
      </c>
      <c r="I2287" s="1">
        <v>45664</v>
      </c>
      <c r="J2287" s="4" t="s">
        <v>20</v>
      </c>
      <c r="K2287" s="4" t="s">
        <v>8</v>
      </c>
      <c r="L2287" s="3">
        <v>-659.65</v>
      </c>
      <c r="M2287" s="4" t="s">
        <v>1255</v>
      </c>
      <c r="N2287" s="3">
        <v>16859.499</v>
      </c>
    </row>
    <row r="2288" spans="1:14" x14ac:dyDescent="0.35">
      <c r="A2288">
        <v>3277</v>
      </c>
      <c r="B2288" s="4" t="s">
        <v>128</v>
      </c>
      <c r="C2288" s="4" t="s">
        <v>205</v>
      </c>
      <c r="D2288" s="4" t="s">
        <v>30</v>
      </c>
      <c r="E2288">
        <v>0</v>
      </c>
      <c r="F2288" s="3">
        <v>3583.06</v>
      </c>
      <c r="G2288" s="2">
        <v>0.63285714285714301</v>
      </c>
      <c r="H2288" s="3">
        <v>0</v>
      </c>
      <c r="I2288" s="1">
        <v>45664</v>
      </c>
      <c r="J2288" s="4" t="s">
        <v>9</v>
      </c>
      <c r="K2288" s="4" t="s">
        <v>8</v>
      </c>
      <c r="L2288" s="3">
        <v>2185.25</v>
      </c>
      <c r="M2288" s="4" t="s">
        <v>1255</v>
      </c>
      <c r="N2288" s="3">
        <v>0</v>
      </c>
    </row>
    <row r="2289" spans="1:14" x14ac:dyDescent="0.35">
      <c r="A2289">
        <v>3278</v>
      </c>
      <c r="B2289" s="4" t="s">
        <v>572</v>
      </c>
      <c r="C2289" s="4" t="s">
        <v>924</v>
      </c>
      <c r="D2289" s="4" t="s">
        <v>14</v>
      </c>
      <c r="E2289">
        <v>0</v>
      </c>
      <c r="F2289" s="3">
        <v>3767.69</v>
      </c>
      <c r="G2289" s="2">
        <v>0.46</v>
      </c>
      <c r="H2289" s="3">
        <v>0</v>
      </c>
      <c r="I2289" s="1">
        <v>45556</v>
      </c>
      <c r="J2289" s="4" t="s">
        <v>18</v>
      </c>
      <c r="K2289" s="4" t="s">
        <v>8</v>
      </c>
      <c r="L2289" s="3">
        <v>746.84</v>
      </c>
      <c r="M2289" s="4" t="s">
        <v>1255</v>
      </c>
      <c r="N2289" s="3">
        <v>0</v>
      </c>
    </row>
    <row r="2290" spans="1:14" x14ac:dyDescent="0.35">
      <c r="A2290">
        <v>3279</v>
      </c>
      <c r="B2290" s="4" t="s">
        <v>172</v>
      </c>
      <c r="C2290" s="4" t="s">
        <v>1211</v>
      </c>
      <c r="D2290" s="4" t="s">
        <v>33</v>
      </c>
      <c r="E2290">
        <v>0</v>
      </c>
      <c r="F2290" s="3">
        <v>4643.96</v>
      </c>
      <c r="G2290" s="2">
        <v>0.82</v>
      </c>
      <c r="H2290" s="3">
        <v>0</v>
      </c>
      <c r="I2290" s="1">
        <v>45553</v>
      </c>
      <c r="J2290" s="4" t="s">
        <v>18</v>
      </c>
      <c r="K2290" s="4" t="s">
        <v>8</v>
      </c>
      <c r="L2290" s="3">
        <v>2569.86</v>
      </c>
      <c r="M2290" s="4" t="s">
        <v>1255</v>
      </c>
      <c r="N2290" s="3">
        <v>0</v>
      </c>
    </row>
    <row r="2291" spans="1:14" hidden="1" x14ac:dyDescent="0.35">
      <c r="A2291">
        <v>3280</v>
      </c>
      <c r="B2291" s="4" t="s">
        <v>244</v>
      </c>
      <c r="C2291" s="4" t="s">
        <v>353</v>
      </c>
      <c r="D2291" s="4" t="s">
        <v>25</v>
      </c>
      <c r="E2291">
        <v>0</v>
      </c>
      <c r="F2291" s="3">
        <v>2793.8894</v>
      </c>
      <c r="G2291" s="2">
        <v>0.63266666666666704</v>
      </c>
      <c r="H2291" s="3">
        <v>0</v>
      </c>
      <c r="I2291" s="1">
        <v>45211</v>
      </c>
      <c r="J2291" s="4" t="s">
        <v>23</v>
      </c>
      <c r="K2291" s="4" t="s">
        <v>40</v>
      </c>
      <c r="L2291" s="3">
        <v>601.65</v>
      </c>
      <c r="M2291" s="4" t="s">
        <v>1255</v>
      </c>
      <c r="N2291" s="3">
        <v>0</v>
      </c>
    </row>
    <row r="2292" spans="1:14" hidden="1" x14ac:dyDescent="0.35">
      <c r="A2292">
        <v>3281</v>
      </c>
      <c r="B2292" s="4" t="s">
        <v>351</v>
      </c>
      <c r="C2292" s="4" t="s">
        <v>430</v>
      </c>
      <c r="D2292" s="4" t="s">
        <v>27</v>
      </c>
      <c r="E2292">
        <v>0</v>
      </c>
      <c r="F2292" s="3">
        <v>2776.5990999999999</v>
      </c>
      <c r="G2292" s="2">
        <v>0.23</v>
      </c>
      <c r="H2292" s="3">
        <v>0</v>
      </c>
      <c r="I2292" s="1">
        <v>45387</v>
      </c>
      <c r="J2292" s="4" t="s">
        <v>18</v>
      </c>
      <c r="K2292" s="4" t="s">
        <v>40</v>
      </c>
      <c r="L2292" s="3">
        <v>1469.72</v>
      </c>
      <c r="M2292" s="4" t="s">
        <v>1255</v>
      </c>
      <c r="N2292" s="3">
        <v>0</v>
      </c>
    </row>
    <row r="2293" spans="1:14" x14ac:dyDescent="0.35">
      <c r="A2293">
        <v>3282</v>
      </c>
      <c r="B2293" s="4" t="s">
        <v>110</v>
      </c>
      <c r="C2293" s="4" t="s">
        <v>191</v>
      </c>
      <c r="D2293" s="4" t="s">
        <v>32</v>
      </c>
      <c r="E2293">
        <v>2</v>
      </c>
      <c r="F2293" s="3">
        <v>4405.96</v>
      </c>
      <c r="G2293" s="2">
        <v>0.28000000000000003</v>
      </c>
      <c r="H2293" s="3">
        <v>6344.58</v>
      </c>
      <c r="I2293" s="1">
        <v>45528</v>
      </c>
      <c r="J2293" s="4" t="s">
        <v>18</v>
      </c>
      <c r="K2293" s="4" t="s">
        <v>12</v>
      </c>
      <c r="L2293" s="3">
        <v>503.27</v>
      </c>
      <c r="M2293" s="4" t="s">
        <v>1256</v>
      </c>
      <c r="N2293" s="3">
        <v>8811.92</v>
      </c>
    </row>
    <row r="2294" spans="1:14" x14ac:dyDescent="0.35">
      <c r="A2294">
        <v>3283</v>
      </c>
      <c r="B2294" s="4" t="s">
        <v>538</v>
      </c>
      <c r="C2294" s="4" t="s">
        <v>530</v>
      </c>
      <c r="D2294" s="4" t="s">
        <v>17</v>
      </c>
      <c r="E2294">
        <v>3</v>
      </c>
      <c r="F2294" s="3">
        <v>2776.5990999999999</v>
      </c>
      <c r="G2294" s="2">
        <v>0.64301369863013702</v>
      </c>
      <c r="H2294" s="3">
        <v>0</v>
      </c>
      <c r="I2294" s="1">
        <v>45528</v>
      </c>
      <c r="J2294" s="4" t="s">
        <v>11</v>
      </c>
      <c r="K2294" s="4" t="s">
        <v>8</v>
      </c>
      <c r="L2294" s="3">
        <v>1653.09</v>
      </c>
      <c r="M2294" s="4" t="s">
        <v>1255</v>
      </c>
      <c r="N2294" s="3">
        <v>8329.7973000000002</v>
      </c>
    </row>
    <row r="2295" spans="1:14" x14ac:dyDescent="0.35">
      <c r="A2295">
        <v>3284</v>
      </c>
      <c r="B2295" s="4" t="s">
        <v>328</v>
      </c>
      <c r="C2295" s="4" t="s">
        <v>629</v>
      </c>
      <c r="D2295" s="4" t="s">
        <v>19</v>
      </c>
      <c r="E2295">
        <v>2</v>
      </c>
      <c r="F2295" s="3">
        <v>2761.2276999999999</v>
      </c>
      <c r="G2295" s="2">
        <v>0.64301369863013702</v>
      </c>
      <c r="H2295" s="3">
        <v>0</v>
      </c>
      <c r="I2295" s="1">
        <v>45735</v>
      </c>
      <c r="J2295" s="4" t="s">
        <v>7</v>
      </c>
      <c r="K2295" s="4" t="s">
        <v>8</v>
      </c>
      <c r="L2295" s="3">
        <v>1560.64</v>
      </c>
      <c r="M2295" s="4" t="s">
        <v>1255</v>
      </c>
      <c r="N2295" s="3">
        <v>5522.4553999999998</v>
      </c>
    </row>
    <row r="2296" spans="1:14" hidden="1" x14ac:dyDescent="0.35">
      <c r="A2296">
        <v>3285</v>
      </c>
      <c r="B2296" s="4" t="s">
        <v>54</v>
      </c>
      <c r="C2296" s="4" t="s">
        <v>1212</v>
      </c>
      <c r="D2296" s="4" t="s">
        <v>28</v>
      </c>
      <c r="E2296">
        <v>0</v>
      </c>
      <c r="F2296" s="3">
        <v>4347.43</v>
      </c>
      <c r="G2296" s="2">
        <v>0.64301369863013702</v>
      </c>
      <c r="H2296" s="3">
        <v>0</v>
      </c>
      <c r="I2296" s="1">
        <v>45709</v>
      </c>
      <c r="J2296" s="4" t="s">
        <v>7</v>
      </c>
      <c r="K2296" s="4" t="s">
        <v>40</v>
      </c>
      <c r="L2296" s="3">
        <v>1440.27</v>
      </c>
      <c r="M2296" s="4" t="s">
        <v>1255</v>
      </c>
      <c r="N2296" s="3">
        <v>0</v>
      </c>
    </row>
    <row r="2297" spans="1:14" hidden="1" x14ac:dyDescent="0.35">
      <c r="A2297">
        <v>3286</v>
      </c>
      <c r="B2297" s="4" t="s">
        <v>200</v>
      </c>
      <c r="C2297" s="4" t="s">
        <v>360</v>
      </c>
      <c r="D2297" s="4" t="s">
        <v>30</v>
      </c>
      <c r="E2297">
        <v>-2</v>
      </c>
      <c r="F2297" s="3">
        <v>2761.2276999999999</v>
      </c>
      <c r="G2297" s="2">
        <v>0.64301369863013702</v>
      </c>
      <c r="H2297" s="3">
        <v>0</v>
      </c>
      <c r="I2297" s="1">
        <v>45852</v>
      </c>
      <c r="J2297" s="4" t="s">
        <v>23</v>
      </c>
      <c r="K2297" s="4" t="s">
        <v>40</v>
      </c>
      <c r="L2297" s="3">
        <v>2616.2800000000002</v>
      </c>
      <c r="M2297" s="4" t="s">
        <v>1255</v>
      </c>
      <c r="N2297" s="3">
        <v>-5522.4553999999998</v>
      </c>
    </row>
    <row r="2298" spans="1:14" x14ac:dyDescent="0.35">
      <c r="A2298">
        <v>3287</v>
      </c>
      <c r="B2298" s="4" t="s">
        <v>262</v>
      </c>
      <c r="C2298" s="4" t="s">
        <v>149</v>
      </c>
      <c r="D2298" s="4" t="s">
        <v>34</v>
      </c>
      <c r="E2298">
        <v>0</v>
      </c>
      <c r="F2298" s="3">
        <v>2746.1210000000001</v>
      </c>
      <c r="G2298" s="2">
        <v>0.21</v>
      </c>
      <c r="H2298" s="3">
        <v>0</v>
      </c>
      <c r="I2298" s="1">
        <v>45713</v>
      </c>
      <c r="J2298" s="4" t="s">
        <v>18</v>
      </c>
      <c r="K2298" s="4" t="s">
        <v>8</v>
      </c>
      <c r="L2298" s="3">
        <v>1684.69</v>
      </c>
      <c r="M2298" s="4" t="s">
        <v>1255</v>
      </c>
      <c r="N2298" s="3">
        <v>0</v>
      </c>
    </row>
    <row r="2299" spans="1:14" x14ac:dyDescent="0.35">
      <c r="A2299">
        <v>3288</v>
      </c>
      <c r="B2299" s="4" t="s">
        <v>125</v>
      </c>
      <c r="C2299" s="4" t="s">
        <v>649</v>
      </c>
      <c r="D2299" s="4" t="s">
        <v>27</v>
      </c>
      <c r="E2299">
        <v>5</v>
      </c>
      <c r="F2299" s="3">
        <v>2746.1210000000001</v>
      </c>
      <c r="G2299" s="2">
        <v>0.64902777777777798</v>
      </c>
      <c r="H2299" s="3">
        <v>0</v>
      </c>
      <c r="I2299" s="1">
        <v>45713</v>
      </c>
      <c r="J2299" s="4" t="s">
        <v>18</v>
      </c>
      <c r="K2299" s="4" t="s">
        <v>8</v>
      </c>
      <c r="L2299" s="3">
        <v>1657.65</v>
      </c>
      <c r="M2299" s="4" t="s">
        <v>1255</v>
      </c>
      <c r="N2299" s="3">
        <v>13730.605</v>
      </c>
    </row>
    <row r="2300" spans="1:14" x14ac:dyDescent="0.35">
      <c r="A2300">
        <v>3289</v>
      </c>
      <c r="B2300" s="4" t="s">
        <v>319</v>
      </c>
      <c r="C2300" s="4" t="s">
        <v>1213</v>
      </c>
      <c r="D2300" s="4" t="s">
        <v>19</v>
      </c>
      <c r="E2300">
        <v>0</v>
      </c>
      <c r="F2300" s="3">
        <v>2746.1210000000001</v>
      </c>
      <c r="G2300" s="2">
        <v>1.08</v>
      </c>
      <c r="H2300" s="3">
        <v>0</v>
      </c>
      <c r="I2300" s="1">
        <v>45713</v>
      </c>
      <c r="J2300" s="4" t="s">
        <v>9</v>
      </c>
      <c r="K2300" s="4" t="s">
        <v>12</v>
      </c>
      <c r="L2300" s="3">
        <v>-272.83999999999997</v>
      </c>
      <c r="M2300" s="4" t="s">
        <v>1255</v>
      </c>
      <c r="N2300" s="3">
        <v>0</v>
      </c>
    </row>
    <row r="2301" spans="1:14" x14ac:dyDescent="0.35">
      <c r="A2301">
        <v>3290</v>
      </c>
      <c r="B2301" s="4" t="s">
        <v>210</v>
      </c>
      <c r="C2301" s="4" t="s">
        <v>268</v>
      </c>
      <c r="D2301" s="4" t="s">
        <v>10</v>
      </c>
      <c r="E2301">
        <v>0</v>
      </c>
      <c r="F2301" s="3">
        <v>2746.1210000000001</v>
      </c>
      <c r="G2301" s="2">
        <v>0.64295774647887305</v>
      </c>
      <c r="H2301" s="3">
        <v>0</v>
      </c>
      <c r="I2301" s="1">
        <v>45828</v>
      </c>
      <c r="J2301" s="4" t="s">
        <v>20</v>
      </c>
      <c r="K2301" s="4" t="s">
        <v>12</v>
      </c>
      <c r="L2301" s="3">
        <v>1001.31</v>
      </c>
      <c r="M2301" s="4" t="s">
        <v>1255</v>
      </c>
      <c r="N2301" s="3">
        <v>0</v>
      </c>
    </row>
    <row r="2302" spans="1:14" x14ac:dyDescent="0.35">
      <c r="A2302">
        <v>3291</v>
      </c>
      <c r="B2302" s="4" t="s">
        <v>271</v>
      </c>
      <c r="C2302" s="4" t="s">
        <v>497</v>
      </c>
      <c r="D2302" s="4" t="s">
        <v>14</v>
      </c>
      <c r="E2302">
        <v>3</v>
      </c>
      <c r="F2302" s="3">
        <v>2746.1210000000001</v>
      </c>
      <c r="G2302" s="2">
        <v>0.27</v>
      </c>
      <c r="H2302" s="3">
        <v>0</v>
      </c>
      <c r="I2302" s="1">
        <v>45625</v>
      </c>
      <c r="J2302" s="4" t="s">
        <v>7</v>
      </c>
      <c r="K2302" s="4" t="s">
        <v>8</v>
      </c>
      <c r="L2302" s="3">
        <v>1907.94</v>
      </c>
      <c r="M2302" s="4" t="s">
        <v>1255</v>
      </c>
      <c r="N2302" s="3">
        <v>8238.3629999999994</v>
      </c>
    </row>
    <row r="2303" spans="1:14" x14ac:dyDescent="0.35">
      <c r="A2303">
        <v>3292</v>
      </c>
      <c r="B2303" s="4" t="s">
        <v>54</v>
      </c>
      <c r="C2303" s="4" t="s">
        <v>430</v>
      </c>
      <c r="D2303" s="4" t="s">
        <v>37</v>
      </c>
      <c r="E2303">
        <v>0</v>
      </c>
      <c r="F2303" s="3">
        <v>2746.1210000000001</v>
      </c>
      <c r="G2303" s="2">
        <v>0.5</v>
      </c>
      <c r="H2303" s="3">
        <v>0</v>
      </c>
      <c r="I2303" s="1">
        <v>45378</v>
      </c>
      <c r="J2303" s="4" t="s">
        <v>23</v>
      </c>
      <c r="K2303" s="4" t="s">
        <v>12</v>
      </c>
      <c r="L2303" s="3">
        <v>-774.38</v>
      </c>
      <c r="M2303" s="4" t="s">
        <v>1255</v>
      </c>
      <c r="N2303" s="3">
        <v>0</v>
      </c>
    </row>
    <row r="2304" spans="1:14" x14ac:dyDescent="0.35">
      <c r="A2304">
        <v>3294</v>
      </c>
      <c r="B2304" s="4" t="s">
        <v>132</v>
      </c>
      <c r="C2304" s="4" t="s">
        <v>444</v>
      </c>
      <c r="D2304" s="4" t="s">
        <v>37</v>
      </c>
      <c r="E2304">
        <v>4</v>
      </c>
      <c r="F2304" s="3">
        <v>1316.9</v>
      </c>
      <c r="G2304" s="2">
        <v>0.11</v>
      </c>
      <c r="H2304" s="3">
        <v>4688.16</v>
      </c>
      <c r="I2304" s="1">
        <v>45550</v>
      </c>
      <c r="J2304" s="4" t="s">
        <v>7</v>
      </c>
      <c r="K2304" s="4" t="s">
        <v>8</v>
      </c>
      <c r="L2304" s="3">
        <v>2743.65</v>
      </c>
      <c r="M2304" s="4" t="s">
        <v>1256</v>
      </c>
      <c r="N2304" s="3">
        <v>5267.6</v>
      </c>
    </row>
    <row r="2305" spans="1:14" hidden="1" x14ac:dyDescent="0.35">
      <c r="A2305">
        <v>3295</v>
      </c>
      <c r="B2305" s="4" t="s">
        <v>544</v>
      </c>
      <c r="C2305" s="4" t="s">
        <v>201</v>
      </c>
      <c r="D2305" s="4" t="s">
        <v>15</v>
      </c>
      <c r="E2305">
        <v>0</v>
      </c>
      <c r="F2305" s="3">
        <v>2746.1210000000001</v>
      </c>
      <c r="G2305" s="2">
        <v>0.65358208955223895</v>
      </c>
      <c r="H2305" s="3">
        <v>0</v>
      </c>
      <c r="I2305" s="1">
        <v>45550</v>
      </c>
      <c r="J2305" s="4" t="s">
        <v>23</v>
      </c>
      <c r="K2305" s="4" t="s">
        <v>40</v>
      </c>
      <c r="L2305" s="3">
        <v>-623.54999999999995</v>
      </c>
      <c r="M2305" s="4" t="s">
        <v>1255</v>
      </c>
      <c r="N2305" s="3">
        <v>0</v>
      </c>
    </row>
    <row r="2306" spans="1:14" x14ac:dyDescent="0.35">
      <c r="A2306">
        <v>3297</v>
      </c>
      <c r="B2306" s="4" t="s">
        <v>482</v>
      </c>
      <c r="C2306" s="4" t="s">
        <v>966</v>
      </c>
      <c r="D2306" s="4" t="s">
        <v>38</v>
      </c>
      <c r="E2306">
        <v>0</v>
      </c>
      <c r="F2306" s="3">
        <v>2759.8636000000001</v>
      </c>
      <c r="G2306" s="2">
        <v>0.65757575757575804</v>
      </c>
      <c r="H2306" s="3">
        <v>0</v>
      </c>
      <c r="I2306" s="1">
        <v>45678</v>
      </c>
      <c r="J2306" s="4" t="s">
        <v>7</v>
      </c>
      <c r="K2306" s="4" t="s">
        <v>8</v>
      </c>
      <c r="L2306" s="3">
        <v>1746.36</v>
      </c>
      <c r="M2306" s="4" t="s">
        <v>1255</v>
      </c>
      <c r="N2306" s="3">
        <v>0</v>
      </c>
    </row>
    <row r="2307" spans="1:14" hidden="1" x14ac:dyDescent="0.35">
      <c r="A2307">
        <v>3298</v>
      </c>
      <c r="B2307" s="4" t="s">
        <v>65</v>
      </c>
      <c r="C2307" s="4" t="s">
        <v>72</v>
      </c>
      <c r="D2307" s="4" t="s">
        <v>14</v>
      </c>
      <c r="E2307">
        <v>1</v>
      </c>
      <c r="F2307" s="3">
        <v>2124.13</v>
      </c>
      <c r="G2307" s="2">
        <v>0.85</v>
      </c>
      <c r="H2307" s="3">
        <v>318.62</v>
      </c>
      <c r="I2307" s="1">
        <v>45507</v>
      </c>
      <c r="J2307" s="4" t="s">
        <v>23</v>
      </c>
      <c r="K2307" s="4" t="s">
        <v>40</v>
      </c>
      <c r="L2307" s="3">
        <v>1126.81</v>
      </c>
      <c r="M2307" s="4" t="s">
        <v>1256</v>
      </c>
      <c r="N2307" s="3">
        <v>2124.13</v>
      </c>
    </row>
    <row r="2308" spans="1:14" x14ac:dyDescent="0.35">
      <c r="A2308">
        <v>3299</v>
      </c>
      <c r="B2308" s="4" t="s">
        <v>536</v>
      </c>
      <c r="C2308" s="4" t="s">
        <v>440</v>
      </c>
      <c r="D2308" s="4" t="s">
        <v>34</v>
      </c>
      <c r="E2308">
        <v>-1</v>
      </c>
      <c r="F2308" s="3">
        <v>4090.34</v>
      </c>
      <c r="G2308" s="2">
        <v>0.99</v>
      </c>
      <c r="H2308" s="3">
        <v>-40.9</v>
      </c>
      <c r="I2308" s="1">
        <v>45809</v>
      </c>
      <c r="J2308" s="4" t="s">
        <v>11</v>
      </c>
      <c r="K2308" s="4" t="s">
        <v>12</v>
      </c>
      <c r="L2308" s="3">
        <v>1676.64</v>
      </c>
      <c r="M2308" s="4" t="s">
        <v>1255</v>
      </c>
      <c r="N2308" s="3">
        <v>-4090.34</v>
      </c>
    </row>
    <row r="2309" spans="1:14" x14ac:dyDescent="0.35">
      <c r="A2309">
        <v>3300</v>
      </c>
      <c r="B2309" s="4" t="s">
        <v>315</v>
      </c>
      <c r="C2309" s="4" t="s">
        <v>584</v>
      </c>
      <c r="D2309" s="4" t="s">
        <v>19</v>
      </c>
      <c r="E2309">
        <v>5</v>
      </c>
      <c r="F2309" s="3">
        <v>2766.0356999999999</v>
      </c>
      <c r="G2309" s="2">
        <v>1.06</v>
      </c>
      <c r="H2309" s="3">
        <v>0</v>
      </c>
      <c r="I2309" s="1">
        <v>45809</v>
      </c>
      <c r="J2309" s="4" t="s">
        <v>18</v>
      </c>
      <c r="K2309" s="4" t="s">
        <v>8</v>
      </c>
      <c r="L2309" s="3">
        <v>525.1</v>
      </c>
      <c r="M2309" s="4" t="s">
        <v>1255</v>
      </c>
      <c r="N2309" s="3">
        <v>13830.1785</v>
      </c>
    </row>
    <row r="2310" spans="1:14" hidden="1" x14ac:dyDescent="0.35">
      <c r="A2310">
        <v>3301</v>
      </c>
      <c r="B2310" s="4" t="s">
        <v>1109</v>
      </c>
      <c r="C2310" s="4" t="s">
        <v>374</v>
      </c>
      <c r="D2310" s="4" t="s">
        <v>28</v>
      </c>
      <c r="E2310">
        <v>5</v>
      </c>
      <c r="F2310" s="3">
        <v>2590.44</v>
      </c>
      <c r="G2310" s="2">
        <v>0.64285714285714302</v>
      </c>
      <c r="H2310" s="3">
        <v>0</v>
      </c>
      <c r="I2310" s="1">
        <v>45514</v>
      </c>
      <c r="J2310" s="4" t="s">
        <v>23</v>
      </c>
      <c r="K2310" s="4" t="s">
        <v>40</v>
      </c>
      <c r="L2310" s="3">
        <v>-613.96</v>
      </c>
      <c r="M2310" s="4" t="s">
        <v>1255</v>
      </c>
      <c r="N2310" s="3">
        <v>12952.2</v>
      </c>
    </row>
    <row r="2311" spans="1:14" x14ac:dyDescent="0.35">
      <c r="A2311">
        <v>3302</v>
      </c>
      <c r="B2311" s="4" t="s">
        <v>111</v>
      </c>
      <c r="C2311" s="4" t="s">
        <v>1214</v>
      </c>
      <c r="D2311" s="4" t="s">
        <v>21</v>
      </c>
      <c r="E2311">
        <v>3</v>
      </c>
      <c r="F2311" s="3">
        <v>2753.0524</v>
      </c>
      <c r="G2311" s="2">
        <v>0.64285714285714302</v>
      </c>
      <c r="H2311" s="3">
        <v>0</v>
      </c>
      <c r="I2311" s="1">
        <v>45804</v>
      </c>
      <c r="J2311" s="4" t="s">
        <v>7</v>
      </c>
      <c r="K2311" s="4" t="s">
        <v>12</v>
      </c>
      <c r="L2311" s="3">
        <v>2938.26</v>
      </c>
      <c r="M2311" s="4" t="s">
        <v>1255</v>
      </c>
      <c r="N2311" s="3">
        <v>8259.1571999999996</v>
      </c>
    </row>
    <row r="2312" spans="1:14" hidden="1" x14ac:dyDescent="0.35">
      <c r="A2312">
        <v>3303</v>
      </c>
      <c r="B2312" s="4" t="s">
        <v>134</v>
      </c>
      <c r="C2312" s="4" t="s">
        <v>701</v>
      </c>
      <c r="D2312" s="4" t="s">
        <v>38</v>
      </c>
      <c r="E2312">
        <v>0</v>
      </c>
      <c r="F2312" s="3">
        <v>2754.6624000000002</v>
      </c>
      <c r="G2312" s="2">
        <v>0.64285714285714302</v>
      </c>
      <c r="H2312" s="3">
        <v>0</v>
      </c>
      <c r="I2312" s="1">
        <v>45622</v>
      </c>
      <c r="J2312" s="4" t="s">
        <v>23</v>
      </c>
      <c r="K2312" s="4" t="s">
        <v>40</v>
      </c>
      <c r="L2312" s="3">
        <v>295.89</v>
      </c>
      <c r="M2312" s="4" t="s">
        <v>1255</v>
      </c>
      <c r="N2312" s="3">
        <v>0</v>
      </c>
    </row>
    <row r="2313" spans="1:14" x14ac:dyDescent="0.35">
      <c r="A2313">
        <v>3304</v>
      </c>
      <c r="B2313" s="4" t="s">
        <v>1215</v>
      </c>
      <c r="C2313" s="4" t="s">
        <v>528</v>
      </c>
      <c r="D2313" s="4" t="s">
        <v>33</v>
      </c>
      <c r="E2313">
        <v>0</v>
      </c>
      <c r="F2313" s="3">
        <v>4452.04</v>
      </c>
      <c r="G2313" s="2">
        <v>0.64285714285714302</v>
      </c>
      <c r="H2313" s="3">
        <v>0</v>
      </c>
      <c r="I2313" s="1">
        <v>45378</v>
      </c>
      <c r="J2313" s="4" t="s">
        <v>18</v>
      </c>
      <c r="K2313" s="4" t="s">
        <v>8</v>
      </c>
      <c r="L2313" s="3">
        <v>2932.37</v>
      </c>
      <c r="M2313" s="4" t="s">
        <v>1255</v>
      </c>
      <c r="N2313" s="3">
        <v>0</v>
      </c>
    </row>
    <row r="2314" spans="1:14" x14ac:dyDescent="0.35">
      <c r="A2314">
        <v>3305</v>
      </c>
      <c r="B2314" s="4" t="s">
        <v>152</v>
      </c>
      <c r="C2314" s="4" t="s">
        <v>889</v>
      </c>
      <c r="D2314" s="4" t="s">
        <v>16</v>
      </c>
      <c r="E2314">
        <v>0</v>
      </c>
      <c r="F2314" s="3">
        <v>2754.6624000000002</v>
      </c>
      <c r="G2314" s="2">
        <v>0.64285714285714302</v>
      </c>
      <c r="H2314" s="3">
        <v>0</v>
      </c>
      <c r="I2314" s="1">
        <v>45623</v>
      </c>
      <c r="J2314" s="4" t="s">
        <v>11</v>
      </c>
      <c r="K2314" s="4" t="s">
        <v>8</v>
      </c>
      <c r="L2314" s="3">
        <v>1362.42</v>
      </c>
      <c r="M2314" s="4" t="s">
        <v>1255</v>
      </c>
      <c r="N2314" s="3">
        <v>0</v>
      </c>
    </row>
    <row r="2315" spans="1:14" hidden="1" x14ac:dyDescent="0.35">
      <c r="A2315">
        <v>3306</v>
      </c>
      <c r="B2315" s="4" t="s">
        <v>93</v>
      </c>
      <c r="C2315" s="4" t="s">
        <v>80</v>
      </c>
      <c r="D2315" s="4" t="s">
        <v>37</v>
      </c>
      <c r="E2315">
        <v>0</v>
      </c>
      <c r="F2315" s="3">
        <v>4536.09</v>
      </c>
      <c r="G2315" s="2">
        <v>0.64285714285714302</v>
      </c>
      <c r="H2315" s="3">
        <v>0</v>
      </c>
      <c r="I2315" s="1">
        <v>45623</v>
      </c>
      <c r="J2315" s="4" t="s">
        <v>23</v>
      </c>
      <c r="K2315" s="4" t="s">
        <v>40</v>
      </c>
      <c r="L2315" s="3">
        <v>1015.71</v>
      </c>
      <c r="M2315" s="4" t="s">
        <v>1255</v>
      </c>
      <c r="N2315" s="3">
        <v>0</v>
      </c>
    </row>
    <row r="2316" spans="1:14" x14ac:dyDescent="0.35">
      <c r="A2316">
        <v>3307</v>
      </c>
      <c r="B2316" s="4" t="s">
        <v>758</v>
      </c>
      <c r="C2316" s="4" t="s">
        <v>99</v>
      </c>
      <c r="D2316" s="4" t="s">
        <v>19</v>
      </c>
      <c r="E2316">
        <v>0</v>
      </c>
      <c r="F2316" s="3">
        <v>3896.07</v>
      </c>
      <c r="G2316" s="2">
        <v>0.64285714285714302</v>
      </c>
      <c r="H2316" s="3">
        <v>0</v>
      </c>
      <c r="I2316" s="1">
        <v>45745</v>
      </c>
      <c r="J2316" s="4" t="s">
        <v>20</v>
      </c>
      <c r="K2316" s="4" t="s">
        <v>8</v>
      </c>
      <c r="L2316" s="3">
        <v>409.14</v>
      </c>
      <c r="M2316" s="4" t="s">
        <v>1255</v>
      </c>
      <c r="N2316" s="3">
        <v>0</v>
      </c>
    </row>
    <row r="2317" spans="1:14" x14ac:dyDescent="0.35">
      <c r="A2317">
        <v>3308</v>
      </c>
      <c r="B2317" s="4" t="s">
        <v>341</v>
      </c>
      <c r="C2317" s="4" t="s">
        <v>444</v>
      </c>
      <c r="D2317" s="4" t="s">
        <v>30</v>
      </c>
      <c r="E2317">
        <v>0</v>
      </c>
      <c r="F2317" s="3">
        <v>2719.5228999999999</v>
      </c>
      <c r="G2317" s="2">
        <v>0.64285714285714302</v>
      </c>
      <c r="H2317" s="3">
        <v>0</v>
      </c>
      <c r="I2317" s="1">
        <v>45304</v>
      </c>
      <c r="J2317" s="4" t="s">
        <v>9</v>
      </c>
      <c r="K2317" s="4" t="s">
        <v>8</v>
      </c>
      <c r="L2317" s="3">
        <v>1711.84</v>
      </c>
      <c r="M2317" s="4" t="s">
        <v>1255</v>
      </c>
      <c r="N2317" s="3">
        <v>0</v>
      </c>
    </row>
    <row r="2318" spans="1:14" x14ac:dyDescent="0.35">
      <c r="A2318">
        <v>3309</v>
      </c>
      <c r="B2318" s="4" t="s">
        <v>1216</v>
      </c>
      <c r="C2318" s="4" t="s">
        <v>732</v>
      </c>
      <c r="D2318" s="4" t="s">
        <v>17</v>
      </c>
      <c r="E2318">
        <v>-2</v>
      </c>
      <c r="F2318" s="3">
        <v>3944.46</v>
      </c>
      <c r="G2318" s="2">
        <v>0.64285714285714302</v>
      </c>
      <c r="H2318" s="3">
        <v>0</v>
      </c>
      <c r="I2318" s="1">
        <v>45201</v>
      </c>
      <c r="J2318" s="4" t="s">
        <v>9</v>
      </c>
      <c r="K2318" s="4" t="s">
        <v>8</v>
      </c>
      <c r="L2318" s="3">
        <v>1392.37</v>
      </c>
      <c r="M2318" s="4" t="s">
        <v>1255</v>
      </c>
      <c r="N2318" s="3">
        <v>-7888.92</v>
      </c>
    </row>
    <row r="2319" spans="1:14" x14ac:dyDescent="0.35">
      <c r="A2319">
        <v>3310</v>
      </c>
      <c r="B2319" s="4" t="s">
        <v>1217</v>
      </c>
      <c r="C2319" s="4" t="s">
        <v>303</v>
      </c>
      <c r="D2319" s="4" t="s">
        <v>25</v>
      </c>
      <c r="E2319">
        <v>0</v>
      </c>
      <c r="F2319" s="3">
        <v>2707.5173</v>
      </c>
      <c r="G2319" s="2">
        <v>0.64285714285714302</v>
      </c>
      <c r="H2319" s="3">
        <v>0</v>
      </c>
      <c r="I2319" s="1">
        <v>45163</v>
      </c>
      <c r="J2319" s="4" t="s">
        <v>20</v>
      </c>
      <c r="K2319" s="4" t="s">
        <v>8</v>
      </c>
      <c r="L2319" s="3">
        <v>463.6</v>
      </c>
      <c r="M2319" s="4" t="s">
        <v>1255</v>
      </c>
      <c r="N2319" s="3">
        <v>0</v>
      </c>
    </row>
    <row r="2320" spans="1:14" hidden="1" x14ac:dyDescent="0.35">
      <c r="A2320">
        <v>3311</v>
      </c>
      <c r="B2320" s="4" t="s">
        <v>125</v>
      </c>
      <c r="C2320" s="4" t="s">
        <v>542</v>
      </c>
      <c r="D2320" s="4" t="s">
        <v>24</v>
      </c>
      <c r="E2320">
        <v>-1</v>
      </c>
      <c r="F2320" s="3">
        <v>3108.69</v>
      </c>
      <c r="G2320" s="2">
        <v>0.64285714285714302</v>
      </c>
      <c r="H2320" s="3">
        <v>0</v>
      </c>
      <c r="I2320" s="1">
        <v>45388</v>
      </c>
      <c r="J2320" s="4" t="s">
        <v>7</v>
      </c>
      <c r="K2320" s="4" t="s">
        <v>40</v>
      </c>
      <c r="L2320" s="3">
        <v>2986.53</v>
      </c>
      <c r="M2320" s="4" t="s">
        <v>1255</v>
      </c>
      <c r="N2320" s="3">
        <v>-3108.69</v>
      </c>
    </row>
    <row r="2321" spans="1:14" hidden="1" x14ac:dyDescent="0.35">
      <c r="A2321">
        <v>3312</v>
      </c>
      <c r="B2321" s="4" t="s">
        <v>56</v>
      </c>
      <c r="C2321" s="4" t="s">
        <v>430</v>
      </c>
      <c r="D2321" s="4" t="s">
        <v>26</v>
      </c>
      <c r="E2321">
        <v>2</v>
      </c>
      <c r="F2321" s="3">
        <v>4878.8100000000004</v>
      </c>
      <c r="G2321" s="2">
        <v>0.64285714285714302</v>
      </c>
      <c r="H2321" s="3">
        <v>0</v>
      </c>
      <c r="I2321" s="1">
        <v>45537</v>
      </c>
      <c r="J2321" s="4" t="s">
        <v>18</v>
      </c>
      <c r="K2321" s="4" t="s">
        <v>40</v>
      </c>
      <c r="L2321" s="3">
        <v>327.38</v>
      </c>
      <c r="M2321" s="4" t="s">
        <v>1255</v>
      </c>
      <c r="N2321" s="3">
        <v>9757.6200000000008</v>
      </c>
    </row>
    <row r="2322" spans="1:14" hidden="1" x14ac:dyDescent="0.35">
      <c r="A2322">
        <v>3313</v>
      </c>
      <c r="B2322" s="4" t="s">
        <v>294</v>
      </c>
      <c r="C2322" s="4" t="s">
        <v>1218</v>
      </c>
      <c r="D2322" s="4" t="s">
        <v>31</v>
      </c>
      <c r="E2322">
        <v>5</v>
      </c>
      <c r="F2322" s="3">
        <v>2690.4535999999998</v>
      </c>
      <c r="G2322" s="2">
        <v>1.03</v>
      </c>
      <c r="H2322" s="3">
        <v>0</v>
      </c>
      <c r="I2322" s="1">
        <v>45566</v>
      </c>
      <c r="J2322" s="4" t="s">
        <v>18</v>
      </c>
      <c r="K2322" s="4" t="s">
        <v>40</v>
      </c>
      <c r="L2322" s="3">
        <v>2022.75</v>
      </c>
      <c r="M2322" s="4" t="s">
        <v>1255</v>
      </c>
      <c r="N2322" s="3">
        <v>13452.268</v>
      </c>
    </row>
    <row r="2323" spans="1:14" x14ac:dyDescent="0.35">
      <c r="A2323">
        <v>3314</v>
      </c>
      <c r="B2323" s="4" t="s">
        <v>319</v>
      </c>
      <c r="C2323" s="4" t="s">
        <v>175</v>
      </c>
      <c r="D2323" s="4" t="s">
        <v>30</v>
      </c>
      <c r="E2323">
        <v>0</v>
      </c>
      <c r="F2323" s="3">
        <v>2537.59</v>
      </c>
      <c r="G2323" s="2">
        <v>0.63661290322580599</v>
      </c>
      <c r="H2323" s="3">
        <v>0</v>
      </c>
      <c r="I2323" s="1">
        <v>45561</v>
      </c>
      <c r="J2323" s="4" t="s">
        <v>20</v>
      </c>
      <c r="K2323" s="4" t="s">
        <v>12</v>
      </c>
      <c r="L2323" s="3">
        <v>2708.81</v>
      </c>
      <c r="M2323" s="4" t="s">
        <v>1255</v>
      </c>
      <c r="N2323" s="3">
        <v>0</v>
      </c>
    </row>
    <row r="2324" spans="1:14" x14ac:dyDescent="0.35">
      <c r="A2324">
        <v>3315</v>
      </c>
      <c r="B2324" s="4" t="s">
        <v>814</v>
      </c>
      <c r="C2324" s="4" t="s">
        <v>76</v>
      </c>
      <c r="D2324" s="4" t="s">
        <v>31</v>
      </c>
      <c r="E2324">
        <v>4</v>
      </c>
      <c r="F2324" s="3">
        <v>2667.4182999999998</v>
      </c>
      <c r="G2324" s="2">
        <v>0.63661290322580599</v>
      </c>
      <c r="H2324" s="3">
        <v>0</v>
      </c>
      <c r="I2324" s="1">
        <v>45561</v>
      </c>
      <c r="J2324" s="4" t="s">
        <v>23</v>
      </c>
      <c r="K2324" s="4" t="s">
        <v>8</v>
      </c>
      <c r="L2324" s="3">
        <v>2293.04</v>
      </c>
      <c r="M2324" s="4" t="s">
        <v>1255</v>
      </c>
      <c r="N2324" s="3">
        <v>10669.673199999999</v>
      </c>
    </row>
    <row r="2325" spans="1:14" x14ac:dyDescent="0.35">
      <c r="A2325">
        <v>3316</v>
      </c>
      <c r="B2325" s="4" t="s">
        <v>932</v>
      </c>
      <c r="C2325" s="4" t="s">
        <v>1219</v>
      </c>
      <c r="D2325" s="4" t="s">
        <v>6</v>
      </c>
      <c r="E2325">
        <v>0</v>
      </c>
      <c r="F2325" s="3">
        <v>2668.7995000000001</v>
      </c>
      <c r="G2325" s="2">
        <v>0.63661290322580599</v>
      </c>
      <c r="H2325" s="3">
        <v>0</v>
      </c>
      <c r="I2325" s="1">
        <v>45808</v>
      </c>
      <c r="J2325" s="4" t="s">
        <v>11</v>
      </c>
      <c r="K2325" s="4" t="s">
        <v>8</v>
      </c>
      <c r="L2325" s="3">
        <v>1628.03</v>
      </c>
      <c r="M2325" s="4" t="s">
        <v>1255</v>
      </c>
      <c r="N2325" s="3">
        <v>0</v>
      </c>
    </row>
    <row r="2326" spans="1:14" x14ac:dyDescent="0.35">
      <c r="A2326">
        <v>3317</v>
      </c>
      <c r="B2326" s="4" t="s">
        <v>756</v>
      </c>
      <c r="C2326" s="4" t="s">
        <v>915</v>
      </c>
      <c r="D2326" s="4" t="s">
        <v>34</v>
      </c>
      <c r="E2326">
        <v>0</v>
      </c>
      <c r="F2326" s="3">
        <v>2140.2199999999998</v>
      </c>
      <c r="G2326" s="2">
        <v>0.63661290322580599</v>
      </c>
      <c r="H2326" s="3">
        <v>0</v>
      </c>
      <c r="I2326" s="1">
        <v>45598</v>
      </c>
      <c r="J2326" s="4" t="s">
        <v>9</v>
      </c>
      <c r="K2326" s="4" t="s">
        <v>12</v>
      </c>
      <c r="L2326" s="3">
        <v>-415.92</v>
      </c>
      <c r="M2326" s="4" t="s">
        <v>1255</v>
      </c>
      <c r="N2326" s="3">
        <v>0</v>
      </c>
    </row>
    <row r="2327" spans="1:14" hidden="1" x14ac:dyDescent="0.35">
      <c r="A2327">
        <v>3318</v>
      </c>
      <c r="B2327" s="4" t="s">
        <v>122</v>
      </c>
      <c r="C2327" s="4" t="s">
        <v>831</v>
      </c>
      <c r="D2327" s="4" t="s">
        <v>33</v>
      </c>
      <c r="E2327">
        <v>0</v>
      </c>
      <c r="F2327" s="3">
        <v>2912.6</v>
      </c>
      <c r="G2327" s="2">
        <v>0.63661290322580599</v>
      </c>
      <c r="H2327" s="3">
        <v>0</v>
      </c>
      <c r="I2327" s="1">
        <v>45745</v>
      </c>
      <c r="J2327" s="4" t="s">
        <v>7</v>
      </c>
      <c r="K2327" s="4" t="s">
        <v>40</v>
      </c>
      <c r="L2327" s="3">
        <v>1847.45</v>
      </c>
      <c r="M2327" s="4" t="s">
        <v>1255</v>
      </c>
      <c r="N2327" s="3">
        <v>0</v>
      </c>
    </row>
    <row r="2328" spans="1:14" hidden="1" x14ac:dyDescent="0.35">
      <c r="A2328">
        <v>3319</v>
      </c>
      <c r="B2328" s="4" t="s">
        <v>65</v>
      </c>
      <c r="C2328" s="4" t="s">
        <v>816</v>
      </c>
      <c r="D2328" s="4" t="s">
        <v>13</v>
      </c>
      <c r="E2328">
        <v>0</v>
      </c>
      <c r="F2328" s="3">
        <v>2674.4830999999999</v>
      </c>
      <c r="G2328" s="2">
        <v>0.63661290322580599</v>
      </c>
      <c r="H2328" s="3">
        <v>0</v>
      </c>
      <c r="I2328" s="1">
        <v>45284</v>
      </c>
      <c r="J2328" s="4" t="s">
        <v>9</v>
      </c>
      <c r="K2328" s="4" t="s">
        <v>40</v>
      </c>
      <c r="L2328" s="3">
        <v>1419.51</v>
      </c>
      <c r="M2328" s="4" t="s">
        <v>1255</v>
      </c>
      <c r="N2328" s="3">
        <v>0</v>
      </c>
    </row>
    <row r="2329" spans="1:14" hidden="1" x14ac:dyDescent="0.35">
      <c r="A2329">
        <v>3320</v>
      </c>
      <c r="B2329" s="4" t="s">
        <v>358</v>
      </c>
      <c r="C2329" s="4" t="s">
        <v>88</v>
      </c>
      <c r="D2329" s="4" t="s">
        <v>38</v>
      </c>
      <c r="E2329">
        <v>0</v>
      </c>
      <c r="F2329" s="3">
        <v>2671.8948999999998</v>
      </c>
      <c r="G2329" s="2">
        <v>0.63661290322580599</v>
      </c>
      <c r="H2329" s="3">
        <v>0</v>
      </c>
      <c r="I2329" s="1">
        <v>45579</v>
      </c>
      <c r="J2329" s="4" t="s">
        <v>20</v>
      </c>
      <c r="K2329" s="4" t="s">
        <v>40</v>
      </c>
      <c r="L2329" s="3">
        <v>-251.71</v>
      </c>
      <c r="M2329" s="4" t="s">
        <v>1255</v>
      </c>
      <c r="N2329" s="3">
        <v>0</v>
      </c>
    </row>
    <row r="2330" spans="1:14" hidden="1" x14ac:dyDescent="0.35">
      <c r="A2330">
        <v>3321</v>
      </c>
      <c r="B2330" s="4" t="s">
        <v>1220</v>
      </c>
      <c r="C2330" s="4" t="s">
        <v>176</v>
      </c>
      <c r="D2330" s="4" t="s">
        <v>27</v>
      </c>
      <c r="E2330">
        <v>5</v>
      </c>
      <c r="F2330" s="3">
        <v>1804.56</v>
      </c>
      <c r="G2330" s="2">
        <v>0.63661290322580599</v>
      </c>
      <c r="H2330" s="3">
        <v>0</v>
      </c>
      <c r="I2330" s="1">
        <v>45254</v>
      </c>
      <c r="J2330" s="4" t="s">
        <v>23</v>
      </c>
      <c r="K2330" s="4" t="s">
        <v>40</v>
      </c>
      <c r="L2330" s="3">
        <v>2534.37</v>
      </c>
      <c r="M2330" s="4" t="s">
        <v>1255</v>
      </c>
      <c r="N2330" s="3">
        <v>9022.7999999999993</v>
      </c>
    </row>
    <row r="2331" spans="1:14" x14ac:dyDescent="0.35">
      <c r="A2331">
        <v>3322</v>
      </c>
      <c r="B2331" s="4" t="s">
        <v>870</v>
      </c>
      <c r="C2331" s="4" t="s">
        <v>95</v>
      </c>
      <c r="D2331" s="4" t="s">
        <v>37</v>
      </c>
      <c r="E2331">
        <v>0</v>
      </c>
      <c r="F2331" s="3">
        <v>4480.24</v>
      </c>
      <c r="G2331" s="2">
        <v>0.63661290322580599</v>
      </c>
      <c r="H2331" s="3">
        <v>0</v>
      </c>
      <c r="I2331" s="1">
        <v>45544</v>
      </c>
      <c r="J2331" s="4" t="s">
        <v>7</v>
      </c>
      <c r="K2331" s="4" t="s">
        <v>8</v>
      </c>
      <c r="L2331" s="3">
        <v>397.15</v>
      </c>
      <c r="M2331" s="4" t="s">
        <v>1255</v>
      </c>
      <c r="N2331" s="3">
        <v>0</v>
      </c>
    </row>
    <row r="2332" spans="1:14" hidden="1" x14ac:dyDescent="0.35">
      <c r="A2332">
        <v>3323</v>
      </c>
      <c r="B2332" s="4" t="s">
        <v>195</v>
      </c>
      <c r="C2332" s="4" t="s">
        <v>429</v>
      </c>
      <c r="D2332" s="4" t="s">
        <v>29</v>
      </c>
      <c r="E2332">
        <v>3</v>
      </c>
      <c r="F2332" s="3">
        <v>4009.45</v>
      </c>
      <c r="G2332" s="2">
        <v>0.63661290322580599</v>
      </c>
      <c r="H2332" s="3">
        <v>0</v>
      </c>
      <c r="I2332" s="1">
        <v>45544</v>
      </c>
      <c r="J2332" s="4" t="s">
        <v>23</v>
      </c>
      <c r="K2332" s="4" t="s">
        <v>40</v>
      </c>
      <c r="L2332" s="3">
        <v>-495.81</v>
      </c>
      <c r="M2332" s="4" t="s">
        <v>1255</v>
      </c>
      <c r="N2332" s="3">
        <v>12028.35</v>
      </c>
    </row>
    <row r="2333" spans="1:14" x14ac:dyDescent="0.35">
      <c r="A2333">
        <v>3324</v>
      </c>
      <c r="B2333" s="4" t="s">
        <v>569</v>
      </c>
      <c r="C2333" s="4" t="s">
        <v>242</v>
      </c>
      <c r="D2333" s="4" t="s">
        <v>17</v>
      </c>
      <c r="E2333">
        <v>0</v>
      </c>
      <c r="F2333" s="3">
        <v>2661.4391999999998</v>
      </c>
      <c r="G2333" s="2">
        <v>0.51</v>
      </c>
      <c r="H2333" s="3">
        <v>0</v>
      </c>
      <c r="I2333" s="1">
        <v>45544</v>
      </c>
      <c r="J2333" s="4" t="s">
        <v>9</v>
      </c>
      <c r="K2333" s="4" t="s">
        <v>8</v>
      </c>
      <c r="L2333" s="3">
        <v>-214.24</v>
      </c>
      <c r="M2333" s="4" t="s">
        <v>1255</v>
      </c>
      <c r="N2333" s="3">
        <v>0</v>
      </c>
    </row>
    <row r="2334" spans="1:14" hidden="1" x14ac:dyDescent="0.35">
      <c r="A2334">
        <v>3325</v>
      </c>
      <c r="B2334" s="4" t="s">
        <v>93</v>
      </c>
      <c r="C2334" s="4" t="s">
        <v>329</v>
      </c>
      <c r="D2334" s="4" t="s">
        <v>24</v>
      </c>
      <c r="E2334">
        <v>6</v>
      </c>
      <c r="F2334" s="3">
        <v>2646.2930000000001</v>
      </c>
      <c r="G2334" s="2">
        <v>0.61</v>
      </c>
      <c r="H2334" s="3">
        <v>0</v>
      </c>
      <c r="I2334" s="1">
        <v>45833</v>
      </c>
      <c r="J2334" s="4" t="s">
        <v>18</v>
      </c>
      <c r="K2334" s="4" t="s">
        <v>40</v>
      </c>
      <c r="L2334" s="3">
        <v>686.84</v>
      </c>
      <c r="M2334" s="4" t="s">
        <v>1255</v>
      </c>
      <c r="N2334" s="3">
        <v>15877.758</v>
      </c>
    </row>
    <row r="2335" spans="1:14" x14ac:dyDescent="0.35">
      <c r="A2335">
        <v>3326</v>
      </c>
      <c r="B2335" s="4" t="s">
        <v>555</v>
      </c>
      <c r="C2335" s="4" t="s">
        <v>163</v>
      </c>
      <c r="D2335" s="4" t="s">
        <v>29</v>
      </c>
      <c r="E2335">
        <v>-2</v>
      </c>
      <c r="F2335" s="3">
        <v>3047.68</v>
      </c>
      <c r="G2335" s="2">
        <v>0.63916666666666699</v>
      </c>
      <c r="H2335" s="3">
        <v>0</v>
      </c>
      <c r="I2335" s="1">
        <v>45526</v>
      </c>
      <c r="J2335" s="4" t="s">
        <v>18</v>
      </c>
      <c r="K2335" s="4" t="s">
        <v>8</v>
      </c>
      <c r="L2335" s="3">
        <v>827.95</v>
      </c>
      <c r="M2335" s="4" t="s">
        <v>1255</v>
      </c>
      <c r="N2335" s="3">
        <v>-6095.36</v>
      </c>
    </row>
    <row r="2336" spans="1:14" hidden="1" x14ac:dyDescent="0.35">
      <c r="A2336">
        <v>3327</v>
      </c>
      <c r="B2336" s="4" t="s">
        <v>79</v>
      </c>
      <c r="C2336" s="4" t="s">
        <v>1041</v>
      </c>
      <c r="D2336" s="4" t="s">
        <v>21</v>
      </c>
      <c r="E2336">
        <v>0</v>
      </c>
      <c r="F2336" s="3">
        <v>2646.2930000000001</v>
      </c>
      <c r="G2336" s="2">
        <v>0.96</v>
      </c>
      <c r="H2336" s="3">
        <v>0</v>
      </c>
      <c r="I2336" s="1">
        <v>45526</v>
      </c>
      <c r="J2336" s="4" t="s">
        <v>18</v>
      </c>
      <c r="K2336" s="4" t="s">
        <v>40</v>
      </c>
      <c r="L2336" s="3">
        <v>-361.79</v>
      </c>
      <c r="M2336" s="4" t="s">
        <v>1255</v>
      </c>
      <c r="N2336" s="3">
        <v>0</v>
      </c>
    </row>
    <row r="2337" spans="1:14" hidden="1" x14ac:dyDescent="0.35">
      <c r="A2337">
        <v>3328</v>
      </c>
      <c r="B2337" s="4" t="s">
        <v>388</v>
      </c>
      <c r="C2337" s="4" t="s">
        <v>74</v>
      </c>
      <c r="D2337" s="4" t="s">
        <v>16</v>
      </c>
      <c r="E2337">
        <v>1</v>
      </c>
      <c r="F2337" s="3">
        <v>4390.32</v>
      </c>
      <c r="G2337" s="2">
        <v>0.63372881355932198</v>
      </c>
      <c r="H2337" s="3">
        <v>0</v>
      </c>
      <c r="I2337" s="1">
        <v>45733</v>
      </c>
      <c r="J2337" s="4" t="s">
        <v>18</v>
      </c>
      <c r="K2337" s="4" t="s">
        <v>40</v>
      </c>
      <c r="L2337" s="3">
        <v>2785.75</v>
      </c>
      <c r="M2337" s="4" t="s">
        <v>1255</v>
      </c>
      <c r="N2337" s="3">
        <v>4390.32</v>
      </c>
    </row>
    <row r="2338" spans="1:14" x14ac:dyDescent="0.35">
      <c r="A2338">
        <v>3329</v>
      </c>
      <c r="B2338" s="4" t="s">
        <v>284</v>
      </c>
      <c r="C2338" s="4" t="s">
        <v>1218</v>
      </c>
      <c r="D2338" s="4" t="s">
        <v>10</v>
      </c>
      <c r="E2338">
        <v>0</v>
      </c>
      <c r="F2338" s="3">
        <v>2641.7318</v>
      </c>
      <c r="G2338" s="2">
        <v>0.63372881355932198</v>
      </c>
      <c r="H2338" s="3">
        <v>0</v>
      </c>
      <c r="I2338" s="1">
        <v>45440</v>
      </c>
      <c r="J2338" s="4" t="s">
        <v>7</v>
      </c>
      <c r="K2338" s="4" t="s">
        <v>8</v>
      </c>
      <c r="L2338" s="3">
        <v>1954.02</v>
      </c>
      <c r="M2338" s="4" t="s">
        <v>1255</v>
      </c>
      <c r="N2338" s="3">
        <v>0</v>
      </c>
    </row>
    <row r="2339" spans="1:14" hidden="1" x14ac:dyDescent="0.35">
      <c r="A2339">
        <v>3330</v>
      </c>
      <c r="B2339" s="4" t="s">
        <v>1105</v>
      </c>
      <c r="C2339" s="4" t="s">
        <v>584</v>
      </c>
      <c r="D2339" s="4" t="s">
        <v>13</v>
      </c>
      <c r="E2339">
        <v>6</v>
      </c>
      <c r="F2339" s="3">
        <v>2217.9499999999998</v>
      </c>
      <c r="G2339" s="2">
        <v>0.63372881355932198</v>
      </c>
      <c r="H2339" s="3">
        <v>0</v>
      </c>
      <c r="I2339" s="1">
        <v>45826</v>
      </c>
      <c r="J2339" s="4" t="s">
        <v>23</v>
      </c>
      <c r="K2339" s="4" t="s">
        <v>40</v>
      </c>
      <c r="L2339" s="3">
        <v>146.52000000000001</v>
      </c>
      <c r="M2339" s="4" t="s">
        <v>1255</v>
      </c>
      <c r="N2339" s="3">
        <v>13307.7</v>
      </c>
    </row>
    <row r="2340" spans="1:14" hidden="1" x14ac:dyDescent="0.35">
      <c r="A2340">
        <v>3332</v>
      </c>
      <c r="B2340" s="4" t="s">
        <v>60</v>
      </c>
      <c r="C2340" s="4" t="s">
        <v>1029</v>
      </c>
      <c r="D2340" s="4" t="s">
        <v>13</v>
      </c>
      <c r="E2340">
        <v>5</v>
      </c>
      <c r="F2340" s="3">
        <v>1297.04</v>
      </c>
      <c r="G2340" s="2">
        <v>0.3</v>
      </c>
      <c r="H2340" s="3">
        <v>4539.6400000000003</v>
      </c>
      <c r="I2340" s="1">
        <v>45726</v>
      </c>
      <c r="J2340" s="4" t="s">
        <v>23</v>
      </c>
      <c r="K2340" s="4" t="s">
        <v>40</v>
      </c>
      <c r="L2340" s="3">
        <v>2887.23</v>
      </c>
      <c r="M2340" s="4" t="s">
        <v>1256</v>
      </c>
      <c r="N2340" s="3">
        <v>6485.2</v>
      </c>
    </row>
    <row r="2341" spans="1:14" x14ac:dyDescent="0.35">
      <c r="A2341">
        <v>3333</v>
      </c>
      <c r="B2341" s="4" t="s">
        <v>725</v>
      </c>
      <c r="C2341" s="4" t="s">
        <v>1221</v>
      </c>
      <c r="D2341" s="4" t="s">
        <v>34</v>
      </c>
      <c r="E2341">
        <v>-2</v>
      </c>
      <c r="F2341" s="3">
        <v>2641.1694000000002</v>
      </c>
      <c r="G2341" s="2">
        <v>0.63824561403508795</v>
      </c>
      <c r="H2341" s="3">
        <v>0</v>
      </c>
      <c r="I2341" s="1">
        <v>45150</v>
      </c>
      <c r="J2341" s="4" t="s">
        <v>11</v>
      </c>
      <c r="K2341" s="4" t="s">
        <v>8</v>
      </c>
      <c r="L2341" s="3">
        <v>617.99</v>
      </c>
      <c r="M2341" s="4" t="s">
        <v>1255</v>
      </c>
      <c r="N2341" s="3">
        <v>-5282.3388000000004</v>
      </c>
    </row>
    <row r="2342" spans="1:14" x14ac:dyDescent="0.35">
      <c r="A2342">
        <v>3334</v>
      </c>
      <c r="B2342" s="4" t="s">
        <v>107</v>
      </c>
      <c r="C2342" s="4" t="s">
        <v>142</v>
      </c>
      <c r="D2342" s="4" t="s">
        <v>16</v>
      </c>
      <c r="E2342">
        <v>0</v>
      </c>
      <c r="F2342" s="3">
        <v>2657.1709999999998</v>
      </c>
      <c r="G2342" s="2">
        <v>0.63824561403508795</v>
      </c>
      <c r="H2342" s="3">
        <v>0</v>
      </c>
      <c r="I2342" s="1">
        <v>45822</v>
      </c>
      <c r="J2342" s="4" t="s">
        <v>23</v>
      </c>
      <c r="K2342" s="4" t="s">
        <v>12</v>
      </c>
      <c r="L2342" s="3">
        <v>-933.34</v>
      </c>
      <c r="M2342" s="4" t="s">
        <v>1255</v>
      </c>
      <c r="N2342" s="3">
        <v>0</v>
      </c>
    </row>
    <row r="2343" spans="1:14" hidden="1" x14ac:dyDescent="0.35">
      <c r="A2343">
        <v>3335</v>
      </c>
      <c r="B2343" s="4" t="s">
        <v>1220</v>
      </c>
      <c r="C2343" s="4" t="s">
        <v>1222</v>
      </c>
      <c r="D2343" s="4" t="s">
        <v>27</v>
      </c>
      <c r="E2343">
        <v>5</v>
      </c>
      <c r="F2343" s="3">
        <v>4289.91</v>
      </c>
      <c r="G2343" s="2">
        <v>1.23</v>
      </c>
      <c r="H2343" s="3">
        <v>-4933.3999999999996</v>
      </c>
      <c r="I2343" s="1">
        <v>45584</v>
      </c>
      <c r="J2343" s="4" t="s">
        <v>20</v>
      </c>
      <c r="K2343" s="4" t="s">
        <v>40</v>
      </c>
      <c r="L2343" s="3">
        <v>533.83000000000004</v>
      </c>
      <c r="M2343" s="4" t="s">
        <v>1255</v>
      </c>
      <c r="N2343" s="3">
        <v>21449.55</v>
      </c>
    </row>
    <row r="2344" spans="1:14" hidden="1" x14ac:dyDescent="0.35">
      <c r="A2344">
        <v>3336</v>
      </c>
      <c r="B2344" s="4" t="s">
        <v>189</v>
      </c>
      <c r="C2344" s="4" t="s">
        <v>1054</v>
      </c>
      <c r="D2344" s="4" t="s">
        <v>30</v>
      </c>
      <c r="E2344">
        <v>2</v>
      </c>
      <c r="F2344" s="3">
        <v>2657.1709999999998</v>
      </c>
      <c r="G2344" s="2">
        <v>0.62767857142857097</v>
      </c>
      <c r="H2344" s="3">
        <v>0</v>
      </c>
      <c r="I2344" s="1">
        <v>45826</v>
      </c>
      <c r="J2344" s="4" t="s">
        <v>9</v>
      </c>
      <c r="K2344" s="4" t="s">
        <v>40</v>
      </c>
      <c r="L2344" s="3">
        <v>1872.26</v>
      </c>
      <c r="M2344" s="4" t="s">
        <v>1255</v>
      </c>
      <c r="N2344" s="3">
        <v>5314.3419999999996</v>
      </c>
    </row>
    <row r="2345" spans="1:14" x14ac:dyDescent="0.35">
      <c r="A2345">
        <v>3338</v>
      </c>
      <c r="B2345" s="4" t="s">
        <v>687</v>
      </c>
      <c r="C2345" s="4" t="s">
        <v>175</v>
      </c>
      <c r="D2345" s="4" t="s">
        <v>25</v>
      </c>
      <c r="E2345">
        <v>0</v>
      </c>
      <c r="F2345" s="3">
        <v>2637.4994000000002</v>
      </c>
      <c r="G2345" s="2">
        <v>0.06</v>
      </c>
      <c r="H2345" s="3">
        <v>0</v>
      </c>
      <c r="I2345" s="1">
        <v>45856</v>
      </c>
      <c r="J2345" s="4" t="s">
        <v>20</v>
      </c>
      <c r="K2345" s="4" t="s">
        <v>8</v>
      </c>
      <c r="L2345" s="3">
        <v>1067.6600000000001</v>
      </c>
      <c r="M2345" s="4" t="s">
        <v>1255</v>
      </c>
      <c r="N2345" s="3">
        <v>0</v>
      </c>
    </row>
    <row r="2346" spans="1:14" x14ac:dyDescent="0.35">
      <c r="A2346">
        <v>3339</v>
      </c>
      <c r="B2346" s="4" t="s">
        <v>864</v>
      </c>
      <c r="C2346" s="4" t="s">
        <v>114</v>
      </c>
      <c r="D2346" s="4" t="s">
        <v>33</v>
      </c>
      <c r="E2346">
        <v>0</v>
      </c>
      <c r="F2346" s="3">
        <v>2634.9340000000002</v>
      </c>
      <c r="G2346" s="2">
        <v>0.636851851851852</v>
      </c>
      <c r="H2346" s="3">
        <v>0</v>
      </c>
      <c r="I2346" s="1">
        <v>45367</v>
      </c>
      <c r="J2346" s="4" t="s">
        <v>7</v>
      </c>
      <c r="K2346" s="4" t="s">
        <v>8</v>
      </c>
      <c r="L2346" s="3">
        <v>-735.83</v>
      </c>
      <c r="M2346" s="4" t="s">
        <v>1255</v>
      </c>
      <c r="N2346" s="3">
        <v>0</v>
      </c>
    </row>
    <row r="2347" spans="1:14" hidden="1" x14ac:dyDescent="0.35">
      <c r="A2347">
        <v>3340</v>
      </c>
      <c r="B2347" s="4" t="s">
        <v>65</v>
      </c>
      <c r="C2347" s="4" t="s">
        <v>680</v>
      </c>
      <c r="D2347" s="4" t="s">
        <v>22</v>
      </c>
      <c r="E2347">
        <v>6</v>
      </c>
      <c r="F2347" s="3">
        <v>3924.28</v>
      </c>
      <c r="G2347" s="2">
        <v>0.15</v>
      </c>
      <c r="H2347" s="3">
        <v>20013.830000000002</v>
      </c>
      <c r="I2347" s="1">
        <v>45532</v>
      </c>
      <c r="J2347" s="4" t="s">
        <v>18</v>
      </c>
      <c r="K2347" s="4" t="s">
        <v>40</v>
      </c>
      <c r="L2347" s="3">
        <v>-831.93</v>
      </c>
      <c r="M2347" s="4" t="s">
        <v>1256</v>
      </c>
      <c r="N2347" s="3">
        <v>23545.68</v>
      </c>
    </row>
    <row r="2348" spans="1:14" hidden="1" x14ac:dyDescent="0.35">
      <c r="A2348">
        <v>3341</v>
      </c>
      <c r="B2348" s="4" t="s">
        <v>1057</v>
      </c>
      <c r="C2348" s="4" t="s">
        <v>874</v>
      </c>
      <c r="D2348" s="4" t="s">
        <v>33</v>
      </c>
      <c r="E2348">
        <v>2</v>
      </c>
      <c r="F2348" s="3">
        <v>2080.09</v>
      </c>
      <c r="G2348" s="2">
        <v>0.64603773584905699</v>
      </c>
      <c r="H2348" s="3">
        <v>0</v>
      </c>
      <c r="I2348" s="1">
        <v>45532</v>
      </c>
      <c r="J2348" s="4" t="s">
        <v>23</v>
      </c>
      <c r="K2348" s="4" t="s">
        <v>40</v>
      </c>
      <c r="L2348" s="3">
        <v>1818.51</v>
      </c>
      <c r="M2348" s="4" t="s">
        <v>1255</v>
      </c>
      <c r="N2348" s="3">
        <v>4160.18</v>
      </c>
    </row>
    <row r="2349" spans="1:14" x14ac:dyDescent="0.35">
      <c r="A2349">
        <v>3342</v>
      </c>
      <c r="B2349" s="4" t="s">
        <v>805</v>
      </c>
      <c r="C2349" s="4" t="s">
        <v>203</v>
      </c>
      <c r="D2349" s="4" t="s">
        <v>13</v>
      </c>
      <c r="E2349">
        <v>2</v>
      </c>
      <c r="F2349" s="3">
        <v>2109.83</v>
      </c>
      <c r="G2349" s="2">
        <v>0.64603773584905699</v>
      </c>
      <c r="H2349" s="3">
        <v>0</v>
      </c>
      <c r="I2349" s="1">
        <v>45532</v>
      </c>
      <c r="J2349" s="4" t="s">
        <v>20</v>
      </c>
      <c r="K2349" s="4" t="s">
        <v>12</v>
      </c>
      <c r="L2349" s="3">
        <v>546.26</v>
      </c>
      <c r="M2349" s="4" t="s">
        <v>1255</v>
      </c>
      <c r="N2349" s="3">
        <v>4219.66</v>
      </c>
    </row>
    <row r="2350" spans="1:14" x14ac:dyDescent="0.35">
      <c r="A2350">
        <v>3343</v>
      </c>
      <c r="B2350" s="4" t="s">
        <v>468</v>
      </c>
      <c r="C2350" s="4" t="s">
        <v>697</v>
      </c>
      <c r="D2350" s="4" t="s">
        <v>28</v>
      </c>
      <c r="E2350">
        <v>0</v>
      </c>
      <c r="F2350" s="3">
        <v>3677.95</v>
      </c>
      <c r="G2350" s="2">
        <v>0.42</v>
      </c>
      <c r="H2350" s="3">
        <v>0</v>
      </c>
      <c r="I2350" s="1">
        <v>45713</v>
      </c>
      <c r="J2350" s="4" t="s">
        <v>11</v>
      </c>
      <c r="K2350" s="4" t="s">
        <v>8</v>
      </c>
      <c r="L2350" s="3">
        <v>958.93</v>
      </c>
      <c r="M2350" s="4" t="s">
        <v>1255</v>
      </c>
      <c r="N2350" s="3">
        <v>0</v>
      </c>
    </row>
    <row r="2351" spans="1:14" x14ac:dyDescent="0.35">
      <c r="A2351">
        <v>3344</v>
      </c>
      <c r="B2351" s="4" t="s">
        <v>1103</v>
      </c>
      <c r="C2351" s="4" t="s">
        <v>293</v>
      </c>
      <c r="D2351" s="4" t="s">
        <v>10</v>
      </c>
      <c r="E2351">
        <v>0</v>
      </c>
      <c r="F2351" s="3">
        <v>2632.2833999999998</v>
      </c>
      <c r="G2351" s="2">
        <v>0.65038461538461501</v>
      </c>
      <c r="H2351" s="3">
        <v>0</v>
      </c>
      <c r="I2351" s="1">
        <v>45811</v>
      </c>
      <c r="J2351" s="4" t="s">
        <v>9</v>
      </c>
      <c r="K2351" s="4" t="s">
        <v>12</v>
      </c>
      <c r="L2351" s="3">
        <v>1933.51</v>
      </c>
      <c r="M2351" s="4" t="s">
        <v>1255</v>
      </c>
      <c r="N2351" s="3">
        <v>0</v>
      </c>
    </row>
    <row r="2352" spans="1:14" hidden="1" x14ac:dyDescent="0.35">
      <c r="A2352">
        <v>3345</v>
      </c>
      <c r="B2352" s="4" t="s">
        <v>572</v>
      </c>
      <c r="C2352" s="4" t="s">
        <v>257</v>
      </c>
      <c r="D2352" s="4" t="s">
        <v>25</v>
      </c>
      <c r="E2352">
        <v>0</v>
      </c>
      <c r="F2352" s="3">
        <v>2618.8773999999999</v>
      </c>
      <c r="G2352" s="2">
        <v>0.65038461538461501</v>
      </c>
      <c r="H2352" s="3">
        <v>0</v>
      </c>
      <c r="I2352" s="1">
        <v>45679</v>
      </c>
      <c r="J2352" s="4" t="s">
        <v>18</v>
      </c>
      <c r="K2352" s="4" t="s">
        <v>40</v>
      </c>
      <c r="L2352" s="3">
        <v>461.25</v>
      </c>
      <c r="M2352" s="4" t="s">
        <v>1255</v>
      </c>
      <c r="N2352" s="3">
        <v>0</v>
      </c>
    </row>
    <row r="2353" spans="1:14" x14ac:dyDescent="0.35">
      <c r="A2353">
        <v>3346</v>
      </c>
      <c r="B2353" s="4" t="s">
        <v>1223</v>
      </c>
      <c r="C2353" s="4" t="s">
        <v>496</v>
      </c>
      <c r="D2353" s="4" t="s">
        <v>22</v>
      </c>
      <c r="E2353">
        <v>2</v>
      </c>
      <c r="F2353" s="3">
        <v>1266.23</v>
      </c>
      <c r="G2353" s="2">
        <v>0.81</v>
      </c>
      <c r="H2353" s="3">
        <v>481.17</v>
      </c>
      <c r="I2353" s="1">
        <v>45651</v>
      </c>
      <c r="J2353" s="4" t="s">
        <v>9</v>
      </c>
      <c r="K2353" s="4" t="s">
        <v>12</v>
      </c>
      <c r="L2353" s="3">
        <v>416.5</v>
      </c>
      <c r="M2353" s="4" t="s">
        <v>1256</v>
      </c>
      <c r="N2353" s="3">
        <v>2532.46</v>
      </c>
    </row>
    <row r="2354" spans="1:14" hidden="1" x14ac:dyDescent="0.35">
      <c r="A2354">
        <v>3347</v>
      </c>
      <c r="B2354" s="4" t="s">
        <v>434</v>
      </c>
      <c r="C2354" s="4" t="s">
        <v>236</v>
      </c>
      <c r="D2354" s="4" t="s">
        <v>30</v>
      </c>
      <c r="E2354">
        <v>0</v>
      </c>
      <c r="F2354" s="3">
        <v>3873.27</v>
      </c>
      <c r="G2354" s="2">
        <v>0.64725490196078395</v>
      </c>
      <c r="H2354" s="3">
        <v>0</v>
      </c>
      <c r="I2354" s="1">
        <v>45656</v>
      </c>
      <c r="J2354" s="4" t="s">
        <v>11</v>
      </c>
      <c r="K2354" s="4" t="s">
        <v>40</v>
      </c>
      <c r="L2354" s="3">
        <v>212.7</v>
      </c>
      <c r="M2354" s="4" t="s">
        <v>1255</v>
      </c>
      <c r="N2354" s="3">
        <v>0</v>
      </c>
    </row>
    <row r="2355" spans="1:14" x14ac:dyDescent="0.35">
      <c r="A2355">
        <v>3348</v>
      </c>
      <c r="B2355" s="4" t="s">
        <v>697</v>
      </c>
      <c r="C2355" s="4" t="s">
        <v>1093</v>
      </c>
      <c r="D2355" s="4" t="s">
        <v>34</v>
      </c>
      <c r="E2355">
        <v>0</v>
      </c>
      <c r="F2355" s="3">
        <v>2636.4443000000001</v>
      </c>
      <c r="G2355" s="2">
        <v>0.98</v>
      </c>
      <c r="H2355" s="3">
        <v>0</v>
      </c>
      <c r="I2355" s="1">
        <v>45592</v>
      </c>
      <c r="J2355" s="4" t="s">
        <v>23</v>
      </c>
      <c r="K2355" s="4" t="s">
        <v>12</v>
      </c>
      <c r="L2355" s="3">
        <v>1023.68</v>
      </c>
      <c r="M2355" s="4" t="s">
        <v>1255</v>
      </c>
      <c r="N2355" s="3">
        <v>0</v>
      </c>
    </row>
    <row r="2356" spans="1:14" hidden="1" x14ac:dyDescent="0.35">
      <c r="A2356">
        <v>3349</v>
      </c>
      <c r="B2356" s="4" t="s">
        <v>510</v>
      </c>
      <c r="C2356" s="4" t="s">
        <v>331</v>
      </c>
      <c r="D2356" s="4" t="s">
        <v>27</v>
      </c>
      <c r="E2356">
        <v>0</v>
      </c>
      <c r="F2356" s="3">
        <v>1866.28</v>
      </c>
      <c r="G2356" s="2">
        <v>0.64059999999999995</v>
      </c>
      <c r="H2356" s="3">
        <v>0</v>
      </c>
      <c r="I2356" s="1">
        <v>45840</v>
      </c>
      <c r="J2356" s="4" t="s">
        <v>20</v>
      </c>
      <c r="K2356" s="4" t="s">
        <v>40</v>
      </c>
      <c r="L2356" s="3">
        <v>1605.37</v>
      </c>
      <c r="M2356" s="4" t="s">
        <v>1255</v>
      </c>
      <c r="N2356" s="3">
        <v>0</v>
      </c>
    </row>
    <row r="2357" spans="1:14" x14ac:dyDescent="0.35">
      <c r="A2357">
        <v>3350</v>
      </c>
      <c r="B2357" s="4" t="s">
        <v>110</v>
      </c>
      <c r="C2357" s="4" t="s">
        <v>860</v>
      </c>
      <c r="D2357" s="4" t="s">
        <v>38</v>
      </c>
      <c r="E2357">
        <v>0</v>
      </c>
      <c r="F2357" s="3">
        <v>2620.1703000000002</v>
      </c>
      <c r="G2357" s="2">
        <v>0.64059999999999995</v>
      </c>
      <c r="H2357" s="3">
        <v>0</v>
      </c>
      <c r="I2357" s="1">
        <v>45337</v>
      </c>
      <c r="J2357" s="4" t="s">
        <v>11</v>
      </c>
      <c r="K2357" s="4" t="s">
        <v>8</v>
      </c>
      <c r="L2357" s="3">
        <v>14.57</v>
      </c>
      <c r="M2357" s="4" t="s">
        <v>1255</v>
      </c>
      <c r="N2357" s="3">
        <v>0</v>
      </c>
    </row>
    <row r="2358" spans="1:14" x14ac:dyDescent="0.35">
      <c r="A2358">
        <v>3351</v>
      </c>
      <c r="B2358" s="4" t="s">
        <v>342</v>
      </c>
      <c r="C2358" s="4" t="s">
        <v>383</v>
      </c>
      <c r="D2358" s="4" t="s">
        <v>16</v>
      </c>
      <c r="E2358">
        <v>0</v>
      </c>
      <c r="F2358" s="3">
        <v>2630.2221</v>
      </c>
      <c r="G2358" s="2">
        <v>0.56999999999999995</v>
      </c>
      <c r="H2358" s="3">
        <v>0</v>
      </c>
      <c r="I2358" s="1">
        <v>45620</v>
      </c>
      <c r="J2358" s="4" t="s">
        <v>20</v>
      </c>
      <c r="K2358" s="4" t="s">
        <v>8</v>
      </c>
      <c r="L2358" s="3">
        <v>211.03</v>
      </c>
      <c r="M2358" s="4" t="s">
        <v>1255</v>
      </c>
      <c r="N2358" s="3">
        <v>0</v>
      </c>
    </row>
    <row r="2359" spans="1:14" hidden="1" x14ac:dyDescent="0.35">
      <c r="A2359">
        <v>3352</v>
      </c>
      <c r="B2359" s="4" t="s">
        <v>130</v>
      </c>
      <c r="C2359" s="4" t="s">
        <v>70</v>
      </c>
      <c r="D2359" s="4" t="s">
        <v>14</v>
      </c>
      <c r="E2359">
        <v>0</v>
      </c>
      <c r="F2359" s="3">
        <v>2559.35</v>
      </c>
      <c r="G2359" s="2">
        <v>0.64204081632652998</v>
      </c>
      <c r="H2359" s="3">
        <v>0</v>
      </c>
      <c r="I2359" s="1">
        <v>45207</v>
      </c>
      <c r="J2359" s="4" t="s">
        <v>9</v>
      </c>
      <c r="K2359" s="4" t="s">
        <v>40</v>
      </c>
      <c r="L2359" s="3">
        <v>1386.39</v>
      </c>
      <c r="M2359" s="4" t="s">
        <v>1255</v>
      </c>
      <c r="N2359" s="3">
        <v>0</v>
      </c>
    </row>
    <row r="2360" spans="1:14" hidden="1" x14ac:dyDescent="0.35">
      <c r="A2360">
        <v>3353</v>
      </c>
      <c r="B2360" s="4" t="s">
        <v>164</v>
      </c>
      <c r="C2360" s="4" t="s">
        <v>95</v>
      </c>
      <c r="D2360" s="4" t="s">
        <v>34</v>
      </c>
      <c r="E2360">
        <v>0</v>
      </c>
      <c r="F2360" s="3">
        <v>2630.2221</v>
      </c>
      <c r="G2360" s="2">
        <v>0.64204081632652998</v>
      </c>
      <c r="H2360" s="3">
        <v>0</v>
      </c>
      <c r="I2360" s="1">
        <v>45617</v>
      </c>
      <c r="J2360" s="4" t="s">
        <v>11</v>
      </c>
      <c r="K2360" s="4" t="s">
        <v>40</v>
      </c>
      <c r="L2360" s="3">
        <v>-766.44</v>
      </c>
      <c r="M2360" s="4" t="s">
        <v>1255</v>
      </c>
      <c r="N2360" s="3">
        <v>0</v>
      </c>
    </row>
    <row r="2361" spans="1:14" hidden="1" x14ac:dyDescent="0.35">
      <c r="A2361">
        <v>3354</v>
      </c>
      <c r="B2361" s="4" t="s">
        <v>330</v>
      </c>
      <c r="C2361" s="4" t="s">
        <v>211</v>
      </c>
      <c r="D2361" s="4" t="s">
        <v>34</v>
      </c>
      <c r="E2361">
        <v>0</v>
      </c>
      <c r="F2361" s="3">
        <v>2631.1799000000001</v>
      </c>
      <c r="G2361" s="2">
        <v>0.74</v>
      </c>
      <c r="H2361" s="3">
        <v>0</v>
      </c>
      <c r="I2361" s="1">
        <v>45764</v>
      </c>
      <c r="J2361" s="4" t="s">
        <v>11</v>
      </c>
      <c r="K2361" s="4" t="s">
        <v>40</v>
      </c>
      <c r="L2361" s="3">
        <v>2840.37</v>
      </c>
      <c r="M2361" s="4" t="s">
        <v>1255</v>
      </c>
      <c r="N2361" s="3">
        <v>0</v>
      </c>
    </row>
    <row r="2362" spans="1:14" hidden="1" x14ac:dyDescent="0.35">
      <c r="A2362">
        <v>3355</v>
      </c>
      <c r="B2362" s="4" t="s">
        <v>396</v>
      </c>
      <c r="C2362" s="4" t="s">
        <v>845</v>
      </c>
      <c r="D2362" s="4" t="s">
        <v>14</v>
      </c>
      <c r="E2362">
        <v>0</v>
      </c>
      <c r="F2362" s="3">
        <v>3111.18</v>
      </c>
      <c r="G2362" s="2">
        <v>0.03</v>
      </c>
      <c r="H2362" s="3">
        <v>0</v>
      </c>
      <c r="I2362" s="1">
        <v>45764</v>
      </c>
      <c r="J2362" s="4" t="s">
        <v>9</v>
      </c>
      <c r="K2362" s="4" t="s">
        <v>40</v>
      </c>
      <c r="L2362" s="3">
        <v>1851.74</v>
      </c>
      <c r="M2362" s="4" t="s">
        <v>1255</v>
      </c>
      <c r="N2362" s="3">
        <v>0</v>
      </c>
    </row>
    <row r="2363" spans="1:14" x14ac:dyDescent="0.35">
      <c r="A2363">
        <v>3356</v>
      </c>
      <c r="B2363" s="4" t="s">
        <v>623</v>
      </c>
      <c r="C2363" s="4" t="s">
        <v>767</v>
      </c>
      <c r="D2363" s="4" t="s">
        <v>38</v>
      </c>
      <c r="E2363">
        <v>1</v>
      </c>
      <c r="F2363" s="3">
        <v>966.41</v>
      </c>
      <c r="G2363" s="2">
        <v>0.652978723404255</v>
      </c>
      <c r="H2363" s="3">
        <v>0</v>
      </c>
      <c r="I2363" s="1">
        <v>45499</v>
      </c>
      <c r="J2363" s="4" t="s">
        <v>18</v>
      </c>
      <c r="K2363" s="4" t="s">
        <v>8</v>
      </c>
      <c r="L2363" s="3">
        <v>924.69</v>
      </c>
      <c r="M2363" s="4" t="s">
        <v>1255</v>
      </c>
      <c r="N2363" s="3">
        <v>966.41</v>
      </c>
    </row>
    <row r="2364" spans="1:14" hidden="1" x14ac:dyDescent="0.35">
      <c r="A2364">
        <v>3357</v>
      </c>
      <c r="B2364" s="4" t="s">
        <v>189</v>
      </c>
      <c r="C2364" s="4" t="s">
        <v>629</v>
      </c>
      <c r="D2364" s="4" t="s">
        <v>24</v>
      </c>
      <c r="E2364">
        <v>0</v>
      </c>
      <c r="F2364" s="3">
        <v>4909.58</v>
      </c>
      <c r="G2364" s="2">
        <v>0.652978723404255</v>
      </c>
      <c r="H2364" s="3">
        <v>0</v>
      </c>
      <c r="I2364" s="1">
        <v>45213</v>
      </c>
      <c r="J2364" s="4" t="s">
        <v>20</v>
      </c>
      <c r="K2364" s="4" t="s">
        <v>40</v>
      </c>
      <c r="L2364" s="3">
        <v>-500.19</v>
      </c>
      <c r="M2364" s="4" t="s">
        <v>1255</v>
      </c>
      <c r="N2364" s="3">
        <v>0</v>
      </c>
    </row>
    <row r="2365" spans="1:14" x14ac:dyDescent="0.35">
      <c r="A2365">
        <v>3358</v>
      </c>
      <c r="B2365" s="4" t="s">
        <v>56</v>
      </c>
      <c r="C2365" s="4" t="s">
        <v>891</v>
      </c>
      <c r="D2365" s="4" t="s">
        <v>25</v>
      </c>
      <c r="E2365">
        <v>-2</v>
      </c>
      <c r="F2365" s="3">
        <v>2647.6350000000002</v>
      </c>
      <c r="G2365" s="2">
        <v>0.652978723404255</v>
      </c>
      <c r="H2365" s="3">
        <v>0</v>
      </c>
      <c r="I2365" s="1">
        <v>45618</v>
      </c>
      <c r="J2365" s="4" t="s">
        <v>7</v>
      </c>
      <c r="K2365" s="4" t="s">
        <v>8</v>
      </c>
      <c r="L2365" s="3">
        <v>1541.97</v>
      </c>
      <c r="M2365" s="4" t="s">
        <v>1255</v>
      </c>
      <c r="N2365" s="3">
        <v>-5295.27</v>
      </c>
    </row>
    <row r="2366" spans="1:14" x14ac:dyDescent="0.35">
      <c r="A2366">
        <v>3359</v>
      </c>
      <c r="B2366" s="4" t="s">
        <v>1144</v>
      </c>
      <c r="C2366" s="4" t="s">
        <v>531</v>
      </c>
      <c r="D2366" s="4" t="s">
        <v>24</v>
      </c>
      <c r="E2366">
        <v>-2</v>
      </c>
      <c r="F2366" s="3">
        <v>1380.44</v>
      </c>
      <c r="G2366" s="2">
        <v>0.652978723404255</v>
      </c>
      <c r="H2366" s="3">
        <v>0</v>
      </c>
      <c r="I2366" s="1">
        <v>45618</v>
      </c>
      <c r="J2366" s="4" t="s">
        <v>11</v>
      </c>
      <c r="K2366" s="4" t="s">
        <v>12</v>
      </c>
      <c r="L2366" s="3">
        <v>-329.81</v>
      </c>
      <c r="M2366" s="4" t="s">
        <v>1255</v>
      </c>
      <c r="N2366" s="3">
        <v>-2760.88</v>
      </c>
    </row>
    <row r="2367" spans="1:14" x14ac:dyDescent="0.35">
      <c r="A2367">
        <v>3360</v>
      </c>
      <c r="B2367" s="4" t="s">
        <v>379</v>
      </c>
      <c r="C2367" s="4" t="s">
        <v>1224</v>
      </c>
      <c r="D2367" s="4" t="s">
        <v>6</v>
      </c>
      <c r="E2367">
        <v>5</v>
      </c>
      <c r="F2367" s="3">
        <v>2615.7766000000001</v>
      </c>
      <c r="G2367" s="2">
        <v>0.652978723404255</v>
      </c>
      <c r="H2367" s="3">
        <v>0</v>
      </c>
      <c r="I2367" s="1">
        <v>45699</v>
      </c>
      <c r="J2367" s="4" t="s">
        <v>23</v>
      </c>
      <c r="K2367" s="4" t="s">
        <v>12</v>
      </c>
      <c r="L2367" s="3">
        <v>2229.54</v>
      </c>
      <c r="M2367" s="4" t="s">
        <v>1255</v>
      </c>
      <c r="N2367" s="3">
        <v>13078.883</v>
      </c>
    </row>
    <row r="2368" spans="1:14" hidden="1" x14ac:dyDescent="0.35">
      <c r="A2368">
        <v>3361</v>
      </c>
      <c r="B2368" s="4" t="s">
        <v>60</v>
      </c>
      <c r="C2368" s="4" t="s">
        <v>1225</v>
      </c>
      <c r="D2368" s="4" t="s">
        <v>35</v>
      </c>
      <c r="E2368">
        <v>2</v>
      </c>
      <c r="F2368" s="3">
        <v>2633.4243000000001</v>
      </c>
      <c r="G2368" s="2">
        <v>0.652978723404255</v>
      </c>
      <c r="H2368" s="3">
        <v>0</v>
      </c>
      <c r="I2368" s="1">
        <v>45699</v>
      </c>
      <c r="J2368" s="4" t="s">
        <v>18</v>
      </c>
      <c r="K2368" s="4" t="s">
        <v>40</v>
      </c>
      <c r="L2368" s="3">
        <v>1648.42</v>
      </c>
      <c r="M2368" s="4" t="s">
        <v>1255</v>
      </c>
      <c r="N2368" s="3">
        <v>5266.8486000000003</v>
      </c>
    </row>
    <row r="2369" spans="1:14" hidden="1" x14ac:dyDescent="0.35">
      <c r="A2369">
        <v>3362</v>
      </c>
      <c r="B2369" s="4" t="s">
        <v>646</v>
      </c>
      <c r="C2369" s="4" t="s">
        <v>1155</v>
      </c>
      <c r="D2369" s="4" t="s">
        <v>14</v>
      </c>
      <c r="E2369">
        <v>2</v>
      </c>
      <c r="F2369" s="3">
        <v>2633.4243000000001</v>
      </c>
      <c r="G2369" s="2">
        <v>0.652978723404255</v>
      </c>
      <c r="H2369" s="3">
        <v>0</v>
      </c>
      <c r="I2369" s="1">
        <v>45802</v>
      </c>
      <c r="J2369" s="4" t="s">
        <v>23</v>
      </c>
      <c r="K2369" s="4" t="s">
        <v>40</v>
      </c>
      <c r="L2369" s="3">
        <v>1445.86</v>
      </c>
      <c r="M2369" s="4" t="s">
        <v>1255</v>
      </c>
      <c r="N2369" s="3">
        <v>5266.8486000000003</v>
      </c>
    </row>
    <row r="2370" spans="1:14" x14ac:dyDescent="0.35">
      <c r="A2370">
        <v>3363</v>
      </c>
      <c r="B2370" s="4" t="s">
        <v>125</v>
      </c>
      <c r="C2370" s="4" t="s">
        <v>842</v>
      </c>
      <c r="D2370" s="4" t="s">
        <v>10</v>
      </c>
      <c r="E2370">
        <v>0</v>
      </c>
      <c r="F2370" s="3">
        <v>3754.24</v>
      </c>
      <c r="G2370" s="2">
        <v>0.652978723404255</v>
      </c>
      <c r="H2370" s="3">
        <v>0</v>
      </c>
      <c r="I2370" s="1">
        <v>45802</v>
      </c>
      <c r="J2370" s="4" t="s">
        <v>7</v>
      </c>
      <c r="K2370" s="4" t="s">
        <v>12</v>
      </c>
      <c r="L2370" s="3">
        <v>461.46</v>
      </c>
      <c r="M2370" s="4" t="s">
        <v>1255</v>
      </c>
      <c r="N2370" s="3">
        <v>0</v>
      </c>
    </row>
    <row r="2371" spans="1:14" hidden="1" x14ac:dyDescent="0.35">
      <c r="A2371">
        <v>3364</v>
      </c>
      <c r="B2371" s="4" t="s">
        <v>212</v>
      </c>
      <c r="C2371" s="4" t="s">
        <v>104</v>
      </c>
      <c r="D2371" s="4" t="s">
        <v>34</v>
      </c>
      <c r="E2371">
        <v>0</v>
      </c>
      <c r="F2371" s="3">
        <v>2633.4243000000001</v>
      </c>
      <c r="G2371" s="2">
        <v>0.652978723404255</v>
      </c>
      <c r="H2371" s="3">
        <v>0</v>
      </c>
      <c r="I2371" s="1">
        <v>45846</v>
      </c>
      <c r="J2371" s="4" t="s">
        <v>9</v>
      </c>
      <c r="K2371" s="4" t="s">
        <v>40</v>
      </c>
      <c r="L2371" s="3">
        <v>-552.42999999999995</v>
      </c>
      <c r="M2371" s="4" t="s">
        <v>1255</v>
      </c>
      <c r="N2371" s="3">
        <v>0</v>
      </c>
    </row>
    <row r="2372" spans="1:14" hidden="1" x14ac:dyDescent="0.35">
      <c r="A2372">
        <v>3365</v>
      </c>
      <c r="B2372" s="4" t="s">
        <v>1226</v>
      </c>
      <c r="C2372" s="4" t="s">
        <v>118</v>
      </c>
      <c r="D2372" s="4" t="s">
        <v>13</v>
      </c>
      <c r="E2372">
        <v>0</v>
      </c>
      <c r="F2372" s="3">
        <v>2414.9299999999998</v>
      </c>
      <c r="G2372" s="2">
        <v>0.652978723404255</v>
      </c>
      <c r="H2372" s="3">
        <v>0</v>
      </c>
      <c r="I2372" s="1">
        <v>45771</v>
      </c>
      <c r="J2372" s="4" t="s">
        <v>18</v>
      </c>
      <c r="K2372" s="4" t="s">
        <v>40</v>
      </c>
      <c r="L2372" s="3">
        <v>2493.6</v>
      </c>
      <c r="M2372" s="4" t="s">
        <v>1255</v>
      </c>
      <c r="N2372" s="3">
        <v>0</v>
      </c>
    </row>
    <row r="2373" spans="1:14" x14ac:dyDescent="0.35">
      <c r="A2373">
        <v>3366</v>
      </c>
      <c r="B2373" s="4" t="s">
        <v>317</v>
      </c>
      <c r="C2373" s="4" t="s">
        <v>82</v>
      </c>
      <c r="D2373" s="4" t="s">
        <v>34</v>
      </c>
      <c r="E2373">
        <v>5</v>
      </c>
      <c r="F2373" s="3">
        <v>636.53</v>
      </c>
      <c r="G2373" s="2">
        <v>0.652978723404255</v>
      </c>
      <c r="H2373" s="3">
        <v>0</v>
      </c>
      <c r="I2373" s="1">
        <v>45748</v>
      </c>
      <c r="J2373" s="4" t="s">
        <v>11</v>
      </c>
      <c r="K2373" s="4" t="s">
        <v>12</v>
      </c>
      <c r="L2373" s="3">
        <v>-513.44000000000005</v>
      </c>
      <c r="M2373" s="4" t="s">
        <v>1255</v>
      </c>
      <c r="N2373" s="3">
        <v>3182.65</v>
      </c>
    </row>
    <row r="2374" spans="1:14" x14ac:dyDescent="0.35">
      <c r="A2374">
        <v>3367</v>
      </c>
      <c r="B2374" s="4" t="s">
        <v>787</v>
      </c>
      <c r="C2374" s="4" t="s">
        <v>429</v>
      </c>
      <c r="D2374" s="4" t="s">
        <v>33</v>
      </c>
      <c r="E2374">
        <v>0</v>
      </c>
      <c r="F2374" s="3">
        <v>4206.91</v>
      </c>
      <c r="G2374" s="2">
        <v>0.652978723404255</v>
      </c>
      <c r="H2374" s="3">
        <v>0</v>
      </c>
      <c r="I2374" s="1">
        <v>45493</v>
      </c>
      <c r="J2374" s="4" t="s">
        <v>18</v>
      </c>
      <c r="K2374" s="4" t="s">
        <v>8</v>
      </c>
      <c r="L2374" s="3">
        <v>818.99</v>
      </c>
      <c r="M2374" s="4" t="s">
        <v>1255</v>
      </c>
      <c r="N2374" s="3">
        <v>0</v>
      </c>
    </row>
    <row r="2375" spans="1:14" hidden="1" x14ac:dyDescent="0.35">
      <c r="A2375">
        <v>3368</v>
      </c>
      <c r="B2375" s="4" t="s">
        <v>152</v>
      </c>
      <c r="C2375" s="4" t="s">
        <v>1227</v>
      </c>
      <c r="D2375" s="4" t="s">
        <v>19</v>
      </c>
      <c r="E2375">
        <v>4</v>
      </c>
      <c r="F2375" s="3">
        <v>2649.7611999999999</v>
      </c>
      <c r="G2375" s="2">
        <v>0.652978723404255</v>
      </c>
      <c r="H2375" s="3">
        <v>0</v>
      </c>
      <c r="I2375" s="1">
        <v>45493</v>
      </c>
      <c r="J2375" s="4" t="s">
        <v>9</v>
      </c>
      <c r="K2375" s="4" t="s">
        <v>40</v>
      </c>
      <c r="L2375" s="3">
        <v>-862.24</v>
      </c>
      <c r="M2375" s="4" t="s">
        <v>1255</v>
      </c>
      <c r="N2375" s="3">
        <v>10599.0448</v>
      </c>
    </row>
    <row r="2376" spans="1:14" x14ac:dyDescent="0.35">
      <c r="A2376">
        <v>3369</v>
      </c>
      <c r="B2376" s="4" t="s">
        <v>587</v>
      </c>
      <c r="C2376" s="4" t="s">
        <v>556</v>
      </c>
      <c r="D2376" s="4" t="s">
        <v>16</v>
      </c>
      <c r="E2376">
        <v>0</v>
      </c>
      <c r="F2376" s="3">
        <v>2626.1680000000001</v>
      </c>
      <c r="G2376" s="2">
        <v>0.652978723404255</v>
      </c>
      <c r="H2376" s="3">
        <v>0</v>
      </c>
      <c r="I2376" s="1">
        <v>45678</v>
      </c>
      <c r="J2376" s="4" t="s">
        <v>18</v>
      </c>
      <c r="K2376" s="4" t="s">
        <v>12</v>
      </c>
      <c r="L2376" s="3">
        <v>245.55</v>
      </c>
      <c r="M2376" s="4" t="s">
        <v>1255</v>
      </c>
      <c r="N2376" s="3">
        <v>0</v>
      </c>
    </row>
    <row r="2377" spans="1:14" x14ac:dyDescent="0.35">
      <c r="A2377">
        <v>3370</v>
      </c>
      <c r="B2377" s="4" t="s">
        <v>575</v>
      </c>
      <c r="C2377" s="4" t="s">
        <v>730</v>
      </c>
      <c r="D2377" s="4" t="s">
        <v>30</v>
      </c>
      <c r="E2377">
        <v>0</v>
      </c>
      <c r="F2377" s="3">
        <v>2626.1680000000001</v>
      </c>
      <c r="G2377" s="2">
        <v>0.652978723404255</v>
      </c>
      <c r="H2377" s="3">
        <v>0</v>
      </c>
      <c r="I2377" s="1">
        <v>45347</v>
      </c>
      <c r="J2377" s="4" t="s">
        <v>18</v>
      </c>
      <c r="K2377" s="4" t="s">
        <v>12</v>
      </c>
      <c r="L2377" s="3">
        <v>1069.18</v>
      </c>
      <c r="M2377" s="4" t="s">
        <v>1255</v>
      </c>
      <c r="N2377" s="3">
        <v>0</v>
      </c>
    </row>
    <row r="2378" spans="1:14" hidden="1" x14ac:dyDescent="0.35">
      <c r="A2378">
        <v>3371</v>
      </c>
      <c r="B2378" s="4" t="s">
        <v>73</v>
      </c>
      <c r="C2378" s="4" t="s">
        <v>766</v>
      </c>
      <c r="D2378" s="4" t="s">
        <v>21</v>
      </c>
      <c r="E2378">
        <v>5</v>
      </c>
      <c r="F2378" s="3">
        <v>2626.1680000000001</v>
      </c>
      <c r="G2378" s="2">
        <v>0.652978723404255</v>
      </c>
      <c r="H2378" s="3">
        <v>0</v>
      </c>
      <c r="I2378" s="1">
        <v>45630</v>
      </c>
      <c r="J2378" s="4" t="s">
        <v>7</v>
      </c>
      <c r="K2378" s="4" t="s">
        <v>40</v>
      </c>
      <c r="L2378" s="3">
        <v>-276.12</v>
      </c>
      <c r="M2378" s="4" t="s">
        <v>1255</v>
      </c>
      <c r="N2378" s="3">
        <v>13130.84</v>
      </c>
    </row>
    <row r="2379" spans="1:14" x14ac:dyDescent="0.35">
      <c r="A2379">
        <v>3372</v>
      </c>
      <c r="B2379" s="4" t="s">
        <v>419</v>
      </c>
      <c r="C2379" s="4" t="s">
        <v>242</v>
      </c>
      <c r="D2379" s="4" t="s">
        <v>6</v>
      </c>
      <c r="E2379">
        <v>0</v>
      </c>
      <c r="F2379" s="3">
        <v>2291.31</v>
      </c>
      <c r="G2379" s="2">
        <v>0.652978723404255</v>
      </c>
      <c r="H2379" s="3">
        <v>0</v>
      </c>
      <c r="I2379" s="1">
        <v>45157</v>
      </c>
      <c r="J2379" s="4" t="s">
        <v>23</v>
      </c>
      <c r="K2379" s="4" t="s">
        <v>12</v>
      </c>
      <c r="L2379" s="3">
        <v>-169.68</v>
      </c>
      <c r="M2379" s="4" t="s">
        <v>1255</v>
      </c>
      <c r="N2379" s="3">
        <v>0</v>
      </c>
    </row>
    <row r="2380" spans="1:14" hidden="1" x14ac:dyDescent="0.35">
      <c r="A2380">
        <v>3373</v>
      </c>
      <c r="B2380" s="4" t="s">
        <v>538</v>
      </c>
      <c r="C2380" s="4" t="s">
        <v>694</v>
      </c>
      <c r="D2380" s="4" t="s">
        <v>38</v>
      </c>
      <c r="E2380">
        <v>0</v>
      </c>
      <c r="F2380" s="3">
        <v>3507.48</v>
      </c>
      <c r="G2380" s="2">
        <v>0.652978723404255</v>
      </c>
      <c r="H2380" s="3">
        <v>0</v>
      </c>
      <c r="I2380" s="1">
        <v>45642</v>
      </c>
      <c r="J2380" s="4" t="s">
        <v>11</v>
      </c>
      <c r="K2380" s="4" t="s">
        <v>40</v>
      </c>
      <c r="L2380" s="3">
        <v>2821.27</v>
      </c>
      <c r="M2380" s="4" t="s">
        <v>1255</v>
      </c>
      <c r="N2380" s="3">
        <v>0</v>
      </c>
    </row>
    <row r="2381" spans="1:14" x14ac:dyDescent="0.35">
      <c r="A2381">
        <v>3374</v>
      </c>
      <c r="B2381" s="4" t="s">
        <v>264</v>
      </c>
      <c r="C2381" s="4" t="s">
        <v>388</v>
      </c>
      <c r="D2381" s="4" t="s">
        <v>25</v>
      </c>
      <c r="E2381">
        <v>0</v>
      </c>
      <c r="F2381" s="3">
        <v>2489.23</v>
      </c>
      <c r="G2381" s="2">
        <v>0.652978723404255</v>
      </c>
      <c r="H2381" s="3">
        <v>0</v>
      </c>
      <c r="I2381" s="1">
        <v>45666</v>
      </c>
      <c r="J2381" s="4" t="s">
        <v>23</v>
      </c>
      <c r="K2381" s="4" t="s">
        <v>8</v>
      </c>
      <c r="L2381" s="3">
        <v>2977.05</v>
      </c>
      <c r="M2381" s="4" t="s">
        <v>1255</v>
      </c>
      <c r="N2381" s="3">
        <v>0</v>
      </c>
    </row>
    <row r="2382" spans="1:14" hidden="1" x14ac:dyDescent="0.35">
      <c r="A2382">
        <v>3375</v>
      </c>
      <c r="B2382" s="4" t="s">
        <v>568</v>
      </c>
      <c r="C2382" s="4" t="s">
        <v>303</v>
      </c>
      <c r="D2382" s="4" t="s">
        <v>30</v>
      </c>
      <c r="E2382">
        <v>0</v>
      </c>
      <c r="F2382" s="3">
        <v>442.08</v>
      </c>
      <c r="G2382" s="2">
        <v>0.652978723404255</v>
      </c>
      <c r="H2382" s="3">
        <v>0</v>
      </c>
      <c r="I2382" s="1">
        <v>45672</v>
      </c>
      <c r="J2382" s="4" t="s">
        <v>23</v>
      </c>
      <c r="K2382" s="4" t="s">
        <v>40</v>
      </c>
      <c r="L2382" s="3">
        <v>944.55</v>
      </c>
      <c r="M2382" s="4" t="s">
        <v>1255</v>
      </c>
      <c r="N2382" s="3">
        <v>0</v>
      </c>
    </row>
    <row r="2383" spans="1:14" x14ac:dyDescent="0.35">
      <c r="A2383">
        <v>3376</v>
      </c>
      <c r="B2383" s="4" t="s">
        <v>264</v>
      </c>
      <c r="C2383" s="4" t="s">
        <v>943</v>
      </c>
      <c r="D2383" s="4" t="s">
        <v>32</v>
      </c>
      <c r="E2383">
        <v>0</v>
      </c>
      <c r="F2383" s="3">
        <v>2619.6678000000002</v>
      </c>
      <c r="G2383" s="2">
        <v>0.652978723404255</v>
      </c>
      <c r="H2383" s="3">
        <v>0</v>
      </c>
      <c r="I2383" s="1">
        <v>45269</v>
      </c>
      <c r="J2383" s="4" t="s">
        <v>7</v>
      </c>
      <c r="K2383" s="4" t="s">
        <v>12</v>
      </c>
      <c r="L2383" s="3">
        <v>1936.25</v>
      </c>
      <c r="M2383" s="4" t="s">
        <v>1255</v>
      </c>
      <c r="N2383" s="3">
        <v>0</v>
      </c>
    </row>
    <row r="2384" spans="1:14" hidden="1" x14ac:dyDescent="0.35">
      <c r="A2384">
        <v>3377</v>
      </c>
      <c r="B2384" s="4" t="s">
        <v>340</v>
      </c>
      <c r="C2384" s="4" t="s">
        <v>1228</v>
      </c>
      <c r="D2384" s="4" t="s">
        <v>25</v>
      </c>
      <c r="E2384">
        <v>0</v>
      </c>
      <c r="F2384" s="3">
        <v>1064.3699999999999</v>
      </c>
      <c r="G2384" s="2">
        <v>0.652978723404255</v>
      </c>
      <c r="H2384" s="3">
        <v>0</v>
      </c>
      <c r="I2384" s="1">
        <v>45816</v>
      </c>
      <c r="J2384" s="4" t="s">
        <v>7</v>
      </c>
      <c r="K2384" s="4" t="s">
        <v>40</v>
      </c>
      <c r="L2384" s="3">
        <v>-671.09</v>
      </c>
      <c r="M2384" s="4" t="s">
        <v>1255</v>
      </c>
      <c r="N2384" s="3">
        <v>0</v>
      </c>
    </row>
    <row r="2385" spans="1:14" x14ac:dyDescent="0.35">
      <c r="A2385">
        <v>3378</v>
      </c>
      <c r="B2385" s="4" t="s">
        <v>256</v>
      </c>
      <c r="C2385" s="4" t="s">
        <v>574</v>
      </c>
      <c r="D2385" s="4" t="s">
        <v>34</v>
      </c>
      <c r="E2385">
        <v>0</v>
      </c>
      <c r="F2385" s="3">
        <v>3675</v>
      </c>
      <c r="G2385" s="2">
        <v>0.652978723404255</v>
      </c>
      <c r="H2385" s="3">
        <v>0</v>
      </c>
      <c r="I2385" s="1">
        <v>45816</v>
      </c>
      <c r="J2385" s="4" t="s">
        <v>20</v>
      </c>
      <c r="K2385" s="4" t="s">
        <v>8</v>
      </c>
      <c r="L2385" s="3">
        <v>2641.65</v>
      </c>
      <c r="M2385" s="4" t="s">
        <v>1255</v>
      </c>
      <c r="N2385" s="3">
        <v>0</v>
      </c>
    </row>
    <row r="2386" spans="1:14" x14ac:dyDescent="0.35">
      <c r="A2386">
        <v>3379</v>
      </c>
      <c r="B2386" s="4" t="s">
        <v>581</v>
      </c>
      <c r="C2386" s="4" t="s">
        <v>302</v>
      </c>
      <c r="D2386" s="4" t="s">
        <v>35</v>
      </c>
      <c r="E2386">
        <v>-2</v>
      </c>
      <c r="F2386" s="3">
        <v>2680.8625999999999</v>
      </c>
      <c r="G2386" s="2">
        <v>0.652978723404255</v>
      </c>
      <c r="H2386" s="3">
        <v>0</v>
      </c>
      <c r="I2386" s="1">
        <v>45445</v>
      </c>
      <c r="J2386" s="4" t="s">
        <v>20</v>
      </c>
      <c r="K2386" s="4" t="s">
        <v>8</v>
      </c>
      <c r="L2386" s="3">
        <v>-861.83</v>
      </c>
      <c r="M2386" s="4" t="s">
        <v>1255</v>
      </c>
      <c r="N2386" s="3">
        <v>-5361.7251999999999</v>
      </c>
    </row>
    <row r="2387" spans="1:14" x14ac:dyDescent="0.35">
      <c r="A2387">
        <v>3380</v>
      </c>
      <c r="B2387" s="4" t="s">
        <v>419</v>
      </c>
      <c r="C2387" s="4" t="s">
        <v>840</v>
      </c>
      <c r="D2387" s="4" t="s">
        <v>31</v>
      </c>
      <c r="E2387">
        <v>2</v>
      </c>
      <c r="F2387" s="3">
        <v>4166.34</v>
      </c>
      <c r="G2387" s="2">
        <v>0.652978723404255</v>
      </c>
      <c r="H2387" s="3">
        <v>0</v>
      </c>
      <c r="I2387" s="1">
        <v>45579</v>
      </c>
      <c r="J2387" s="4" t="s">
        <v>23</v>
      </c>
      <c r="K2387" s="4" t="s">
        <v>12</v>
      </c>
      <c r="L2387" s="3">
        <v>317.31</v>
      </c>
      <c r="M2387" s="4" t="s">
        <v>1255</v>
      </c>
      <c r="N2387" s="3">
        <v>8332.68</v>
      </c>
    </row>
    <row r="2388" spans="1:14" hidden="1" x14ac:dyDescent="0.35">
      <c r="A2388">
        <v>3381</v>
      </c>
      <c r="B2388" s="4" t="s">
        <v>1103</v>
      </c>
      <c r="C2388" s="4" t="s">
        <v>95</v>
      </c>
      <c r="D2388" s="4" t="s">
        <v>38</v>
      </c>
      <c r="E2388">
        <v>-1</v>
      </c>
      <c r="F2388" s="3">
        <v>2664.2937000000002</v>
      </c>
      <c r="G2388" s="2">
        <v>0.1</v>
      </c>
      <c r="H2388" s="3">
        <v>0</v>
      </c>
      <c r="I2388" s="1">
        <v>45563</v>
      </c>
      <c r="J2388" s="4" t="s">
        <v>9</v>
      </c>
      <c r="K2388" s="4" t="s">
        <v>40</v>
      </c>
      <c r="L2388" s="3">
        <v>2205.09</v>
      </c>
      <c r="M2388" s="4" t="s">
        <v>1255</v>
      </c>
      <c r="N2388" s="3">
        <v>-2664.2937000000002</v>
      </c>
    </row>
    <row r="2389" spans="1:14" hidden="1" x14ac:dyDescent="0.35">
      <c r="A2389">
        <v>3382</v>
      </c>
      <c r="B2389" s="4" t="s">
        <v>98</v>
      </c>
      <c r="C2389" s="4" t="s">
        <v>885</v>
      </c>
      <c r="D2389" s="4" t="s">
        <v>29</v>
      </c>
      <c r="E2389">
        <v>1</v>
      </c>
      <c r="F2389" s="3">
        <v>2638.8353000000002</v>
      </c>
      <c r="G2389" s="2">
        <v>0.66500000000000004</v>
      </c>
      <c r="H2389" s="3">
        <v>0</v>
      </c>
      <c r="I2389" s="1">
        <v>45755</v>
      </c>
      <c r="J2389" s="4" t="s">
        <v>23</v>
      </c>
      <c r="K2389" s="4" t="s">
        <v>40</v>
      </c>
      <c r="L2389" s="3">
        <v>1711.89</v>
      </c>
      <c r="M2389" s="4" t="s">
        <v>1255</v>
      </c>
      <c r="N2389" s="3">
        <v>2638.8353000000002</v>
      </c>
    </row>
    <row r="2390" spans="1:14" x14ac:dyDescent="0.35">
      <c r="A2390">
        <v>3383</v>
      </c>
      <c r="B2390" s="4" t="s">
        <v>208</v>
      </c>
      <c r="C2390" s="4" t="s">
        <v>241</v>
      </c>
      <c r="D2390" s="4" t="s">
        <v>16</v>
      </c>
      <c r="E2390">
        <v>0</v>
      </c>
      <c r="F2390" s="3">
        <v>2638.8353000000002</v>
      </c>
      <c r="G2390" s="2">
        <v>0.64</v>
      </c>
      <c r="H2390" s="3">
        <v>0</v>
      </c>
      <c r="I2390" s="1">
        <v>45133</v>
      </c>
      <c r="J2390" s="4" t="s">
        <v>9</v>
      </c>
      <c r="K2390" s="4" t="s">
        <v>12</v>
      </c>
      <c r="L2390" s="3">
        <v>1101.95</v>
      </c>
      <c r="M2390" s="4" t="s">
        <v>1255</v>
      </c>
      <c r="N2390" s="3">
        <v>0</v>
      </c>
    </row>
    <row r="2391" spans="1:14" hidden="1" x14ac:dyDescent="0.35">
      <c r="A2391">
        <v>3384</v>
      </c>
      <c r="B2391" s="4" t="s">
        <v>544</v>
      </c>
      <c r="C2391" s="4" t="s">
        <v>838</v>
      </c>
      <c r="D2391" s="4" t="s">
        <v>25</v>
      </c>
      <c r="E2391">
        <v>1</v>
      </c>
      <c r="F2391" s="3">
        <v>2282.7600000000002</v>
      </c>
      <c r="G2391" s="2">
        <v>0.57999999999999996</v>
      </c>
      <c r="H2391" s="3">
        <v>958.76</v>
      </c>
      <c r="I2391" s="1">
        <v>45600</v>
      </c>
      <c r="J2391" s="4" t="s">
        <v>18</v>
      </c>
      <c r="K2391" s="4" t="s">
        <v>40</v>
      </c>
      <c r="L2391" s="3">
        <v>1133.68</v>
      </c>
      <c r="M2391" s="4" t="s">
        <v>1256</v>
      </c>
      <c r="N2391" s="3">
        <v>2282.7600000000002</v>
      </c>
    </row>
    <row r="2392" spans="1:14" x14ac:dyDescent="0.35">
      <c r="A2392">
        <v>3385</v>
      </c>
      <c r="B2392" s="4" t="s">
        <v>50</v>
      </c>
      <c r="C2392" s="4" t="s">
        <v>1229</v>
      </c>
      <c r="D2392" s="4" t="s">
        <v>31</v>
      </c>
      <c r="E2392">
        <v>0</v>
      </c>
      <c r="F2392" s="3">
        <v>2394.84</v>
      </c>
      <c r="G2392" s="2">
        <v>0.66749999999999998</v>
      </c>
      <c r="H2392" s="3">
        <v>0</v>
      </c>
      <c r="I2392" s="1">
        <v>45564</v>
      </c>
      <c r="J2392" s="4" t="s">
        <v>9</v>
      </c>
      <c r="K2392" s="4" t="s">
        <v>12</v>
      </c>
      <c r="L2392" s="3">
        <v>1007.9</v>
      </c>
      <c r="M2392" s="4" t="s">
        <v>1255</v>
      </c>
      <c r="N2392" s="3">
        <v>0</v>
      </c>
    </row>
    <row r="2393" spans="1:14" x14ac:dyDescent="0.35">
      <c r="A2393">
        <v>3386</v>
      </c>
      <c r="B2393" s="4" t="s">
        <v>299</v>
      </c>
      <c r="C2393" s="4" t="s">
        <v>1070</v>
      </c>
      <c r="D2393" s="4" t="s">
        <v>26</v>
      </c>
      <c r="E2393">
        <v>1</v>
      </c>
      <c r="F2393" s="3">
        <v>2644.9744999999998</v>
      </c>
      <c r="G2393" s="2">
        <v>1.18</v>
      </c>
      <c r="H2393" s="3">
        <v>0</v>
      </c>
      <c r="I2393" s="1">
        <v>45811</v>
      </c>
      <c r="J2393" s="4" t="s">
        <v>11</v>
      </c>
      <c r="K2393" s="4" t="s">
        <v>8</v>
      </c>
      <c r="L2393" s="3">
        <v>21.39</v>
      </c>
      <c r="M2393" s="4" t="s">
        <v>1255</v>
      </c>
      <c r="N2393" s="3">
        <v>2644.9744999999998</v>
      </c>
    </row>
    <row r="2394" spans="1:14" hidden="1" x14ac:dyDescent="0.35">
      <c r="A2394">
        <v>3387</v>
      </c>
      <c r="B2394" s="4" t="s">
        <v>1059</v>
      </c>
      <c r="C2394" s="4" t="s">
        <v>149</v>
      </c>
      <c r="D2394" s="4" t="s">
        <v>32</v>
      </c>
      <c r="E2394">
        <v>0</v>
      </c>
      <c r="F2394" s="3">
        <v>2649.3627999999999</v>
      </c>
      <c r="G2394" s="2">
        <v>0.65558139534883697</v>
      </c>
      <c r="H2394" s="3">
        <v>0</v>
      </c>
      <c r="I2394" s="1">
        <v>45848</v>
      </c>
      <c r="J2394" s="4" t="s">
        <v>18</v>
      </c>
      <c r="K2394" s="4" t="s">
        <v>40</v>
      </c>
      <c r="L2394" s="3">
        <v>-48.14</v>
      </c>
      <c r="M2394" s="4" t="s">
        <v>1255</v>
      </c>
      <c r="N2394" s="3">
        <v>0</v>
      </c>
    </row>
    <row r="2395" spans="1:14" hidden="1" x14ac:dyDescent="0.35">
      <c r="A2395">
        <v>3389</v>
      </c>
      <c r="B2395" s="4" t="s">
        <v>581</v>
      </c>
      <c r="C2395" s="4" t="s">
        <v>104</v>
      </c>
      <c r="D2395" s="4" t="s">
        <v>33</v>
      </c>
      <c r="E2395">
        <v>-1</v>
      </c>
      <c r="F2395" s="3">
        <v>2649.3627999999999</v>
      </c>
      <c r="G2395" s="2">
        <v>0.85</v>
      </c>
      <c r="H2395" s="3">
        <v>0</v>
      </c>
      <c r="I2395" s="1">
        <v>45828</v>
      </c>
      <c r="J2395" s="4" t="s">
        <v>9</v>
      </c>
      <c r="K2395" s="4" t="s">
        <v>40</v>
      </c>
      <c r="L2395" s="3">
        <v>146.53</v>
      </c>
      <c r="M2395" s="4" t="s">
        <v>1255</v>
      </c>
      <c r="N2395" s="3">
        <v>-2649.3627999999999</v>
      </c>
    </row>
    <row r="2396" spans="1:14" x14ac:dyDescent="0.35">
      <c r="A2396">
        <v>3390</v>
      </c>
      <c r="B2396" s="4" t="s">
        <v>477</v>
      </c>
      <c r="C2396" s="4" t="s">
        <v>1094</v>
      </c>
      <c r="D2396" s="4" t="s">
        <v>29</v>
      </c>
      <c r="E2396">
        <v>1</v>
      </c>
      <c r="F2396" s="3">
        <v>1280.52</v>
      </c>
      <c r="G2396" s="2">
        <v>0.94</v>
      </c>
      <c r="H2396" s="3">
        <v>76.83</v>
      </c>
      <c r="I2396" s="1">
        <v>45828</v>
      </c>
      <c r="J2396" s="4" t="s">
        <v>18</v>
      </c>
      <c r="K2396" s="4" t="s">
        <v>12</v>
      </c>
      <c r="L2396" s="3">
        <v>1626.42</v>
      </c>
      <c r="M2396" s="4" t="s">
        <v>1256</v>
      </c>
      <c r="N2396" s="3">
        <v>1280.52</v>
      </c>
    </row>
    <row r="2397" spans="1:14" hidden="1" x14ac:dyDescent="0.35">
      <c r="A2397">
        <v>3391</v>
      </c>
      <c r="B2397" s="4" t="s">
        <v>1186</v>
      </c>
      <c r="C2397" s="4" t="s">
        <v>831</v>
      </c>
      <c r="D2397" s="4" t="s">
        <v>27</v>
      </c>
      <c r="E2397">
        <v>3</v>
      </c>
      <c r="F2397" s="3">
        <v>1730.64</v>
      </c>
      <c r="G2397" s="2">
        <v>0.7</v>
      </c>
      <c r="H2397" s="3">
        <v>1557.58</v>
      </c>
      <c r="I2397" s="1">
        <v>45828</v>
      </c>
      <c r="J2397" s="4" t="s">
        <v>7</v>
      </c>
      <c r="K2397" s="4" t="s">
        <v>40</v>
      </c>
      <c r="L2397" s="3">
        <v>719.69</v>
      </c>
      <c r="M2397" s="4" t="s">
        <v>1256</v>
      </c>
      <c r="N2397" s="3">
        <v>5191.92</v>
      </c>
    </row>
    <row r="2398" spans="1:14" x14ac:dyDescent="0.35">
      <c r="A2398">
        <v>3392</v>
      </c>
      <c r="B2398" s="4" t="s">
        <v>60</v>
      </c>
      <c r="C2398" s="4" t="s">
        <v>562</v>
      </c>
      <c r="D2398" s="4" t="s">
        <v>10</v>
      </c>
      <c r="E2398">
        <v>0</v>
      </c>
      <c r="F2398" s="3">
        <v>2670.7318</v>
      </c>
      <c r="G2398" s="2">
        <v>0.38</v>
      </c>
      <c r="H2398" s="3">
        <v>0</v>
      </c>
      <c r="I2398" s="1">
        <v>45552</v>
      </c>
      <c r="J2398" s="4" t="s">
        <v>23</v>
      </c>
      <c r="K2398" s="4" t="s">
        <v>12</v>
      </c>
      <c r="L2398" s="3">
        <v>1036.57</v>
      </c>
      <c r="M2398" s="4" t="s">
        <v>1255</v>
      </c>
      <c r="N2398" s="3">
        <v>0</v>
      </c>
    </row>
    <row r="2399" spans="1:14" x14ac:dyDescent="0.35">
      <c r="A2399">
        <v>3393</v>
      </c>
      <c r="B2399" s="4" t="s">
        <v>193</v>
      </c>
      <c r="C2399" s="4" t="s">
        <v>710</v>
      </c>
      <c r="D2399" s="4" t="s">
        <v>19</v>
      </c>
      <c r="E2399">
        <v>5</v>
      </c>
      <c r="F2399" s="3">
        <v>2688.1408999999999</v>
      </c>
      <c r="G2399" s="2">
        <v>7.0000000000000007E-2</v>
      </c>
      <c r="H2399" s="3">
        <v>0</v>
      </c>
      <c r="I2399" s="1">
        <v>45552</v>
      </c>
      <c r="J2399" s="4" t="s">
        <v>11</v>
      </c>
      <c r="K2399" s="4" t="s">
        <v>8</v>
      </c>
      <c r="L2399" s="3">
        <v>560.09</v>
      </c>
      <c r="M2399" s="4" t="s">
        <v>1255</v>
      </c>
      <c r="N2399" s="3">
        <v>13440.7045</v>
      </c>
    </row>
    <row r="2400" spans="1:14" hidden="1" x14ac:dyDescent="0.35">
      <c r="A2400">
        <v>3394</v>
      </c>
      <c r="B2400" s="4" t="s">
        <v>468</v>
      </c>
      <c r="C2400" s="4" t="s">
        <v>44</v>
      </c>
      <c r="D2400" s="4" t="s">
        <v>16</v>
      </c>
      <c r="E2400">
        <v>0</v>
      </c>
      <c r="F2400" s="3">
        <v>1509.34</v>
      </c>
      <c r="G2400" s="2">
        <v>0.66447368421052599</v>
      </c>
      <c r="H2400" s="3">
        <v>0</v>
      </c>
      <c r="I2400" s="1">
        <v>45692</v>
      </c>
      <c r="J2400" s="4" t="s">
        <v>11</v>
      </c>
      <c r="K2400" s="4" t="s">
        <v>40</v>
      </c>
      <c r="L2400" s="3">
        <v>1037.8499999999999</v>
      </c>
      <c r="M2400" s="4" t="s">
        <v>1255</v>
      </c>
      <c r="N2400" s="3">
        <v>0</v>
      </c>
    </row>
    <row r="2401" spans="1:14" x14ac:dyDescent="0.35">
      <c r="A2401">
        <v>3395</v>
      </c>
      <c r="B2401" s="4" t="s">
        <v>224</v>
      </c>
      <c r="C2401" s="4" t="s">
        <v>1230</v>
      </c>
      <c r="D2401" s="4" t="s">
        <v>38</v>
      </c>
      <c r="E2401">
        <v>0</v>
      </c>
      <c r="F2401" s="3">
        <v>2688.1408999999999</v>
      </c>
      <c r="G2401" s="2">
        <v>0.66447368421052599</v>
      </c>
      <c r="H2401" s="3">
        <v>0</v>
      </c>
      <c r="I2401" s="1">
        <v>45597</v>
      </c>
      <c r="J2401" s="4" t="s">
        <v>20</v>
      </c>
      <c r="K2401" s="4" t="s">
        <v>12</v>
      </c>
      <c r="L2401" s="3">
        <v>-23.94</v>
      </c>
      <c r="M2401" s="4" t="s">
        <v>1255</v>
      </c>
      <c r="N2401" s="3">
        <v>0</v>
      </c>
    </row>
    <row r="2402" spans="1:14" hidden="1" x14ac:dyDescent="0.35">
      <c r="A2402">
        <v>3396</v>
      </c>
      <c r="B2402" s="4" t="s">
        <v>1231</v>
      </c>
      <c r="C2402" s="4" t="s">
        <v>1232</v>
      </c>
      <c r="D2402" s="4" t="s">
        <v>34</v>
      </c>
      <c r="E2402">
        <v>2</v>
      </c>
      <c r="F2402" s="3">
        <v>3760.09</v>
      </c>
      <c r="G2402" s="2">
        <v>0.66447368421052599</v>
      </c>
      <c r="H2402" s="3">
        <v>0</v>
      </c>
      <c r="I2402" s="1">
        <v>45638</v>
      </c>
      <c r="J2402" s="4" t="s">
        <v>23</v>
      </c>
      <c r="K2402" s="4" t="s">
        <v>40</v>
      </c>
      <c r="L2402" s="3">
        <v>-871.94</v>
      </c>
      <c r="M2402" s="4" t="s">
        <v>1255</v>
      </c>
      <c r="N2402" s="3">
        <v>7520.18</v>
      </c>
    </row>
    <row r="2403" spans="1:14" x14ac:dyDescent="0.35">
      <c r="A2403">
        <v>3397</v>
      </c>
      <c r="B2403" s="4" t="s">
        <v>152</v>
      </c>
      <c r="C2403" s="4" t="s">
        <v>639</v>
      </c>
      <c r="D2403" s="4" t="s">
        <v>21</v>
      </c>
      <c r="E2403">
        <v>0</v>
      </c>
      <c r="F2403" s="3">
        <v>2710.3825000000002</v>
      </c>
      <c r="G2403" s="2">
        <v>0.66447368421052599</v>
      </c>
      <c r="H2403" s="3">
        <v>0</v>
      </c>
      <c r="I2403" s="1">
        <v>45638</v>
      </c>
      <c r="J2403" s="4" t="s">
        <v>9</v>
      </c>
      <c r="K2403" s="4" t="s">
        <v>8</v>
      </c>
      <c r="L2403" s="3">
        <v>477.59</v>
      </c>
      <c r="M2403" s="4" t="s">
        <v>1255</v>
      </c>
      <c r="N2403" s="3">
        <v>0</v>
      </c>
    </row>
    <row r="2404" spans="1:14" x14ac:dyDescent="0.35">
      <c r="A2404">
        <v>3398</v>
      </c>
      <c r="B2404" s="4" t="s">
        <v>219</v>
      </c>
      <c r="C2404" s="4" t="s">
        <v>293</v>
      </c>
      <c r="D2404" s="4" t="s">
        <v>24</v>
      </c>
      <c r="E2404">
        <v>0</v>
      </c>
      <c r="F2404" s="3">
        <v>2784.25</v>
      </c>
      <c r="G2404" s="2">
        <v>0.66447368421052599</v>
      </c>
      <c r="H2404" s="3">
        <v>0</v>
      </c>
      <c r="I2404" s="1">
        <v>45638</v>
      </c>
      <c r="J2404" s="4" t="s">
        <v>23</v>
      </c>
      <c r="K2404" s="4" t="s">
        <v>12</v>
      </c>
      <c r="L2404" s="3">
        <v>-348.84</v>
      </c>
      <c r="M2404" s="4" t="s">
        <v>1255</v>
      </c>
      <c r="N2404" s="3">
        <v>0</v>
      </c>
    </row>
    <row r="2405" spans="1:14" x14ac:dyDescent="0.35">
      <c r="A2405">
        <v>3399</v>
      </c>
      <c r="B2405" s="4" t="s">
        <v>317</v>
      </c>
      <c r="C2405" s="4" t="s">
        <v>149</v>
      </c>
      <c r="D2405" s="4" t="s">
        <v>32</v>
      </c>
      <c r="E2405">
        <v>5</v>
      </c>
      <c r="F2405" s="3">
        <v>3111.73</v>
      </c>
      <c r="G2405" s="2">
        <v>0.66447368421052599</v>
      </c>
      <c r="H2405" s="3">
        <v>0</v>
      </c>
      <c r="I2405" s="1">
        <v>45484</v>
      </c>
      <c r="J2405" s="4" t="s">
        <v>18</v>
      </c>
      <c r="K2405" s="4" t="s">
        <v>8</v>
      </c>
      <c r="L2405" s="3">
        <v>800.89</v>
      </c>
      <c r="M2405" s="4" t="s">
        <v>1255</v>
      </c>
      <c r="N2405" s="3">
        <v>15558.65</v>
      </c>
    </row>
    <row r="2406" spans="1:14" x14ac:dyDescent="0.35">
      <c r="A2406">
        <v>3400</v>
      </c>
      <c r="B2406" s="4" t="s">
        <v>183</v>
      </c>
      <c r="C2406" s="4" t="s">
        <v>352</v>
      </c>
      <c r="D2406" s="4" t="s">
        <v>10</v>
      </c>
      <c r="E2406">
        <v>0</v>
      </c>
      <c r="F2406" s="3">
        <v>1249.6400000000001</v>
      </c>
      <c r="G2406" s="2">
        <v>0.66447368421052599</v>
      </c>
      <c r="H2406" s="3">
        <v>0</v>
      </c>
      <c r="I2406" s="1">
        <v>45830</v>
      </c>
      <c r="J2406" s="4" t="s">
        <v>20</v>
      </c>
      <c r="K2406" s="4" t="s">
        <v>8</v>
      </c>
      <c r="L2406" s="3">
        <v>-646.04</v>
      </c>
      <c r="M2406" s="4" t="s">
        <v>1255</v>
      </c>
      <c r="N2406" s="3">
        <v>0</v>
      </c>
    </row>
    <row r="2407" spans="1:14" x14ac:dyDescent="0.35">
      <c r="A2407">
        <v>3401</v>
      </c>
      <c r="B2407" s="4" t="s">
        <v>121</v>
      </c>
      <c r="C2407" s="4" t="s">
        <v>632</v>
      </c>
      <c r="D2407" s="4" t="s">
        <v>10</v>
      </c>
      <c r="E2407">
        <v>0</v>
      </c>
      <c r="F2407" s="3">
        <v>1960.15</v>
      </c>
      <c r="G2407" s="2">
        <v>0.66447368421052599</v>
      </c>
      <c r="H2407" s="3">
        <v>0</v>
      </c>
      <c r="I2407" s="1">
        <v>45570</v>
      </c>
      <c r="J2407" s="4" t="s">
        <v>23</v>
      </c>
      <c r="K2407" s="4" t="s">
        <v>12</v>
      </c>
      <c r="L2407" s="3">
        <v>1816.17</v>
      </c>
      <c r="M2407" s="4" t="s">
        <v>1255</v>
      </c>
      <c r="N2407" s="3">
        <v>0</v>
      </c>
    </row>
    <row r="2408" spans="1:14" x14ac:dyDescent="0.35">
      <c r="A2408">
        <v>3402</v>
      </c>
      <c r="B2408" s="4" t="s">
        <v>333</v>
      </c>
      <c r="C2408" s="4" t="s">
        <v>1233</v>
      </c>
      <c r="D2408" s="4" t="s">
        <v>24</v>
      </c>
      <c r="E2408">
        <v>0</v>
      </c>
      <c r="F2408" s="3">
        <v>2709.0727000000002</v>
      </c>
      <c r="G2408" s="2">
        <v>0.02</v>
      </c>
      <c r="H2408" s="3">
        <v>0</v>
      </c>
      <c r="I2408" s="1">
        <v>45657</v>
      </c>
      <c r="J2408" s="4" t="s">
        <v>11</v>
      </c>
      <c r="K2408" s="4" t="s">
        <v>8</v>
      </c>
      <c r="L2408" s="3">
        <v>619.20000000000005</v>
      </c>
      <c r="M2408" s="4" t="s">
        <v>1255</v>
      </c>
      <c r="N2408" s="3">
        <v>0</v>
      </c>
    </row>
    <row r="2409" spans="1:14" x14ac:dyDescent="0.35">
      <c r="A2409">
        <v>3403</v>
      </c>
      <c r="B2409" s="4" t="s">
        <v>67</v>
      </c>
      <c r="C2409" s="4" t="s">
        <v>1234</v>
      </c>
      <c r="D2409" s="4" t="s">
        <v>28</v>
      </c>
      <c r="E2409">
        <v>0</v>
      </c>
      <c r="F2409" s="3">
        <v>2609.06</v>
      </c>
      <c r="G2409" s="2">
        <v>0.65</v>
      </c>
      <c r="H2409" s="3">
        <v>0</v>
      </c>
      <c r="I2409" s="1">
        <v>45775</v>
      </c>
      <c r="J2409" s="4" t="s">
        <v>23</v>
      </c>
      <c r="K2409" s="4" t="s">
        <v>8</v>
      </c>
      <c r="L2409" s="3">
        <v>2036.75</v>
      </c>
      <c r="M2409" s="4" t="s">
        <v>1255</v>
      </c>
      <c r="N2409" s="3">
        <v>0</v>
      </c>
    </row>
    <row r="2410" spans="1:14" x14ac:dyDescent="0.35">
      <c r="A2410">
        <v>3404</v>
      </c>
      <c r="B2410" s="4" t="s">
        <v>132</v>
      </c>
      <c r="C2410" s="4" t="s">
        <v>1159</v>
      </c>
      <c r="D2410" s="4" t="s">
        <v>35</v>
      </c>
      <c r="E2410">
        <v>5</v>
      </c>
      <c r="F2410" s="3">
        <v>2724.6752000000001</v>
      </c>
      <c r="G2410" s="2">
        <v>0.81</v>
      </c>
      <c r="H2410" s="3">
        <v>0</v>
      </c>
      <c r="I2410" s="1">
        <v>45782</v>
      </c>
      <c r="J2410" s="4" t="s">
        <v>20</v>
      </c>
      <c r="K2410" s="4" t="s">
        <v>12</v>
      </c>
      <c r="L2410" s="3">
        <v>1283.58</v>
      </c>
      <c r="M2410" s="4" t="s">
        <v>1255</v>
      </c>
      <c r="N2410" s="3">
        <v>13623.376</v>
      </c>
    </row>
    <row r="2411" spans="1:14" x14ac:dyDescent="0.35">
      <c r="A2411">
        <v>3405</v>
      </c>
      <c r="B2411" s="4" t="s">
        <v>1235</v>
      </c>
      <c r="C2411" s="4" t="s">
        <v>1236</v>
      </c>
      <c r="D2411" s="4" t="s">
        <v>28</v>
      </c>
      <c r="E2411">
        <v>0</v>
      </c>
      <c r="F2411" s="3">
        <v>2310.4699999999998</v>
      </c>
      <c r="G2411" s="2">
        <v>0.67914285714285705</v>
      </c>
      <c r="H2411" s="3">
        <v>0</v>
      </c>
      <c r="I2411" s="1">
        <v>45782</v>
      </c>
      <c r="J2411" s="4" t="s">
        <v>11</v>
      </c>
      <c r="K2411" s="4" t="s">
        <v>8</v>
      </c>
      <c r="L2411" s="3">
        <v>393.88</v>
      </c>
      <c r="M2411" s="4" t="s">
        <v>1255</v>
      </c>
      <c r="N2411" s="3">
        <v>0</v>
      </c>
    </row>
    <row r="2412" spans="1:14" hidden="1" x14ac:dyDescent="0.35">
      <c r="A2412">
        <v>3406</v>
      </c>
      <c r="B2412" s="4" t="s">
        <v>282</v>
      </c>
      <c r="C2412" s="4" t="s">
        <v>1237</v>
      </c>
      <c r="D2412" s="4" t="s">
        <v>24</v>
      </c>
      <c r="E2412">
        <v>0</v>
      </c>
      <c r="F2412" s="3">
        <v>2727.1351</v>
      </c>
      <c r="G2412" s="2">
        <v>0.67914285714285705</v>
      </c>
      <c r="H2412" s="3">
        <v>0</v>
      </c>
      <c r="I2412" s="1">
        <v>45384</v>
      </c>
      <c r="J2412" s="4" t="s">
        <v>11</v>
      </c>
      <c r="K2412" s="4" t="s">
        <v>40</v>
      </c>
      <c r="L2412" s="3">
        <v>-513.37</v>
      </c>
      <c r="M2412" s="4" t="s">
        <v>1255</v>
      </c>
      <c r="N2412" s="3">
        <v>0</v>
      </c>
    </row>
    <row r="2413" spans="1:14" x14ac:dyDescent="0.35">
      <c r="A2413">
        <v>3407</v>
      </c>
      <c r="B2413" s="4" t="s">
        <v>330</v>
      </c>
      <c r="C2413" s="4" t="s">
        <v>449</v>
      </c>
      <c r="D2413" s="4" t="s">
        <v>32</v>
      </c>
      <c r="E2413">
        <v>1</v>
      </c>
      <c r="F2413" s="3">
        <v>2736.1930000000002</v>
      </c>
      <c r="G2413" s="2">
        <v>0.67</v>
      </c>
      <c r="H2413" s="3">
        <v>0</v>
      </c>
      <c r="I2413" s="1">
        <v>45166</v>
      </c>
      <c r="J2413" s="4" t="s">
        <v>9</v>
      </c>
      <c r="K2413" s="4" t="s">
        <v>8</v>
      </c>
      <c r="L2413" s="3">
        <v>-540.69000000000005</v>
      </c>
      <c r="M2413" s="4" t="s">
        <v>1255</v>
      </c>
      <c r="N2413" s="3">
        <v>2736.1930000000002</v>
      </c>
    </row>
    <row r="2414" spans="1:14" x14ac:dyDescent="0.35">
      <c r="A2414">
        <v>3408</v>
      </c>
      <c r="B2414" s="4" t="s">
        <v>83</v>
      </c>
      <c r="C2414" s="4" t="s">
        <v>671</v>
      </c>
      <c r="D2414" s="4" t="s">
        <v>33</v>
      </c>
      <c r="E2414">
        <v>0</v>
      </c>
      <c r="F2414" s="3">
        <v>4003.66</v>
      </c>
      <c r="G2414" s="2">
        <v>0.67941176470588205</v>
      </c>
      <c r="H2414" s="3">
        <v>0</v>
      </c>
      <c r="I2414" s="1">
        <v>45570</v>
      </c>
      <c r="J2414" s="4" t="s">
        <v>23</v>
      </c>
      <c r="K2414" s="4" t="s">
        <v>12</v>
      </c>
      <c r="L2414" s="3">
        <v>1340.94</v>
      </c>
      <c r="M2414" s="4" t="s">
        <v>1255</v>
      </c>
      <c r="N2414" s="3">
        <v>0</v>
      </c>
    </row>
    <row r="2415" spans="1:14" hidden="1" x14ac:dyDescent="0.35">
      <c r="A2415">
        <v>3409</v>
      </c>
      <c r="B2415" s="4" t="s">
        <v>164</v>
      </c>
      <c r="C2415" s="4" t="s">
        <v>184</v>
      </c>
      <c r="D2415" s="4" t="s">
        <v>30</v>
      </c>
      <c r="E2415">
        <v>-1</v>
      </c>
      <c r="F2415" s="3">
        <v>2123.17</v>
      </c>
      <c r="G2415" s="2">
        <v>0.67941176470588205</v>
      </c>
      <c r="H2415" s="3">
        <v>0</v>
      </c>
      <c r="I2415" s="1">
        <v>45570</v>
      </c>
      <c r="J2415" s="4" t="s">
        <v>7</v>
      </c>
      <c r="K2415" s="4" t="s">
        <v>40</v>
      </c>
      <c r="L2415" s="3">
        <v>-717.75</v>
      </c>
      <c r="M2415" s="4" t="s">
        <v>1255</v>
      </c>
      <c r="N2415" s="3">
        <v>-2123.17</v>
      </c>
    </row>
    <row r="2416" spans="1:14" hidden="1" x14ac:dyDescent="0.35">
      <c r="A2416">
        <v>3410</v>
      </c>
      <c r="B2416" s="4" t="s">
        <v>1227</v>
      </c>
      <c r="C2416" s="4" t="s">
        <v>591</v>
      </c>
      <c r="D2416" s="4" t="s">
        <v>25</v>
      </c>
      <c r="E2416">
        <v>0</v>
      </c>
      <c r="F2416" s="3">
        <v>4732.42</v>
      </c>
      <c r="G2416" s="2">
        <v>0.67941176470588205</v>
      </c>
      <c r="H2416" s="3">
        <v>0</v>
      </c>
      <c r="I2416" s="1">
        <v>45844</v>
      </c>
      <c r="J2416" s="4" t="s">
        <v>9</v>
      </c>
      <c r="K2416" s="4" t="s">
        <v>40</v>
      </c>
      <c r="L2416" s="3">
        <v>916.47</v>
      </c>
      <c r="M2416" s="4" t="s">
        <v>1255</v>
      </c>
      <c r="N2416" s="3">
        <v>0</v>
      </c>
    </row>
    <row r="2417" spans="1:14" x14ac:dyDescent="0.35">
      <c r="A2417">
        <v>3411</v>
      </c>
      <c r="B2417" s="4" t="s">
        <v>224</v>
      </c>
      <c r="C2417" s="4" t="s">
        <v>205</v>
      </c>
      <c r="D2417" s="4" t="s">
        <v>29</v>
      </c>
      <c r="E2417">
        <v>0</v>
      </c>
      <c r="F2417" s="3">
        <v>2721.3193000000001</v>
      </c>
      <c r="G2417" s="2">
        <v>0.57999999999999996</v>
      </c>
      <c r="H2417" s="3">
        <v>0</v>
      </c>
      <c r="I2417" s="1">
        <v>45651</v>
      </c>
      <c r="J2417" s="4" t="s">
        <v>23</v>
      </c>
      <c r="K2417" s="4" t="s">
        <v>12</v>
      </c>
      <c r="L2417" s="3">
        <v>1693.4</v>
      </c>
      <c r="M2417" s="4" t="s">
        <v>1255</v>
      </c>
      <c r="N2417" s="3">
        <v>0</v>
      </c>
    </row>
    <row r="2418" spans="1:14" hidden="1" x14ac:dyDescent="0.35">
      <c r="A2418">
        <v>3412</v>
      </c>
      <c r="B2418" s="4" t="s">
        <v>319</v>
      </c>
      <c r="C2418" s="4" t="s">
        <v>1029</v>
      </c>
      <c r="D2418" s="4" t="s">
        <v>32</v>
      </c>
      <c r="E2418">
        <v>0</v>
      </c>
      <c r="F2418" s="3">
        <v>2674.5495000000001</v>
      </c>
      <c r="G2418" s="2">
        <v>0.68242424242424204</v>
      </c>
      <c r="H2418" s="3">
        <v>0</v>
      </c>
      <c r="I2418" s="1">
        <v>45592</v>
      </c>
      <c r="J2418" s="4" t="s">
        <v>9</v>
      </c>
      <c r="K2418" s="4" t="s">
        <v>40</v>
      </c>
      <c r="L2418" s="3">
        <v>2625.33</v>
      </c>
      <c r="M2418" s="4" t="s">
        <v>1255</v>
      </c>
      <c r="N2418" s="3">
        <v>0</v>
      </c>
    </row>
    <row r="2419" spans="1:14" x14ac:dyDescent="0.35">
      <c r="A2419">
        <v>3413</v>
      </c>
      <c r="B2419" s="4" t="s">
        <v>758</v>
      </c>
      <c r="C2419" s="4" t="s">
        <v>489</v>
      </c>
      <c r="D2419" s="4" t="s">
        <v>24</v>
      </c>
      <c r="E2419">
        <v>0</v>
      </c>
      <c r="F2419" s="3">
        <v>2674.5495000000001</v>
      </c>
      <c r="G2419" s="2">
        <v>0.68242424242424204</v>
      </c>
      <c r="H2419" s="3">
        <v>0</v>
      </c>
      <c r="I2419" s="1">
        <v>45592</v>
      </c>
      <c r="J2419" s="4" t="s">
        <v>18</v>
      </c>
      <c r="K2419" s="4" t="s">
        <v>8</v>
      </c>
      <c r="L2419" s="3">
        <v>2402.84</v>
      </c>
      <c r="M2419" s="4" t="s">
        <v>1255</v>
      </c>
      <c r="N2419" s="3">
        <v>0</v>
      </c>
    </row>
    <row r="2420" spans="1:14" x14ac:dyDescent="0.35">
      <c r="A2420">
        <v>3414</v>
      </c>
      <c r="B2420" s="4" t="s">
        <v>152</v>
      </c>
      <c r="C2420" s="4" t="s">
        <v>450</v>
      </c>
      <c r="D2420" s="4" t="s">
        <v>29</v>
      </c>
      <c r="E2420">
        <v>1</v>
      </c>
      <c r="F2420" s="3">
        <v>2674.5495000000001</v>
      </c>
      <c r="G2420" s="2">
        <v>0.68242424242424204</v>
      </c>
      <c r="H2420" s="3">
        <v>0</v>
      </c>
      <c r="I2420" s="1">
        <v>45652</v>
      </c>
      <c r="J2420" s="4" t="s">
        <v>9</v>
      </c>
      <c r="K2420" s="4" t="s">
        <v>12</v>
      </c>
      <c r="L2420" s="3">
        <v>2783.42</v>
      </c>
      <c r="M2420" s="4" t="s">
        <v>1255</v>
      </c>
      <c r="N2420" s="3">
        <v>2674.5495000000001</v>
      </c>
    </row>
    <row r="2421" spans="1:14" hidden="1" x14ac:dyDescent="0.35">
      <c r="A2421">
        <v>3415</v>
      </c>
      <c r="B2421" s="4" t="s">
        <v>886</v>
      </c>
      <c r="C2421" s="4" t="s">
        <v>741</v>
      </c>
      <c r="D2421" s="4" t="s">
        <v>37</v>
      </c>
      <c r="E2421">
        <v>4</v>
      </c>
      <c r="F2421" s="3">
        <v>3185.58</v>
      </c>
      <c r="G2421" s="2">
        <v>1.1499999999999999</v>
      </c>
      <c r="H2421" s="3">
        <v>-1911.35</v>
      </c>
      <c r="I2421" s="1">
        <v>45453</v>
      </c>
      <c r="J2421" s="4" t="s">
        <v>7</v>
      </c>
      <c r="K2421" s="4" t="s">
        <v>40</v>
      </c>
      <c r="L2421" s="3">
        <v>-767.38</v>
      </c>
      <c r="M2421" s="4" t="s">
        <v>1255</v>
      </c>
      <c r="N2421" s="3">
        <v>12742.32</v>
      </c>
    </row>
    <row r="2422" spans="1:14" x14ac:dyDescent="0.35">
      <c r="A2422">
        <v>3416</v>
      </c>
      <c r="B2422" s="4" t="s">
        <v>264</v>
      </c>
      <c r="C2422" s="4" t="s">
        <v>205</v>
      </c>
      <c r="D2422" s="4" t="s">
        <v>10</v>
      </c>
      <c r="E2422">
        <v>-1</v>
      </c>
      <c r="F2422" s="3">
        <v>2674.5495000000001</v>
      </c>
      <c r="G2422" s="2">
        <v>0.66781250000000003</v>
      </c>
      <c r="H2422" s="3">
        <v>0</v>
      </c>
      <c r="I2422" s="1">
        <v>45516</v>
      </c>
      <c r="J2422" s="4" t="s">
        <v>18</v>
      </c>
      <c r="K2422" s="4" t="s">
        <v>12</v>
      </c>
      <c r="L2422" s="3">
        <v>2344.15</v>
      </c>
      <c r="M2422" s="4" t="s">
        <v>1255</v>
      </c>
      <c r="N2422" s="3">
        <v>-2674.5495000000001</v>
      </c>
    </row>
    <row r="2423" spans="1:14" x14ac:dyDescent="0.35">
      <c r="A2423">
        <v>3417</v>
      </c>
      <c r="B2423" s="4" t="s">
        <v>319</v>
      </c>
      <c r="C2423" s="4" t="s">
        <v>217</v>
      </c>
      <c r="D2423" s="4" t="s">
        <v>21</v>
      </c>
      <c r="E2423">
        <v>0</v>
      </c>
      <c r="F2423" s="3">
        <v>2662.3820999999998</v>
      </c>
      <c r="G2423" s="2">
        <v>0.66781250000000003</v>
      </c>
      <c r="H2423" s="3">
        <v>0</v>
      </c>
      <c r="I2423" s="1">
        <v>45686</v>
      </c>
      <c r="J2423" s="4" t="s">
        <v>7</v>
      </c>
      <c r="K2423" s="4" t="s">
        <v>8</v>
      </c>
      <c r="L2423" s="3">
        <v>-938.64</v>
      </c>
      <c r="M2423" s="4" t="s">
        <v>1255</v>
      </c>
      <c r="N2423" s="3">
        <v>0</v>
      </c>
    </row>
    <row r="2424" spans="1:14" hidden="1" x14ac:dyDescent="0.35">
      <c r="A2424">
        <v>3418</v>
      </c>
      <c r="B2424" s="4" t="s">
        <v>85</v>
      </c>
      <c r="C2424" s="4" t="s">
        <v>1238</v>
      </c>
      <c r="D2424" s="4" t="s">
        <v>6</v>
      </c>
      <c r="E2424">
        <v>6</v>
      </c>
      <c r="F2424" s="3">
        <v>2662.3820999999998</v>
      </c>
      <c r="G2424" s="2">
        <v>0.56000000000000005</v>
      </c>
      <c r="H2424" s="3">
        <v>0</v>
      </c>
      <c r="I2424" s="1">
        <v>45686</v>
      </c>
      <c r="J2424" s="4" t="s">
        <v>9</v>
      </c>
      <c r="K2424" s="4" t="s">
        <v>40</v>
      </c>
      <c r="L2424" s="3">
        <v>-796.3</v>
      </c>
      <c r="M2424" s="4" t="s">
        <v>1255</v>
      </c>
      <c r="N2424" s="3">
        <v>15974.292600000001</v>
      </c>
    </row>
    <row r="2425" spans="1:14" x14ac:dyDescent="0.35">
      <c r="A2425">
        <v>3419</v>
      </c>
      <c r="B2425" s="4" t="s">
        <v>145</v>
      </c>
      <c r="C2425" s="4" t="s">
        <v>242</v>
      </c>
      <c r="D2425" s="4" t="s">
        <v>15</v>
      </c>
      <c r="E2425">
        <v>0</v>
      </c>
      <c r="F2425" s="3">
        <v>2662.3820999999998</v>
      </c>
      <c r="G2425" s="2">
        <v>0.67129032258064503</v>
      </c>
      <c r="H2425" s="3">
        <v>0</v>
      </c>
      <c r="I2425" s="1">
        <v>45686</v>
      </c>
      <c r="J2425" s="4" t="s">
        <v>9</v>
      </c>
      <c r="K2425" s="4" t="s">
        <v>12</v>
      </c>
      <c r="L2425" s="3">
        <v>804.16</v>
      </c>
      <c r="M2425" s="4" t="s">
        <v>1255</v>
      </c>
      <c r="N2425" s="3">
        <v>0</v>
      </c>
    </row>
    <row r="2426" spans="1:14" x14ac:dyDescent="0.35">
      <c r="A2426">
        <v>3421</v>
      </c>
      <c r="B2426" s="4" t="s">
        <v>164</v>
      </c>
      <c r="C2426" s="4" t="s">
        <v>329</v>
      </c>
      <c r="D2426" s="4" t="s">
        <v>13</v>
      </c>
      <c r="E2426">
        <v>0</v>
      </c>
      <c r="F2426" s="3">
        <v>2933.45</v>
      </c>
      <c r="G2426" s="2">
        <v>0.67129032258064503</v>
      </c>
      <c r="H2426" s="3">
        <v>0</v>
      </c>
      <c r="I2426" s="1">
        <v>45785</v>
      </c>
      <c r="J2426" s="4" t="s">
        <v>18</v>
      </c>
      <c r="K2426" s="4" t="s">
        <v>8</v>
      </c>
      <c r="L2426" s="3">
        <v>2339.14</v>
      </c>
      <c r="M2426" s="4" t="s">
        <v>1255</v>
      </c>
      <c r="N2426" s="3">
        <v>0</v>
      </c>
    </row>
    <row r="2427" spans="1:14" hidden="1" x14ac:dyDescent="0.35">
      <c r="A2427">
        <v>3422</v>
      </c>
      <c r="B2427" s="4" t="s">
        <v>563</v>
      </c>
      <c r="C2427" s="4" t="s">
        <v>643</v>
      </c>
      <c r="D2427" s="4" t="s">
        <v>35</v>
      </c>
      <c r="E2427">
        <v>6</v>
      </c>
      <c r="F2427" s="3">
        <v>2662.3820999999998</v>
      </c>
      <c r="G2427" s="2">
        <v>0.67129032258064503</v>
      </c>
      <c r="H2427" s="3">
        <v>0</v>
      </c>
      <c r="I2427" s="1">
        <v>45516</v>
      </c>
      <c r="J2427" s="4" t="s">
        <v>20</v>
      </c>
      <c r="K2427" s="4" t="s">
        <v>40</v>
      </c>
      <c r="L2427" s="3">
        <v>20.64</v>
      </c>
      <c r="M2427" s="4" t="s">
        <v>1255</v>
      </c>
      <c r="N2427" s="3">
        <v>15974.292600000001</v>
      </c>
    </row>
    <row r="2428" spans="1:14" x14ac:dyDescent="0.35">
      <c r="A2428">
        <v>3423</v>
      </c>
      <c r="B2428" s="4" t="s">
        <v>85</v>
      </c>
      <c r="C2428" s="4" t="s">
        <v>1016</v>
      </c>
      <c r="D2428" s="4" t="s">
        <v>29</v>
      </c>
      <c r="E2428">
        <v>-2</v>
      </c>
      <c r="F2428" s="3">
        <v>2655.7707</v>
      </c>
      <c r="G2428" s="2">
        <v>0.67129032258064503</v>
      </c>
      <c r="H2428" s="3">
        <v>0</v>
      </c>
      <c r="I2428" s="1">
        <v>45519</v>
      </c>
      <c r="J2428" s="4" t="s">
        <v>9</v>
      </c>
      <c r="K2428" s="4" t="s">
        <v>8</v>
      </c>
      <c r="L2428" s="3">
        <v>960.12</v>
      </c>
      <c r="M2428" s="4" t="s">
        <v>1255</v>
      </c>
      <c r="N2428" s="3">
        <v>-5311.5414000000001</v>
      </c>
    </row>
    <row r="2429" spans="1:14" x14ac:dyDescent="0.35">
      <c r="A2429">
        <v>3424</v>
      </c>
      <c r="B2429" s="4" t="s">
        <v>116</v>
      </c>
      <c r="C2429" s="4" t="s">
        <v>1022</v>
      </c>
      <c r="D2429" s="4" t="s">
        <v>33</v>
      </c>
      <c r="E2429">
        <v>5</v>
      </c>
      <c r="F2429" s="3">
        <v>4754.22</v>
      </c>
      <c r="G2429" s="2">
        <v>0.82</v>
      </c>
      <c r="H2429" s="3">
        <v>4278.8</v>
      </c>
      <c r="I2429" s="1">
        <v>45794</v>
      </c>
      <c r="J2429" s="4" t="s">
        <v>23</v>
      </c>
      <c r="K2429" s="4" t="s">
        <v>12</v>
      </c>
      <c r="L2429" s="3">
        <v>2415.19</v>
      </c>
      <c r="M2429" s="4" t="s">
        <v>1256</v>
      </c>
      <c r="N2429" s="3">
        <v>23771.1</v>
      </c>
    </row>
    <row r="2430" spans="1:14" hidden="1" x14ac:dyDescent="0.35">
      <c r="A2430">
        <v>3425</v>
      </c>
      <c r="B2430" s="4" t="s">
        <v>109</v>
      </c>
      <c r="C2430" s="4" t="s">
        <v>221</v>
      </c>
      <c r="D2430" s="4" t="s">
        <v>30</v>
      </c>
      <c r="E2430">
        <v>-2</v>
      </c>
      <c r="F2430" s="3">
        <v>2942.33</v>
      </c>
      <c r="G2430" s="2">
        <v>0.16</v>
      </c>
      <c r="H2430" s="3">
        <v>-4943.1099999999997</v>
      </c>
      <c r="I2430" s="1">
        <v>45341</v>
      </c>
      <c r="J2430" s="4" t="s">
        <v>20</v>
      </c>
      <c r="K2430" s="4" t="s">
        <v>40</v>
      </c>
      <c r="L2430" s="3">
        <v>977.57</v>
      </c>
      <c r="M2430" s="4" t="s">
        <v>1255</v>
      </c>
      <c r="N2430" s="3">
        <v>-5884.66</v>
      </c>
    </row>
    <row r="2431" spans="1:14" hidden="1" x14ac:dyDescent="0.35">
      <c r="A2431">
        <v>3426</v>
      </c>
      <c r="B2431" s="4" t="s">
        <v>121</v>
      </c>
      <c r="C2431" s="4" t="s">
        <v>329</v>
      </c>
      <c r="D2431" s="4" t="s">
        <v>30</v>
      </c>
      <c r="E2431">
        <v>0</v>
      </c>
      <c r="F2431" s="3">
        <v>3441.89</v>
      </c>
      <c r="G2431" s="2">
        <v>0.68379310344827604</v>
      </c>
      <c r="H2431" s="3">
        <v>0</v>
      </c>
      <c r="I2431" s="1">
        <v>45603</v>
      </c>
      <c r="J2431" s="4" t="s">
        <v>9</v>
      </c>
      <c r="K2431" s="4" t="s">
        <v>40</v>
      </c>
      <c r="L2431" s="3">
        <v>-872.49</v>
      </c>
      <c r="M2431" s="4" t="s">
        <v>1255</v>
      </c>
      <c r="N2431" s="3">
        <v>0</v>
      </c>
    </row>
    <row r="2432" spans="1:14" x14ac:dyDescent="0.35">
      <c r="A2432">
        <v>3427</v>
      </c>
      <c r="B2432" s="4" t="s">
        <v>179</v>
      </c>
      <c r="C2432" s="4" t="s">
        <v>420</v>
      </c>
      <c r="D2432" s="4" t="s">
        <v>14</v>
      </c>
      <c r="E2432">
        <v>0</v>
      </c>
      <c r="F2432" s="3">
        <v>2594.6167</v>
      </c>
      <c r="G2432" s="2">
        <v>0.51</v>
      </c>
      <c r="H2432" s="3">
        <v>0</v>
      </c>
      <c r="I2432" s="1">
        <v>45512</v>
      </c>
      <c r="J2432" s="4" t="s">
        <v>7</v>
      </c>
      <c r="K2432" s="4" t="s">
        <v>12</v>
      </c>
      <c r="L2432" s="3">
        <v>-63</v>
      </c>
      <c r="M2432" s="4" t="s">
        <v>1255</v>
      </c>
      <c r="N2432" s="3">
        <v>0</v>
      </c>
    </row>
    <row r="2433" spans="1:14" hidden="1" x14ac:dyDescent="0.35">
      <c r="A2433">
        <v>3428</v>
      </c>
      <c r="B2433" s="4" t="s">
        <v>848</v>
      </c>
      <c r="C2433" s="4" t="s">
        <v>158</v>
      </c>
      <c r="D2433" s="4" t="s">
        <v>10</v>
      </c>
      <c r="E2433">
        <v>3</v>
      </c>
      <c r="F2433" s="3">
        <v>2572.3200000000002</v>
      </c>
      <c r="G2433" s="2">
        <v>0.69</v>
      </c>
      <c r="H2433" s="3">
        <v>0</v>
      </c>
      <c r="I2433" s="1">
        <v>45729</v>
      </c>
      <c r="J2433" s="4" t="s">
        <v>11</v>
      </c>
      <c r="K2433" s="4" t="s">
        <v>40</v>
      </c>
      <c r="L2433" s="3">
        <v>670.29</v>
      </c>
      <c r="M2433" s="4" t="s">
        <v>1255</v>
      </c>
      <c r="N2433" s="3">
        <v>7716.96</v>
      </c>
    </row>
    <row r="2434" spans="1:14" hidden="1" x14ac:dyDescent="0.35">
      <c r="A2434">
        <v>3429</v>
      </c>
      <c r="B2434" s="4" t="s">
        <v>1239</v>
      </c>
      <c r="C2434" s="4" t="s">
        <v>1029</v>
      </c>
      <c r="D2434" s="4" t="s">
        <v>25</v>
      </c>
      <c r="E2434">
        <v>0</v>
      </c>
      <c r="F2434" s="3">
        <v>2572.3200000000002</v>
      </c>
      <c r="G2434" s="2">
        <v>0.69</v>
      </c>
      <c r="H2434" s="3">
        <v>0</v>
      </c>
      <c r="I2434" s="1">
        <v>45703</v>
      </c>
      <c r="J2434" s="4" t="s">
        <v>7</v>
      </c>
      <c r="K2434" s="4" t="s">
        <v>40</v>
      </c>
      <c r="L2434" s="3">
        <v>859.23</v>
      </c>
      <c r="M2434" s="4" t="s">
        <v>1255</v>
      </c>
      <c r="N2434" s="3">
        <v>0</v>
      </c>
    </row>
    <row r="2435" spans="1:14" x14ac:dyDescent="0.35">
      <c r="A2435">
        <v>3430</v>
      </c>
      <c r="B2435" s="4" t="s">
        <v>202</v>
      </c>
      <c r="C2435" s="4" t="s">
        <v>1240</v>
      </c>
      <c r="D2435" s="4" t="s">
        <v>33</v>
      </c>
      <c r="E2435">
        <v>0</v>
      </c>
      <c r="F2435" s="3">
        <v>2244.0700000000002</v>
      </c>
      <c r="G2435" s="2">
        <v>0.69</v>
      </c>
      <c r="H2435" s="3">
        <v>0</v>
      </c>
      <c r="I2435" s="1">
        <v>45703</v>
      </c>
      <c r="J2435" s="4" t="s">
        <v>18</v>
      </c>
      <c r="K2435" s="4" t="s">
        <v>8</v>
      </c>
      <c r="L2435" s="3">
        <v>195.31</v>
      </c>
      <c r="M2435" s="4" t="s">
        <v>1255</v>
      </c>
      <c r="N2435" s="3">
        <v>0</v>
      </c>
    </row>
    <row r="2436" spans="1:14" x14ac:dyDescent="0.35">
      <c r="A2436">
        <v>3431</v>
      </c>
      <c r="B2436" s="4" t="s">
        <v>117</v>
      </c>
      <c r="C2436" s="4" t="s">
        <v>82</v>
      </c>
      <c r="D2436" s="4" t="s">
        <v>24</v>
      </c>
      <c r="E2436">
        <v>0</v>
      </c>
      <c r="F2436" s="3">
        <v>2572.3200000000002</v>
      </c>
      <c r="G2436" s="2">
        <v>0.25</v>
      </c>
      <c r="H2436" s="3">
        <v>0</v>
      </c>
      <c r="I2436" s="1">
        <v>45613</v>
      </c>
      <c r="J2436" s="4" t="s">
        <v>7</v>
      </c>
      <c r="K2436" s="4" t="s">
        <v>8</v>
      </c>
      <c r="L2436" s="3">
        <v>669.94</v>
      </c>
      <c r="M2436" s="4" t="s">
        <v>1255</v>
      </c>
      <c r="N2436" s="3">
        <v>0</v>
      </c>
    </row>
    <row r="2437" spans="1:14" hidden="1" x14ac:dyDescent="0.35">
      <c r="A2437">
        <v>3432</v>
      </c>
      <c r="B2437" s="4" t="s">
        <v>122</v>
      </c>
      <c r="C2437" s="4" t="s">
        <v>1241</v>
      </c>
      <c r="D2437" s="4" t="s">
        <v>31</v>
      </c>
      <c r="E2437">
        <v>-2</v>
      </c>
      <c r="F2437" s="3">
        <v>2581.1916000000001</v>
      </c>
      <c r="G2437" s="2">
        <v>0.70629629629629598</v>
      </c>
      <c r="H2437" s="3">
        <v>0</v>
      </c>
      <c r="I2437" s="1">
        <v>45657</v>
      </c>
      <c r="J2437" s="4" t="s">
        <v>18</v>
      </c>
      <c r="K2437" s="4" t="s">
        <v>40</v>
      </c>
      <c r="L2437" s="3">
        <v>980.18</v>
      </c>
      <c r="M2437" s="4" t="s">
        <v>1255</v>
      </c>
      <c r="N2437" s="3">
        <v>-5162.3832000000002</v>
      </c>
    </row>
    <row r="2438" spans="1:14" hidden="1" x14ac:dyDescent="0.35">
      <c r="A2438">
        <v>3433</v>
      </c>
      <c r="B2438" s="4" t="s">
        <v>256</v>
      </c>
      <c r="C2438" s="4" t="s">
        <v>253</v>
      </c>
      <c r="D2438" s="4" t="s">
        <v>15</v>
      </c>
      <c r="E2438">
        <v>0</v>
      </c>
      <c r="F2438" s="3">
        <v>4971.5600000000004</v>
      </c>
      <c r="G2438" s="2">
        <v>0.87</v>
      </c>
      <c r="H2438" s="3">
        <v>0</v>
      </c>
      <c r="I2438" s="1">
        <v>45679</v>
      </c>
      <c r="J2438" s="4" t="s">
        <v>18</v>
      </c>
      <c r="K2438" s="4" t="s">
        <v>40</v>
      </c>
      <c r="L2438" s="3">
        <v>1202.3399999999999</v>
      </c>
      <c r="M2438" s="4" t="s">
        <v>1255</v>
      </c>
      <c r="N2438" s="3">
        <v>0</v>
      </c>
    </row>
    <row r="2439" spans="1:14" x14ac:dyDescent="0.35">
      <c r="A2439">
        <v>3434</v>
      </c>
      <c r="B2439" s="4" t="s">
        <v>379</v>
      </c>
      <c r="C2439" s="4" t="s">
        <v>1242</v>
      </c>
      <c r="D2439" s="4" t="s">
        <v>13</v>
      </c>
      <c r="E2439">
        <v>-1</v>
      </c>
      <c r="F2439" s="3">
        <v>636.91999999999996</v>
      </c>
      <c r="G2439" s="2">
        <v>0.51</v>
      </c>
      <c r="H2439" s="3">
        <v>-312.08999999999997</v>
      </c>
      <c r="I2439" s="1">
        <v>45724</v>
      </c>
      <c r="J2439" s="4" t="s">
        <v>20</v>
      </c>
      <c r="K2439" s="4" t="s">
        <v>12</v>
      </c>
      <c r="L2439" s="3">
        <v>2399.61</v>
      </c>
      <c r="M2439" s="4" t="s">
        <v>1255</v>
      </c>
      <c r="N2439" s="3">
        <v>-636.91999999999996</v>
      </c>
    </row>
    <row r="2440" spans="1:14" hidden="1" x14ac:dyDescent="0.35">
      <c r="A2440">
        <v>3435</v>
      </c>
      <c r="B2440" s="4" t="s">
        <v>678</v>
      </c>
      <c r="C2440" s="4" t="s">
        <v>699</v>
      </c>
      <c r="D2440" s="4" t="s">
        <v>34</v>
      </c>
      <c r="E2440">
        <v>0</v>
      </c>
      <c r="F2440" s="3">
        <v>2514.7925</v>
      </c>
      <c r="G2440" s="2">
        <v>0.70760000000000001</v>
      </c>
      <c r="H2440" s="3">
        <v>0</v>
      </c>
      <c r="I2440" s="1">
        <v>45145</v>
      </c>
      <c r="J2440" s="4" t="s">
        <v>7</v>
      </c>
      <c r="K2440" s="4" t="s">
        <v>40</v>
      </c>
      <c r="L2440" s="3">
        <v>-453.03</v>
      </c>
      <c r="M2440" s="4" t="s">
        <v>1255</v>
      </c>
      <c r="N2440" s="3">
        <v>0</v>
      </c>
    </row>
    <row r="2441" spans="1:14" x14ac:dyDescent="0.35">
      <c r="A2441">
        <v>3436</v>
      </c>
      <c r="B2441" s="4" t="s">
        <v>97</v>
      </c>
      <c r="C2441" s="4" t="s">
        <v>289</v>
      </c>
      <c r="D2441" s="4" t="s">
        <v>24</v>
      </c>
      <c r="E2441">
        <v>0</v>
      </c>
      <c r="F2441" s="3">
        <v>2568.4459999999999</v>
      </c>
      <c r="G2441" s="2">
        <v>0.91</v>
      </c>
      <c r="H2441" s="3">
        <v>0</v>
      </c>
      <c r="I2441" s="1">
        <v>45532</v>
      </c>
      <c r="J2441" s="4" t="s">
        <v>18</v>
      </c>
      <c r="K2441" s="4" t="s">
        <v>12</v>
      </c>
      <c r="L2441" s="3">
        <v>791.96</v>
      </c>
      <c r="M2441" s="4" t="s">
        <v>1255</v>
      </c>
      <c r="N2441" s="3">
        <v>0</v>
      </c>
    </row>
    <row r="2442" spans="1:14" x14ac:dyDescent="0.35">
      <c r="A2442">
        <v>3437</v>
      </c>
      <c r="B2442" s="4" t="s">
        <v>468</v>
      </c>
      <c r="C2442" s="4" t="s">
        <v>88</v>
      </c>
      <c r="D2442" s="4" t="s">
        <v>15</v>
      </c>
      <c r="E2442">
        <v>0</v>
      </c>
      <c r="F2442" s="3">
        <v>987.68</v>
      </c>
      <c r="G2442" s="2">
        <v>1.25</v>
      </c>
      <c r="H2442" s="3">
        <v>0</v>
      </c>
      <c r="I2442" s="1">
        <v>45832</v>
      </c>
      <c r="J2442" s="4" t="s">
        <v>18</v>
      </c>
      <c r="K2442" s="4" t="s">
        <v>8</v>
      </c>
      <c r="L2442" s="3">
        <v>2597.1999999999998</v>
      </c>
      <c r="M2442" s="4" t="s">
        <v>1255</v>
      </c>
      <c r="N2442" s="3">
        <v>0</v>
      </c>
    </row>
    <row r="2443" spans="1:14" x14ac:dyDescent="0.35">
      <c r="A2443">
        <v>3439</v>
      </c>
      <c r="B2443" s="4" t="s">
        <v>1051</v>
      </c>
      <c r="C2443" s="4" t="s">
        <v>1243</v>
      </c>
      <c r="D2443" s="4" t="s">
        <v>38</v>
      </c>
      <c r="E2443">
        <v>-2</v>
      </c>
      <c r="F2443" s="3">
        <v>400.21</v>
      </c>
      <c r="G2443" s="2">
        <v>0.696818181818182</v>
      </c>
      <c r="H2443" s="3">
        <v>0</v>
      </c>
      <c r="I2443" s="1">
        <v>45831</v>
      </c>
      <c r="J2443" s="4" t="s">
        <v>18</v>
      </c>
      <c r="K2443" s="4" t="s">
        <v>8</v>
      </c>
      <c r="L2443" s="3">
        <v>914.27</v>
      </c>
      <c r="M2443" s="4" t="s">
        <v>1255</v>
      </c>
      <c r="N2443" s="3">
        <v>-800.42</v>
      </c>
    </row>
    <row r="2444" spans="1:14" x14ac:dyDescent="0.35">
      <c r="A2444">
        <v>3440</v>
      </c>
      <c r="B2444" s="4" t="s">
        <v>110</v>
      </c>
      <c r="C2444" s="4" t="s">
        <v>92</v>
      </c>
      <c r="D2444" s="4" t="s">
        <v>37</v>
      </c>
      <c r="E2444">
        <v>0</v>
      </c>
      <c r="F2444" s="3">
        <v>1536.14</v>
      </c>
      <c r="G2444" s="2">
        <v>0.87</v>
      </c>
      <c r="H2444" s="3">
        <v>0</v>
      </c>
      <c r="I2444" s="1">
        <v>45729</v>
      </c>
      <c r="J2444" s="4" t="s">
        <v>9</v>
      </c>
      <c r="K2444" s="4" t="s">
        <v>8</v>
      </c>
      <c r="L2444" s="3">
        <v>-382.45</v>
      </c>
      <c r="M2444" s="4" t="s">
        <v>1255</v>
      </c>
      <c r="N2444" s="3">
        <v>0</v>
      </c>
    </row>
    <row r="2445" spans="1:14" x14ac:dyDescent="0.35">
      <c r="A2445">
        <v>3441</v>
      </c>
      <c r="B2445" s="4" t="s">
        <v>1074</v>
      </c>
      <c r="C2445" s="4" t="s">
        <v>1244</v>
      </c>
      <c r="D2445" s="4" t="s">
        <v>24</v>
      </c>
      <c r="E2445">
        <v>5</v>
      </c>
      <c r="F2445" s="3">
        <v>2644.2703000000001</v>
      </c>
      <c r="G2445" s="2">
        <v>1.21</v>
      </c>
      <c r="H2445" s="3">
        <v>0</v>
      </c>
      <c r="I2445" s="1">
        <v>45783</v>
      </c>
      <c r="J2445" s="4" t="s">
        <v>7</v>
      </c>
      <c r="K2445" s="4" t="s">
        <v>12</v>
      </c>
      <c r="L2445" s="3">
        <v>2953.52</v>
      </c>
      <c r="M2445" s="4" t="s">
        <v>1255</v>
      </c>
      <c r="N2445" s="3">
        <v>13221.351500000001</v>
      </c>
    </row>
    <row r="2446" spans="1:14" hidden="1" x14ac:dyDescent="0.35">
      <c r="A2446">
        <v>3442</v>
      </c>
      <c r="B2446" s="4" t="s">
        <v>1061</v>
      </c>
      <c r="C2446" s="4" t="s">
        <v>1158</v>
      </c>
      <c r="D2446" s="4" t="s">
        <v>37</v>
      </c>
      <c r="E2446">
        <v>0</v>
      </c>
      <c r="F2446" s="3">
        <v>2680.0165000000002</v>
      </c>
      <c r="G2446" s="2">
        <v>1.1100000000000001</v>
      </c>
      <c r="H2446" s="3">
        <v>0</v>
      </c>
      <c r="I2446" s="1">
        <v>45506</v>
      </c>
      <c r="J2446" s="4" t="s">
        <v>9</v>
      </c>
      <c r="K2446" s="4" t="s">
        <v>40</v>
      </c>
      <c r="L2446" s="3">
        <v>1331.63</v>
      </c>
      <c r="M2446" s="4" t="s">
        <v>1255</v>
      </c>
      <c r="N2446" s="3">
        <v>0</v>
      </c>
    </row>
    <row r="2447" spans="1:14" hidden="1" x14ac:dyDescent="0.35">
      <c r="A2447">
        <v>3443</v>
      </c>
      <c r="B2447" s="4" t="s">
        <v>93</v>
      </c>
      <c r="C2447" s="4" t="s">
        <v>61</v>
      </c>
      <c r="D2447" s="4" t="s">
        <v>37</v>
      </c>
      <c r="E2447">
        <v>0</v>
      </c>
      <c r="F2447" s="3">
        <v>2680.0165000000002</v>
      </c>
      <c r="G2447" s="2">
        <v>0.37</v>
      </c>
      <c r="H2447" s="3">
        <v>0</v>
      </c>
      <c r="I2447" s="1">
        <v>45813</v>
      </c>
      <c r="J2447" s="4" t="s">
        <v>7</v>
      </c>
      <c r="K2447" s="4" t="s">
        <v>40</v>
      </c>
      <c r="L2447" s="3">
        <v>2632.33</v>
      </c>
      <c r="M2447" s="4" t="s">
        <v>1255</v>
      </c>
      <c r="N2447" s="3">
        <v>0</v>
      </c>
    </row>
    <row r="2448" spans="1:14" hidden="1" x14ac:dyDescent="0.35">
      <c r="A2448">
        <v>3444</v>
      </c>
      <c r="B2448" s="4" t="s">
        <v>1245</v>
      </c>
      <c r="C2448" s="4" t="s">
        <v>482</v>
      </c>
      <c r="D2448" s="4" t="s">
        <v>17</v>
      </c>
      <c r="E2448">
        <v>0</v>
      </c>
      <c r="F2448" s="3">
        <v>2924.37</v>
      </c>
      <c r="G2448" s="2">
        <v>0.65388888888888896</v>
      </c>
      <c r="H2448" s="3">
        <v>0</v>
      </c>
      <c r="I2448" s="1">
        <v>45652</v>
      </c>
      <c r="J2448" s="4" t="s">
        <v>20</v>
      </c>
      <c r="K2448" s="4" t="s">
        <v>40</v>
      </c>
      <c r="L2448" s="3">
        <v>461.83</v>
      </c>
      <c r="M2448" s="4" t="s">
        <v>1255</v>
      </c>
      <c r="N2448" s="3">
        <v>0</v>
      </c>
    </row>
    <row r="2449" spans="1:14" hidden="1" x14ac:dyDescent="0.35">
      <c r="A2449">
        <v>3445</v>
      </c>
      <c r="B2449" s="4" t="s">
        <v>139</v>
      </c>
      <c r="C2449" s="4" t="s">
        <v>924</v>
      </c>
      <c r="D2449" s="4" t="s">
        <v>35</v>
      </c>
      <c r="E2449">
        <v>4</v>
      </c>
      <c r="F2449" s="3">
        <v>973.52</v>
      </c>
      <c r="G2449" s="2">
        <v>0.65388888888888896</v>
      </c>
      <c r="H2449" s="3">
        <v>0</v>
      </c>
      <c r="I2449" s="1">
        <v>45514</v>
      </c>
      <c r="J2449" s="4" t="s">
        <v>23</v>
      </c>
      <c r="K2449" s="4" t="s">
        <v>40</v>
      </c>
      <c r="L2449" s="3">
        <v>2406.66</v>
      </c>
      <c r="M2449" s="4" t="s">
        <v>1255</v>
      </c>
      <c r="N2449" s="3">
        <v>3894.08</v>
      </c>
    </row>
    <row r="2450" spans="1:14" hidden="1" x14ac:dyDescent="0.35">
      <c r="A2450">
        <v>3446</v>
      </c>
      <c r="B2450" s="4" t="s">
        <v>65</v>
      </c>
      <c r="C2450" s="4" t="s">
        <v>221</v>
      </c>
      <c r="D2450" s="4" t="s">
        <v>15</v>
      </c>
      <c r="E2450">
        <v>3</v>
      </c>
      <c r="F2450" s="3">
        <v>4758.24</v>
      </c>
      <c r="G2450" s="2">
        <v>0.49</v>
      </c>
      <c r="H2450" s="3">
        <v>7280.11</v>
      </c>
      <c r="I2450" s="1">
        <v>45733</v>
      </c>
      <c r="J2450" s="4" t="s">
        <v>11</v>
      </c>
      <c r="K2450" s="4" t="s">
        <v>40</v>
      </c>
      <c r="L2450" s="3">
        <v>2863.66</v>
      </c>
      <c r="M2450" s="4" t="s">
        <v>1256</v>
      </c>
      <c r="N2450" s="3">
        <v>14274.72</v>
      </c>
    </row>
    <row r="2451" spans="1:14" x14ac:dyDescent="0.35">
      <c r="A2451">
        <v>3447</v>
      </c>
      <c r="B2451" s="4" t="s">
        <v>421</v>
      </c>
      <c r="C2451" s="4" t="s">
        <v>494</v>
      </c>
      <c r="D2451" s="4" t="s">
        <v>10</v>
      </c>
      <c r="E2451">
        <v>4</v>
      </c>
      <c r="F2451" s="3">
        <v>4762.62</v>
      </c>
      <c r="G2451" s="2">
        <v>0.66352941176470603</v>
      </c>
      <c r="H2451" s="3">
        <v>0</v>
      </c>
      <c r="I2451" s="1">
        <v>45840</v>
      </c>
      <c r="J2451" s="4" t="s">
        <v>23</v>
      </c>
      <c r="K2451" s="4" t="s">
        <v>12</v>
      </c>
      <c r="L2451" s="3">
        <v>1483.83</v>
      </c>
      <c r="M2451" s="4" t="s">
        <v>1255</v>
      </c>
      <c r="N2451" s="3">
        <v>19050.48</v>
      </c>
    </row>
    <row r="2452" spans="1:14" x14ac:dyDescent="0.35">
      <c r="A2452">
        <v>3448</v>
      </c>
      <c r="B2452" s="4" t="s">
        <v>141</v>
      </c>
      <c r="C2452" s="4" t="s">
        <v>399</v>
      </c>
      <c r="D2452" s="4" t="s">
        <v>6</v>
      </c>
      <c r="E2452">
        <v>3</v>
      </c>
      <c r="F2452" s="3">
        <v>2658.0136000000002</v>
      </c>
      <c r="G2452" s="2">
        <v>0.66352941176470603</v>
      </c>
      <c r="H2452" s="3">
        <v>0</v>
      </c>
      <c r="I2452" s="1">
        <v>45649</v>
      </c>
      <c r="J2452" s="4" t="s">
        <v>9</v>
      </c>
      <c r="K2452" s="4" t="s">
        <v>8</v>
      </c>
      <c r="L2452" s="3">
        <v>734.88</v>
      </c>
      <c r="M2452" s="4" t="s">
        <v>1255</v>
      </c>
      <c r="N2452" s="3">
        <v>7974.0407999999998</v>
      </c>
    </row>
    <row r="2453" spans="1:14" x14ac:dyDescent="0.35">
      <c r="A2453">
        <v>3449</v>
      </c>
      <c r="B2453" s="4" t="s">
        <v>1049</v>
      </c>
      <c r="C2453" s="4" t="s">
        <v>403</v>
      </c>
      <c r="D2453" s="4" t="s">
        <v>17</v>
      </c>
      <c r="E2453">
        <v>4</v>
      </c>
      <c r="F2453" s="3">
        <v>803.79</v>
      </c>
      <c r="G2453" s="2">
        <v>0.66352941176470603</v>
      </c>
      <c r="H2453" s="3">
        <v>0</v>
      </c>
      <c r="I2453" s="1">
        <v>45854</v>
      </c>
      <c r="J2453" s="4" t="s">
        <v>20</v>
      </c>
      <c r="K2453" s="4" t="s">
        <v>8</v>
      </c>
      <c r="L2453" s="3">
        <v>2948.6</v>
      </c>
      <c r="M2453" s="4" t="s">
        <v>1255</v>
      </c>
      <c r="N2453" s="3">
        <v>3215.16</v>
      </c>
    </row>
    <row r="2454" spans="1:14" hidden="1" x14ac:dyDescent="0.35">
      <c r="A2454">
        <v>3450</v>
      </c>
      <c r="B2454" s="4" t="s">
        <v>1035</v>
      </c>
      <c r="C2454" s="4" t="s">
        <v>82</v>
      </c>
      <c r="D2454" s="4" t="s">
        <v>26</v>
      </c>
      <c r="E2454">
        <v>0</v>
      </c>
      <c r="F2454" s="3">
        <v>2580.0652</v>
      </c>
      <c r="G2454" s="2">
        <v>0.89</v>
      </c>
      <c r="H2454" s="3">
        <v>0</v>
      </c>
      <c r="I2454" s="1">
        <v>45133</v>
      </c>
      <c r="J2454" s="4" t="s">
        <v>11</v>
      </c>
      <c r="K2454" s="4" t="s">
        <v>40</v>
      </c>
      <c r="L2454" s="3">
        <v>1339.05</v>
      </c>
      <c r="M2454" s="4" t="s">
        <v>1255</v>
      </c>
      <c r="N2454" s="3">
        <v>0</v>
      </c>
    </row>
    <row r="2455" spans="1:14" x14ac:dyDescent="0.35">
      <c r="A2455">
        <v>3451</v>
      </c>
      <c r="B2455" s="4" t="s">
        <v>800</v>
      </c>
      <c r="C2455" s="4" t="s">
        <v>70</v>
      </c>
      <c r="D2455" s="4" t="s">
        <v>28</v>
      </c>
      <c r="E2455">
        <v>-2</v>
      </c>
      <c r="F2455" s="3">
        <v>2339.36</v>
      </c>
      <c r="G2455" s="2">
        <v>0.35</v>
      </c>
      <c r="H2455" s="3">
        <v>-3041.17</v>
      </c>
      <c r="I2455" s="1">
        <v>45827</v>
      </c>
      <c r="J2455" s="4" t="s">
        <v>18</v>
      </c>
      <c r="K2455" s="4" t="s">
        <v>12</v>
      </c>
      <c r="L2455" s="3">
        <v>-5.05</v>
      </c>
      <c r="M2455" s="4" t="s">
        <v>1255</v>
      </c>
      <c r="N2455" s="3">
        <v>-4678.72</v>
      </c>
    </row>
    <row r="2456" spans="1:14" x14ac:dyDescent="0.35">
      <c r="A2456">
        <v>3452</v>
      </c>
      <c r="B2456" s="4" t="s">
        <v>65</v>
      </c>
      <c r="C2456" s="4" t="s">
        <v>1246</v>
      </c>
      <c r="D2456" s="4" t="s">
        <v>29</v>
      </c>
      <c r="E2456">
        <v>0</v>
      </c>
      <c r="F2456" s="3">
        <v>2562.4699999999998</v>
      </c>
      <c r="G2456" s="2">
        <v>0.669333333333334</v>
      </c>
      <c r="H2456" s="3">
        <v>0</v>
      </c>
      <c r="I2456" s="1">
        <v>45585</v>
      </c>
      <c r="J2456" s="4" t="s">
        <v>23</v>
      </c>
      <c r="K2456" s="4" t="s">
        <v>12</v>
      </c>
      <c r="L2456" s="3">
        <v>-883.82</v>
      </c>
      <c r="M2456" s="4" t="s">
        <v>1255</v>
      </c>
      <c r="N2456" s="3">
        <v>0</v>
      </c>
    </row>
    <row r="2457" spans="1:14" hidden="1" x14ac:dyDescent="0.35">
      <c r="A2457">
        <v>3453</v>
      </c>
      <c r="B2457" s="4" t="s">
        <v>1247</v>
      </c>
      <c r="C2457" s="4" t="s">
        <v>106</v>
      </c>
      <c r="D2457" s="4" t="s">
        <v>33</v>
      </c>
      <c r="E2457">
        <v>0</v>
      </c>
      <c r="F2457" s="3">
        <v>4213.8500000000004</v>
      </c>
      <c r="G2457" s="2">
        <v>0.669333333333334</v>
      </c>
      <c r="H2457" s="3">
        <v>0</v>
      </c>
      <c r="I2457" s="1">
        <v>45795</v>
      </c>
      <c r="J2457" s="4" t="s">
        <v>7</v>
      </c>
      <c r="K2457" s="4" t="s">
        <v>40</v>
      </c>
      <c r="L2457" s="3">
        <v>-209.3</v>
      </c>
      <c r="M2457" s="4" t="s">
        <v>1255</v>
      </c>
      <c r="N2457" s="3">
        <v>0</v>
      </c>
    </row>
    <row r="2458" spans="1:14" x14ac:dyDescent="0.35">
      <c r="A2458">
        <v>3454</v>
      </c>
      <c r="B2458" s="4" t="s">
        <v>125</v>
      </c>
      <c r="C2458" s="4" t="s">
        <v>869</v>
      </c>
      <c r="D2458" s="4" t="s">
        <v>33</v>
      </c>
      <c r="E2458">
        <v>6</v>
      </c>
      <c r="F2458" s="3">
        <v>1987.62</v>
      </c>
      <c r="G2458" s="2">
        <v>0.669333333333334</v>
      </c>
      <c r="H2458" s="3">
        <v>0</v>
      </c>
      <c r="I2458" s="1">
        <v>45535</v>
      </c>
      <c r="J2458" s="4" t="s">
        <v>23</v>
      </c>
      <c r="K2458" s="4" t="s">
        <v>12</v>
      </c>
      <c r="L2458" s="3">
        <v>1184.77</v>
      </c>
      <c r="M2458" s="4" t="s">
        <v>1255</v>
      </c>
      <c r="N2458" s="3">
        <v>11925.72</v>
      </c>
    </row>
    <row r="2459" spans="1:14" hidden="1" x14ac:dyDescent="0.35">
      <c r="A2459">
        <v>3455</v>
      </c>
      <c r="B2459" s="4" t="s">
        <v>559</v>
      </c>
      <c r="C2459" s="4" t="s">
        <v>1024</v>
      </c>
      <c r="D2459" s="4" t="s">
        <v>17</v>
      </c>
      <c r="E2459">
        <v>0</v>
      </c>
      <c r="F2459" s="3">
        <v>2597.4908999999998</v>
      </c>
      <c r="G2459" s="2">
        <v>0.669333333333334</v>
      </c>
      <c r="H2459" s="3">
        <v>0</v>
      </c>
      <c r="I2459" s="1">
        <v>45535</v>
      </c>
      <c r="J2459" s="4" t="s">
        <v>18</v>
      </c>
      <c r="K2459" s="4" t="s">
        <v>40</v>
      </c>
      <c r="L2459" s="3">
        <v>382.53</v>
      </c>
      <c r="M2459" s="4" t="s">
        <v>1255</v>
      </c>
      <c r="N2459" s="3">
        <v>0</v>
      </c>
    </row>
    <row r="2460" spans="1:14" hidden="1" x14ac:dyDescent="0.35">
      <c r="A2460">
        <v>3456</v>
      </c>
      <c r="B2460" s="4" t="s">
        <v>468</v>
      </c>
      <c r="C2460" s="4" t="s">
        <v>241</v>
      </c>
      <c r="D2460" s="4" t="s">
        <v>37</v>
      </c>
      <c r="E2460">
        <v>0</v>
      </c>
      <c r="F2460" s="3">
        <v>2625.2123000000001</v>
      </c>
      <c r="G2460" s="2">
        <v>0.669333333333334</v>
      </c>
      <c r="H2460" s="3">
        <v>0</v>
      </c>
      <c r="I2460" s="1">
        <v>45535</v>
      </c>
      <c r="J2460" s="4" t="s">
        <v>7</v>
      </c>
      <c r="K2460" s="4" t="s">
        <v>40</v>
      </c>
      <c r="L2460" s="3">
        <v>-695.67</v>
      </c>
      <c r="M2460" s="4" t="s">
        <v>1255</v>
      </c>
      <c r="N2460" s="3">
        <v>0</v>
      </c>
    </row>
    <row r="2461" spans="1:14" hidden="1" x14ac:dyDescent="0.35">
      <c r="A2461">
        <v>3457</v>
      </c>
      <c r="B2461" s="4" t="s">
        <v>121</v>
      </c>
      <c r="C2461" s="4" t="s">
        <v>331</v>
      </c>
      <c r="D2461" s="4" t="s">
        <v>35</v>
      </c>
      <c r="E2461">
        <v>0</v>
      </c>
      <c r="F2461" s="3">
        <v>983.84</v>
      </c>
      <c r="G2461" s="2">
        <v>0.9</v>
      </c>
      <c r="H2461" s="3">
        <v>0</v>
      </c>
      <c r="I2461" s="1">
        <v>45727</v>
      </c>
      <c r="J2461" s="4" t="s">
        <v>7</v>
      </c>
      <c r="K2461" s="4" t="s">
        <v>40</v>
      </c>
      <c r="L2461" s="3">
        <v>254.71</v>
      </c>
      <c r="M2461" s="4" t="s">
        <v>1255</v>
      </c>
      <c r="N2461" s="3">
        <v>0</v>
      </c>
    </row>
    <row r="2462" spans="1:14" x14ac:dyDescent="0.35">
      <c r="A2462">
        <v>3459</v>
      </c>
      <c r="B2462" s="4" t="s">
        <v>517</v>
      </c>
      <c r="C2462" s="4" t="s">
        <v>155</v>
      </c>
      <c r="D2462" s="4" t="s">
        <v>37</v>
      </c>
      <c r="E2462">
        <v>2</v>
      </c>
      <c r="F2462" s="3">
        <v>2703.3728999999998</v>
      </c>
      <c r="G2462" s="2">
        <v>0.66</v>
      </c>
      <c r="H2462" s="3">
        <v>0</v>
      </c>
      <c r="I2462" s="1">
        <v>45589</v>
      </c>
      <c r="J2462" s="4" t="s">
        <v>20</v>
      </c>
      <c r="K2462" s="4" t="s">
        <v>12</v>
      </c>
      <c r="L2462" s="3">
        <v>1284.57</v>
      </c>
      <c r="M2462" s="4" t="s">
        <v>1255</v>
      </c>
      <c r="N2462" s="3">
        <v>5406.7457999999997</v>
      </c>
    </row>
    <row r="2463" spans="1:14" hidden="1" x14ac:dyDescent="0.35">
      <c r="A2463">
        <v>3460</v>
      </c>
      <c r="B2463" s="4" t="s">
        <v>978</v>
      </c>
      <c r="C2463" s="4" t="s">
        <v>451</v>
      </c>
      <c r="D2463" s="4" t="s">
        <v>16</v>
      </c>
      <c r="E2463">
        <v>3</v>
      </c>
      <c r="F2463" s="3">
        <v>2703.3728999999998</v>
      </c>
      <c r="G2463" s="2">
        <v>0.66</v>
      </c>
      <c r="H2463" s="3">
        <v>0</v>
      </c>
      <c r="I2463" s="1">
        <v>45589</v>
      </c>
      <c r="J2463" s="4" t="s">
        <v>18</v>
      </c>
      <c r="K2463" s="4" t="s">
        <v>40</v>
      </c>
      <c r="L2463" s="3">
        <v>-266.63</v>
      </c>
      <c r="M2463" s="4" t="s">
        <v>1255</v>
      </c>
      <c r="N2463" s="3">
        <v>8110.1187</v>
      </c>
    </row>
    <row r="2464" spans="1:14" x14ac:dyDescent="0.35">
      <c r="A2464">
        <v>3461</v>
      </c>
      <c r="B2464" s="4" t="s">
        <v>65</v>
      </c>
      <c r="C2464" s="4" t="s">
        <v>794</v>
      </c>
      <c r="D2464" s="4" t="s">
        <v>24</v>
      </c>
      <c r="E2464">
        <v>0</v>
      </c>
      <c r="F2464" s="3">
        <v>2703.3728999999998</v>
      </c>
      <c r="G2464" s="2">
        <v>0.66</v>
      </c>
      <c r="H2464" s="3">
        <v>0</v>
      </c>
      <c r="I2464" s="1">
        <v>45758</v>
      </c>
      <c r="J2464" s="4" t="s">
        <v>9</v>
      </c>
      <c r="K2464" s="4" t="s">
        <v>12</v>
      </c>
      <c r="L2464" s="3">
        <v>2059.2399999999998</v>
      </c>
      <c r="M2464" s="4" t="s">
        <v>1255</v>
      </c>
      <c r="N2464" s="3">
        <v>0</v>
      </c>
    </row>
    <row r="2465" spans="1:14" x14ac:dyDescent="0.35">
      <c r="A2465">
        <v>3462</v>
      </c>
      <c r="B2465" s="4" t="s">
        <v>1248</v>
      </c>
      <c r="C2465" s="4" t="s">
        <v>1021</v>
      </c>
      <c r="D2465" s="4" t="s">
        <v>19</v>
      </c>
      <c r="E2465">
        <v>0</v>
      </c>
      <c r="F2465" s="3">
        <v>3607.23</v>
      </c>
      <c r="G2465" s="2">
        <v>0.66</v>
      </c>
      <c r="H2465" s="3">
        <v>0</v>
      </c>
      <c r="I2465" s="1">
        <v>45150</v>
      </c>
      <c r="J2465" s="4" t="s">
        <v>23</v>
      </c>
      <c r="K2465" s="4" t="s">
        <v>8</v>
      </c>
      <c r="L2465" s="3">
        <v>2531.75</v>
      </c>
      <c r="M2465" s="4" t="s">
        <v>1255</v>
      </c>
      <c r="N2465" s="3">
        <v>0</v>
      </c>
    </row>
    <row r="2466" spans="1:14" hidden="1" x14ac:dyDescent="0.35">
      <c r="A2466">
        <v>3463</v>
      </c>
      <c r="B2466" s="4" t="s">
        <v>398</v>
      </c>
      <c r="C2466" s="4" t="s">
        <v>149</v>
      </c>
      <c r="D2466" s="4" t="s">
        <v>19</v>
      </c>
      <c r="E2466">
        <v>6</v>
      </c>
      <c r="F2466" s="3">
        <v>1139.77</v>
      </c>
      <c r="G2466" s="2">
        <v>0.66</v>
      </c>
      <c r="H2466" s="3">
        <v>0</v>
      </c>
      <c r="I2466" s="1">
        <v>45150</v>
      </c>
      <c r="J2466" s="4" t="s">
        <v>20</v>
      </c>
      <c r="K2466" s="4" t="s">
        <v>40</v>
      </c>
      <c r="L2466" s="3">
        <v>992.89</v>
      </c>
      <c r="M2466" s="4" t="s">
        <v>1255</v>
      </c>
      <c r="N2466" s="3">
        <v>6838.62</v>
      </c>
    </row>
    <row r="2467" spans="1:14" hidden="1" x14ac:dyDescent="0.35">
      <c r="A2467">
        <v>3464</v>
      </c>
      <c r="B2467" s="4" t="s">
        <v>655</v>
      </c>
      <c r="C2467" s="4" t="s">
        <v>1249</v>
      </c>
      <c r="D2467" s="4" t="s">
        <v>32</v>
      </c>
      <c r="E2467">
        <v>5</v>
      </c>
      <c r="F2467" s="3">
        <v>2658.18</v>
      </c>
      <c r="G2467" s="2">
        <v>0.66</v>
      </c>
      <c r="H2467" s="3">
        <v>0</v>
      </c>
      <c r="I2467" s="1">
        <v>45150</v>
      </c>
      <c r="J2467" s="4" t="s">
        <v>7</v>
      </c>
      <c r="K2467" s="4" t="s">
        <v>40</v>
      </c>
      <c r="L2467" s="3">
        <v>2091.3000000000002</v>
      </c>
      <c r="M2467" s="4" t="s">
        <v>1255</v>
      </c>
      <c r="N2467" s="3">
        <v>13290.9</v>
      </c>
    </row>
    <row r="2468" spans="1:14" x14ac:dyDescent="0.35">
      <c r="A2468">
        <v>3465</v>
      </c>
      <c r="B2468" s="4" t="s">
        <v>134</v>
      </c>
      <c r="C2468" s="4" t="s">
        <v>889</v>
      </c>
      <c r="D2468" s="4" t="s">
        <v>16</v>
      </c>
      <c r="E2468">
        <v>-1</v>
      </c>
      <c r="F2468" s="3">
        <v>2738.0963000000002</v>
      </c>
      <c r="G2468" s="2">
        <v>0.7</v>
      </c>
      <c r="H2468" s="3">
        <v>0</v>
      </c>
      <c r="I2468" s="1">
        <v>45542</v>
      </c>
      <c r="J2468" s="4" t="s">
        <v>23</v>
      </c>
      <c r="K2468" s="4" t="s">
        <v>12</v>
      </c>
      <c r="L2468" s="3">
        <v>-288.95999999999998</v>
      </c>
      <c r="M2468" s="4" t="s">
        <v>1255</v>
      </c>
      <c r="N2468" s="3">
        <v>-2738.0963000000002</v>
      </c>
    </row>
    <row r="2469" spans="1:14" x14ac:dyDescent="0.35">
      <c r="A2469">
        <v>3466</v>
      </c>
      <c r="B2469" s="4" t="s">
        <v>85</v>
      </c>
      <c r="C2469" s="4" t="s">
        <v>99</v>
      </c>
      <c r="D2469" s="4" t="s">
        <v>32</v>
      </c>
      <c r="E2469">
        <v>0</v>
      </c>
      <c r="F2469" s="3">
        <v>4059.53</v>
      </c>
      <c r="G2469" s="2">
        <v>0.65666666666666695</v>
      </c>
      <c r="H2469" s="3">
        <v>0</v>
      </c>
      <c r="I2469" s="1">
        <v>45178</v>
      </c>
      <c r="J2469" s="4" t="s">
        <v>9</v>
      </c>
      <c r="K2469" s="4" t="s">
        <v>12</v>
      </c>
      <c r="L2469" s="3">
        <v>-74.569999999999993</v>
      </c>
      <c r="M2469" s="4" t="s">
        <v>1255</v>
      </c>
      <c r="N2469" s="3">
        <v>0</v>
      </c>
    </row>
    <row r="2470" spans="1:14" x14ac:dyDescent="0.35">
      <c r="A2470">
        <v>3467</v>
      </c>
      <c r="B2470" s="4" t="s">
        <v>262</v>
      </c>
      <c r="C2470" s="4" t="s">
        <v>1016</v>
      </c>
      <c r="D2470" s="4" t="s">
        <v>28</v>
      </c>
      <c r="E2470">
        <v>0</v>
      </c>
      <c r="F2470" s="3">
        <v>2738.0963000000002</v>
      </c>
      <c r="G2470" s="2">
        <v>0.65666666666666695</v>
      </c>
      <c r="H2470" s="3">
        <v>0</v>
      </c>
      <c r="I2470" s="1">
        <v>45753</v>
      </c>
      <c r="J2470" s="4" t="s">
        <v>18</v>
      </c>
      <c r="K2470" s="4" t="s">
        <v>12</v>
      </c>
      <c r="L2470" s="3">
        <v>1246.6199999999999</v>
      </c>
      <c r="M2470" s="4" t="s">
        <v>1255</v>
      </c>
      <c r="N2470" s="3">
        <v>0</v>
      </c>
    </row>
    <row r="2471" spans="1:14" hidden="1" x14ac:dyDescent="0.35">
      <c r="A2471">
        <v>3468</v>
      </c>
      <c r="B2471" s="4" t="s">
        <v>375</v>
      </c>
      <c r="C2471" s="4" t="s">
        <v>1250</v>
      </c>
      <c r="D2471" s="4" t="s">
        <v>24</v>
      </c>
      <c r="E2471">
        <v>0</v>
      </c>
      <c r="F2471" s="3">
        <v>2664.6833000000001</v>
      </c>
      <c r="G2471" s="2">
        <v>0.65666666666666695</v>
      </c>
      <c r="H2471" s="3">
        <v>0</v>
      </c>
      <c r="I2471" s="1">
        <v>45753</v>
      </c>
      <c r="J2471" s="4" t="s">
        <v>7</v>
      </c>
      <c r="K2471" s="4" t="s">
        <v>40</v>
      </c>
      <c r="L2471" s="3">
        <v>287.33</v>
      </c>
      <c r="M2471" s="4" t="s">
        <v>1255</v>
      </c>
      <c r="N2471" s="3">
        <v>0</v>
      </c>
    </row>
    <row r="2472" spans="1:14" x14ac:dyDescent="0.35">
      <c r="A2472">
        <v>3469</v>
      </c>
      <c r="B2472" s="4" t="s">
        <v>208</v>
      </c>
      <c r="C2472" s="4" t="s">
        <v>165</v>
      </c>
      <c r="D2472" s="4" t="s">
        <v>26</v>
      </c>
      <c r="E2472">
        <v>0</v>
      </c>
      <c r="F2472" s="3">
        <v>2932.58</v>
      </c>
      <c r="G2472" s="2">
        <v>1.26</v>
      </c>
      <c r="H2472" s="3">
        <v>0</v>
      </c>
      <c r="I2472" s="1">
        <v>45629</v>
      </c>
      <c r="J2472" s="4" t="s">
        <v>18</v>
      </c>
      <c r="K2472" s="4" t="s">
        <v>12</v>
      </c>
      <c r="L2472" s="3">
        <v>333.94</v>
      </c>
      <c r="M2472" s="4" t="s">
        <v>1255</v>
      </c>
      <c r="N2472" s="3">
        <v>0</v>
      </c>
    </row>
    <row r="2473" spans="1:14" x14ac:dyDescent="0.35">
      <c r="A2473">
        <v>3470</v>
      </c>
      <c r="B2473" s="4" t="s">
        <v>139</v>
      </c>
      <c r="C2473" s="4" t="s">
        <v>526</v>
      </c>
      <c r="D2473" s="4" t="s">
        <v>14</v>
      </c>
      <c r="E2473">
        <v>0</v>
      </c>
      <c r="F2473" s="3">
        <v>2664.6833000000001</v>
      </c>
      <c r="G2473" s="2">
        <v>0.60181818181818203</v>
      </c>
      <c r="H2473" s="3">
        <v>0</v>
      </c>
      <c r="I2473" s="1">
        <v>45857</v>
      </c>
      <c r="J2473" s="4" t="s">
        <v>7</v>
      </c>
      <c r="K2473" s="4" t="s">
        <v>8</v>
      </c>
      <c r="L2473" s="3">
        <v>1387.75</v>
      </c>
      <c r="M2473" s="4" t="s">
        <v>1255</v>
      </c>
      <c r="N2473" s="3">
        <v>0</v>
      </c>
    </row>
    <row r="2474" spans="1:14" x14ac:dyDescent="0.35">
      <c r="A2474">
        <v>3471</v>
      </c>
      <c r="B2474" s="4" t="s">
        <v>214</v>
      </c>
      <c r="C2474" s="4" t="s">
        <v>1251</v>
      </c>
      <c r="D2474" s="4" t="s">
        <v>30</v>
      </c>
      <c r="E2474">
        <v>6</v>
      </c>
      <c r="F2474" s="3">
        <v>2648.9247</v>
      </c>
      <c r="G2474" s="2">
        <v>0.60181818181818203</v>
      </c>
      <c r="H2474" s="3">
        <v>0</v>
      </c>
      <c r="I2474" s="1">
        <v>45714</v>
      </c>
      <c r="J2474" s="4" t="s">
        <v>11</v>
      </c>
      <c r="K2474" s="4" t="s">
        <v>12</v>
      </c>
      <c r="L2474" s="3">
        <v>-673.81</v>
      </c>
      <c r="M2474" s="4" t="s">
        <v>1255</v>
      </c>
      <c r="N2474" s="3">
        <v>15893.548199999999</v>
      </c>
    </row>
    <row r="2475" spans="1:14" hidden="1" x14ac:dyDescent="0.35">
      <c r="A2475">
        <v>3472</v>
      </c>
      <c r="B2475" s="4" t="s">
        <v>298</v>
      </c>
      <c r="C2475" s="4" t="s">
        <v>733</v>
      </c>
      <c r="D2475" s="4" t="s">
        <v>17</v>
      </c>
      <c r="E2475">
        <v>0</v>
      </c>
      <c r="F2475" s="3">
        <v>2648.9247</v>
      </c>
      <c r="G2475" s="2">
        <v>0.5</v>
      </c>
      <c r="H2475" s="3">
        <v>0</v>
      </c>
      <c r="I2475" s="1">
        <v>45714</v>
      </c>
      <c r="J2475" s="4" t="s">
        <v>11</v>
      </c>
      <c r="K2475" s="4" t="s">
        <v>40</v>
      </c>
      <c r="L2475" s="3">
        <v>-898.19</v>
      </c>
      <c r="M2475" s="4" t="s">
        <v>1255</v>
      </c>
      <c r="N2475" s="3">
        <v>0</v>
      </c>
    </row>
    <row r="2476" spans="1:14" x14ac:dyDescent="0.35">
      <c r="A2476">
        <v>3473</v>
      </c>
      <c r="B2476" s="4" t="s">
        <v>1056</v>
      </c>
      <c r="C2476" s="4" t="s">
        <v>1241</v>
      </c>
      <c r="D2476" s="4" t="s">
        <v>14</v>
      </c>
      <c r="E2476">
        <v>1</v>
      </c>
      <c r="F2476" s="3">
        <v>2648.9247</v>
      </c>
      <c r="G2476" s="2">
        <v>0.15</v>
      </c>
      <c r="H2476" s="3">
        <v>0</v>
      </c>
      <c r="I2476" s="1">
        <v>45559</v>
      </c>
      <c r="J2476" s="4" t="s">
        <v>11</v>
      </c>
      <c r="K2476" s="4" t="s">
        <v>12</v>
      </c>
      <c r="L2476" s="3">
        <v>287.25</v>
      </c>
      <c r="M2476" s="4" t="s">
        <v>1255</v>
      </c>
      <c r="N2476" s="3">
        <v>2648.9247</v>
      </c>
    </row>
    <row r="2477" spans="1:14" hidden="1" x14ac:dyDescent="0.35">
      <c r="A2477">
        <v>3474</v>
      </c>
      <c r="B2477" s="4" t="s">
        <v>172</v>
      </c>
      <c r="C2477" s="4" t="s">
        <v>982</v>
      </c>
      <c r="D2477" s="4" t="s">
        <v>38</v>
      </c>
      <c r="E2477">
        <v>0</v>
      </c>
      <c r="F2477" s="3">
        <v>3494.86</v>
      </c>
      <c r="G2477" s="2">
        <v>0.663333333333334</v>
      </c>
      <c r="H2477" s="3">
        <v>0</v>
      </c>
      <c r="I2477" s="1">
        <v>45559</v>
      </c>
      <c r="J2477" s="4" t="s">
        <v>11</v>
      </c>
      <c r="K2477" s="4" t="s">
        <v>40</v>
      </c>
      <c r="L2477" s="3">
        <v>-76.849999999999994</v>
      </c>
      <c r="M2477" s="4" t="s">
        <v>1255</v>
      </c>
      <c r="N2477" s="3">
        <v>0</v>
      </c>
    </row>
    <row r="2478" spans="1:14" x14ac:dyDescent="0.35">
      <c r="A2478">
        <v>3475</v>
      </c>
      <c r="B2478" s="4" t="s">
        <v>444</v>
      </c>
      <c r="C2478" s="4" t="s">
        <v>862</v>
      </c>
      <c r="D2478" s="4" t="s">
        <v>27</v>
      </c>
      <c r="E2478">
        <v>0</v>
      </c>
      <c r="F2478" s="3">
        <v>2185.83</v>
      </c>
      <c r="G2478" s="2">
        <v>0.13</v>
      </c>
      <c r="H2478" s="3">
        <v>0</v>
      </c>
      <c r="I2478" s="1">
        <v>45559</v>
      </c>
      <c r="J2478" s="4" t="s">
        <v>11</v>
      </c>
      <c r="K2478" s="4" t="s">
        <v>12</v>
      </c>
      <c r="L2478" s="3">
        <v>714.12</v>
      </c>
      <c r="M2478" s="4" t="s">
        <v>1255</v>
      </c>
      <c r="N2478" s="3">
        <v>0</v>
      </c>
    </row>
    <row r="2479" spans="1:14" x14ac:dyDescent="0.35">
      <c r="A2479">
        <v>3476</v>
      </c>
      <c r="B2479" s="4" t="s">
        <v>110</v>
      </c>
      <c r="C2479" s="4" t="s">
        <v>149</v>
      </c>
      <c r="D2479" s="4" t="s">
        <v>24</v>
      </c>
      <c r="E2479">
        <v>0</v>
      </c>
      <c r="F2479" s="3">
        <v>4804.91</v>
      </c>
      <c r="G2479" s="2">
        <v>0.73</v>
      </c>
      <c r="H2479" s="3">
        <v>0</v>
      </c>
      <c r="I2479" s="1">
        <v>45519</v>
      </c>
      <c r="J2479" s="4" t="s">
        <v>7</v>
      </c>
      <c r="K2479" s="4" t="s">
        <v>8</v>
      </c>
      <c r="L2479" s="3">
        <v>407.85</v>
      </c>
      <c r="M2479" s="4" t="s">
        <v>1255</v>
      </c>
      <c r="N2479" s="3">
        <v>0</v>
      </c>
    </row>
    <row r="2480" spans="1:14" hidden="1" x14ac:dyDescent="0.35">
      <c r="A2480">
        <v>3477</v>
      </c>
      <c r="B2480" s="4" t="s">
        <v>879</v>
      </c>
      <c r="C2480" s="4" t="s">
        <v>999</v>
      </c>
      <c r="D2480" s="4" t="s">
        <v>25</v>
      </c>
      <c r="E2480">
        <v>0</v>
      </c>
      <c r="F2480" s="3">
        <v>2623.402</v>
      </c>
      <c r="G2480" s="2">
        <v>0.86</v>
      </c>
      <c r="H2480" s="3">
        <v>0</v>
      </c>
      <c r="I2480" s="1">
        <v>45519</v>
      </c>
      <c r="J2480" s="4" t="s">
        <v>11</v>
      </c>
      <c r="K2480" s="4" t="s">
        <v>40</v>
      </c>
      <c r="L2480" s="3">
        <v>292.83</v>
      </c>
      <c r="M2480" s="4" t="s">
        <v>1255</v>
      </c>
      <c r="N2480" s="3">
        <v>0</v>
      </c>
    </row>
    <row r="2481" spans="1:14" x14ac:dyDescent="0.35">
      <c r="A2481">
        <v>3478</v>
      </c>
      <c r="B2481" s="4" t="s">
        <v>1117</v>
      </c>
      <c r="C2481" s="4" t="s">
        <v>331</v>
      </c>
      <c r="D2481" s="4" t="s">
        <v>30</v>
      </c>
      <c r="E2481">
        <v>0</v>
      </c>
      <c r="F2481" s="3">
        <v>2467.58</v>
      </c>
      <c r="G2481" s="2">
        <v>0.71142857142857097</v>
      </c>
      <c r="H2481" s="3">
        <v>0</v>
      </c>
      <c r="I2481" s="1">
        <v>45291</v>
      </c>
      <c r="J2481" s="4" t="s">
        <v>20</v>
      </c>
      <c r="K2481" s="4" t="s">
        <v>12</v>
      </c>
      <c r="L2481" s="3">
        <v>2602.44</v>
      </c>
      <c r="M2481" s="4" t="s">
        <v>1255</v>
      </c>
      <c r="N2481" s="3">
        <v>0</v>
      </c>
    </row>
    <row r="2482" spans="1:14" hidden="1" x14ac:dyDescent="0.35">
      <c r="A2482">
        <v>3479</v>
      </c>
      <c r="B2482" s="4" t="s">
        <v>164</v>
      </c>
      <c r="C2482" s="4" t="s">
        <v>688</v>
      </c>
      <c r="D2482" s="4" t="s">
        <v>34</v>
      </c>
      <c r="E2482">
        <v>0</v>
      </c>
      <c r="F2482" s="3">
        <v>2858.94</v>
      </c>
      <c r="G2482" s="2">
        <v>1.19</v>
      </c>
      <c r="H2482" s="3">
        <v>0</v>
      </c>
      <c r="I2482" s="1">
        <v>45554</v>
      </c>
      <c r="J2482" s="4" t="s">
        <v>11</v>
      </c>
      <c r="K2482" s="4" t="s">
        <v>40</v>
      </c>
      <c r="L2482" s="3">
        <v>-262.73</v>
      </c>
      <c r="M2482" s="4" t="s">
        <v>1255</v>
      </c>
      <c r="N2482" s="3">
        <v>0</v>
      </c>
    </row>
    <row r="2483" spans="1:14" x14ac:dyDescent="0.35">
      <c r="A2483">
        <v>3480</v>
      </c>
      <c r="B2483" s="4" t="s">
        <v>370</v>
      </c>
      <c r="C2483" s="4" t="s">
        <v>54</v>
      </c>
      <c r="D2483" s="4" t="s">
        <v>22</v>
      </c>
      <c r="E2483">
        <v>0</v>
      </c>
      <c r="F2483" s="3">
        <v>2467.58</v>
      </c>
      <c r="G2483" s="2">
        <v>0.28000000000000003</v>
      </c>
      <c r="H2483" s="3">
        <v>0</v>
      </c>
      <c r="I2483" s="1">
        <v>45554</v>
      </c>
      <c r="J2483" s="4" t="s">
        <v>20</v>
      </c>
      <c r="K2483" s="4" t="s">
        <v>8</v>
      </c>
      <c r="L2483" s="3">
        <v>1553.3</v>
      </c>
      <c r="M2483" s="4" t="s">
        <v>1255</v>
      </c>
      <c r="N2483" s="3">
        <v>0</v>
      </c>
    </row>
    <row r="2484" spans="1:14" x14ac:dyDescent="0.35">
      <c r="A2484">
        <v>3481</v>
      </c>
      <c r="B2484" s="4" t="s">
        <v>56</v>
      </c>
      <c r="C2484" s="4" t="s">
        <v>548</v>
      </c>
      <c r="D2484" s="4" t="s">
        <v>16</v>
      </c>
      <c r="E2484">
        <v>0</v>
      </c>
      <c r="F2484" s="3">
        <v>2437.4753999999998</v>
      </c>
      <c r="G2484" s="2">
        <v>0.70199999999999996</v>
      </c>
      <c r="H2484" s="3">
        <v>0</v>
      </c>
      <c r="I2484" s="1">
        <v>45847</v>
      </c>
      <c r="J2484" s="4" t="s">
        <v>18</v>
      </c>
      <c r="K2484" s="4" t="s">
        <v>8</v>
      </c>
      <c r="L2484" s="3">
        <v>-38.119999999999997</v>
      </c>
      <c r="M2484" s="4" t="s">
        <v>1255</v>
      </c>
      <c r="N2484" s="3">
        <v>0</v>
      </c>
    </row>
    <row r="2485" spans="1:14" x14ac:dyDescent="0.35">
      <c r="A2485">
        <v>3482</v>
      </c>
      <c r="B2485" s="4" t="s">
        <v>849</v>
      </c>
      <c r="C2485" s="4" t="s">
        <v>337</v>
      </c>
      <c r="D2485" s="4" t="s">
        <v>33</v>
      </c>
      <c r="E2485">
        <v>-2</v>
      </c>
      <c r="F2485" s="3">
        <v>1169.8900000000001</v>
      </c>
      <c r="G2485" s="2">
        <v>0.70199999999999996</v>
      </c>
      <c r="H2485" s="3">
        <v>0</v>
      </c>
      <c r="I2485" s="1">
        <v>45847</v>
      </c>
      <c r="J2485" s="4" t="s">
        <v>20</v>
      </c>
      <c r="K2485" s="4" t="s">
        <v>8</v>
      </c>
      <c r="L2485" s="3">
        <v>161.94999999999999</v>
      </c>
      <c r="M2485" s="4" t="s">
        <v>1255</v>
      </c>
      <c r="N2485" s="3">
        <v>-2339.7800000000002</v>
      </c>
    </row>
    <row r="2486" spans="1:14" x14ac:dyDescent="0.35">
      <c r="A2486">
        <v>3484</v>
      </c>
      <c r="B2486" s="4" t="s">
        <v>358</v>
      </c>
      <c r="C2486" s="4" t="s">
        <v>149</v>
      </c>
      <c r="D2486" s="4" t="s">
        <v>28</v>
      </c>
      <c r="E2486">
        <v>0</v>
      </c>
      <c r="F2486" s="3">
        <v>2543.1075000000001</v>
      </c>
      <c r="G2486" s="2">
        <v>0.70199999999999996</v>
      </c>
      <c r="H2486" s="3">
        <v>0</v>
      </c>
      <c r="I2486" s="1">
        <v>45847</v>
      </c>
      <c r="J2486" s="4" t="s">
        <v>20</v>
      </c>
      <c r="K2486" s="4" t="s">
        <v>8</v>
      </c>
      <c r="L2486" s="3">
        <v>237.05</v>
      </c>
      <c r="M2486" s="4" t="s">
        <v>1255</v>
      </c>
      <c r="N2486" s="3">
        <v>0</v>
      </c>
    </row>
    <row r="2487" spans="1:14" x14ac:dyDescent="0.35">
      <c r="A2487">
        <v>3485</v>
      </c>
      <c r="B2487" s="4" t="s">
        <v>185</v>
      </c>
      <c r="C2487" s="4" t="s">
        <v>293</v>
      </c>
      <c r="D2487" s="4" t="s">
        <v>33</v>
      </c>
      <c r="E2487">
        <v>0</v>
      </c>
      <c r="F2487" s="3">
        <v>2951.53</v>
      </c>
      <c r="G2487" s="2">
        <v>0.70199999999999996</v>
      </c>
      <c r="H2487" s="3">
        <v>0</v>
      </c>
      <c r="I2487" s="1">
        <v>45547</v>
      </c>
      <c r="J2487" s="4" t="s">
        <v>20</v>
      </c>
      <c r="K2487" s="4" t="s">
        <v>8</v>
      </c>
      <c r="L2487" s="3">
        <v>-492.53</v>
      </c>
      <c r="M2487" s="4" t="s">
        <v>1255</v>
      </c>
      <c r="N2487" s="3">
        <v>0</v>
      </c>
    </row>
    <row r="2488" spans="1:14" hidden="1" x14ac:dyDescent="0.35">
      <c r="A2488">
        <v>3486</v>
      </c>
      <c r="B2488" s="4" t="s">
        <v>226</v>
      </c>
      <c r="C2488" s="4" t="s">
        <v>331</v>
      </c>
      <c r="D2488" s="4" t="s">
        <v>26</v>
      </c>
      <c r="E2488">
        <v>-2</v>
      </c>
      <c r="F2488" s="3">
        <v>2543.1075000000001</v>
      </c>
      <c r="G2488" s="2">
        <v>0.70199999999999996</v>
      </c>
      <c r="H2488" s="3">
        <v>0</v>
      </c>
      <c r="I2488" s="1">
        <v>45547</v>
      </c>
      <c r="J2488" s="4" t="s">
        <v>23</v>
      </c>
      <c r="K2488" s="4" t="s">
        <v>40</v>
      </c>
      <c r="L2488" s="3">
        <v>-439.26</v>
      </c>
      <c r="M2488" s="4" t="s">
        <v>1255</v>
      </c>
      <c r="N2488" s="3">
        <v>-5086.2150000000001</v>
      </c>
    </row>
    <row r="2489" spans="1:14" x14ac:dyDescent="0.35">
      <c r="A2489">
        <v>3487</v>
      </c>
      <c r="B2489" s="4" t="s">
        <v>97</v>
      </c>
      <c r="C2489" s="4" t="s">
        <v>921</v>
      </c>
      <c r="D2489" s="4" t="s">
        <v>15</v>
      </c>
      <c r="E2489">
        <v>5</v>
      </c>
      <c r="F2489" s="3">
        <v>1683.74</v>
      </c>
      <c r="G2489" s="2">
        <v>0.57999999999999996</v>
      </c>
      <c r="H2489" s="3">
        <v>3535.85</v>
      </c>
      <c r="I2489" s="1">
        <v>45670</v>
      </c>
      <c r="J2489" s="4" t="s">
        <v>18</v>
      </c>
      <c r="K2489" s="4" t="s">
        <v>8</v>
      </c>
      <c r="L2489" s="3">
        <v>419.44</v>
      </c>
      <c r="M2489" s="4" t="s">
        <v>1256</v>
      </c>
      <c r="N2489" s="3">
        <v>8418.7000000000007</v>
      </c>
    </row>
    <row r="2490" spans="1:14" hidden="1" x14ac:dyDescent="0.35">
      <c r="A2490">
        <v>3488</v>
      </c>
      <c r="B2490" s="4" t="s">
        <v>85</v>
      </c>
      <c r="C2490" s="4" t="s">
        <v>253</v>
      </c>
      <c r="D2490" s="4" t="s">
        <v>33</v>
      </c>
      <c r="E2490">
        <v>0</v>
      </c>
      <c r="F2490" s="3">
        <v>3029.54</v>
      </c>
      <c r="G2490" s="2">
        <v>0.73250000000000004</v>
      </c>
      <c r="H2490" s="3">
        <v>0</v>
      </c>
      <c r="I2490" s="1">
        <v>45641</v>
      </c>
      <c r="J2490" s="4" t="s">
        <v>11</v>
      </c>
      <c r="K2490" s="4" t="s">
        <v>40</v>
      </c>
      <c r="L2490" s="3">
        <v>2537.46</v>
      </c>
      <c r="M2490" s="4" t="s">
        <v>1255</v>
      </c>
      <c r="N2490" s="3">
        <v>0</v>
      </c>
    </row>
    <row r="2491" spans="1:14" x14ac:dyDescent="0.35">
      <c r="A2491">
        <v>3489</v>
      </c>
      <c r="B2491" s="4" t="s">
        <v>690</v>
      </c>
      <c r="C2491" s="4" t="s">
        <v>482</v>
      </c>
      <c r="D2491" s="4" t="s">
        <v>27</v>
      </c>
      <c r="E2491">
        <v>2</v>
      </c>
      <c r="F2491" s="3">
        <v>599.07000000000005</v>
      </c>
      <c r="G2491" s="2">
        <v>0.15</v>
      </c>
      <c r="H2491" s="3">
        <v>1018.42</v>
      </c>
      <c r="I2491" s="1">
        <v>45641</v>
      </c>
      <c r="J2491" s="4" t="s">
        <v>7</v>
      </c>
      <c r="K2491" s="4" t="s">
        <v>12</v>
      </c>
      <c r="L2491" s="3">
        <v>1962.34</v>
      </c>
      <c r="M2491" s="4" t="s">
        <v>1256</v>
      </c>
      <c r="N2491" s="3">
        <v>1198.1400000000001</v>
      </c>
    </row>
    <row r="2492" spans="1:14" hidden="1" x14ac:dyDescent="0.35">
      <c r="A2492">
        <v>3490</v>
      </c>
      <c r="B2492" s="4" t="s">
        <v>157</v>
      </c>
      <c r="C2492" s="4" t="s">
        <v>692</v>
      </c>
      <c r="D2492" s="4" t="s">
        <v>31</v>
      </c>
      <c r="E2492">
        <v>0</v>
      </c>
      <c r="F2492" s="3">
        <v>2784.76</v>
      </c>
      <c r="G2492" s="2">
        <v>0.86</v>
      </c>
      <c r="H2492" s="3">
        <v>0</v>
      </c>
      <c r="I2492" s="1">
        <v>45246</v>
      </c>
      <c r="J2492" s="4" t="s">
        <v>23</v>
      </c>
      <c r="K2492" s="4" t="s">
        <v>40</v>
      </c>
      <c r="L2492" s="3">
        <v>1373.37</v>
      </c>
      <c r="M2492" s="4" t="s">
        <v>1255</v>
      </c>
      <c r="N2492" s="3">
        <v>0</v>
      </c>
    </row>
    <row r="2493" spans="1:14" x14ac:dyDescent="0.35">
      <c r="A2493">
        <v>3491</v>
      </c>
      <c r="B2493" s="4" t="s">
        <v>183</v>
      </c>
      <c r="C2493" s="4" t="s">
        <v>938</v>
      </c>
      <c r="D2493" s="4" t="s">
        <v>16</v>
      </c>
      <c r="E2493">
        <v>0</v>
      </c>
      <c r="F2493" s="3">
        <v>4126.3900000000003</v>
      </c>
      <c r="G2493" s="2">
        <v>0.96</v>
      </c>
      <c r="H2493" s="3">
        <v>0</v>
      </c>
      <c r="I2493" s="1">
        <v>45621</v>
      </c>
      <c r="J2493" s="4" t="s">
        <v>11</v>
      </c>
      <c r="K2493" s="4" t="s">
        <v>12</v>
      </c>
      <c r="L2493" s="3">
        <v>638.9</v>
      </c>
      <c r="M2493" s="4" t="s">
        <v>1255</v>
      </c>
      <c r="N2493" s="3">
        <v>0</v>
      </c>
    </row>
    <row r="2494" spans="1:14" hidden="1" x14ac:dyDescent="0.35">
      <c r="A2494">
        <v>3492</v>
      </c>
      <c r="B2494" s="4" t="s">
        <v>130</v>
      </c>
      <c r="C2494" s="4" t="s">
        <v>1249</v>
      </c>
      <c r="D2494" s="4" t="s">
        <v>32</v>
      </c>
      <c r="E2494">
        <v>0</v>
      </c>
      <c r="F2494" s="3">
        <v>3084.73</v>
      </c>
      <c r="G2494" s="2">
        <v>0.86</v>
      </c>
      <c r="H2494" s="3">
        <v>0</v>
      </c>
      <c r="I2494" s="1">
        <v>45621</v>
      </c>
      <c r="J2494" s="4" t="s">
        <v>11</v>
      </c>
      <c r="K2494" s="4" t="s">
        <v>40</v>
      </c>
      <c r="L2494" s="3">
        <v>2534.3200000000002</v>
      </c>
      <c r="M2494" s="4" t="s">
        <v>1255</v>
      </c>
      <c r="N2494" s="3">
        <v>0</v>
      </c>
    </row>
    <row r="2495" spans="1:14" hidden="1" x14ac:dyDescent="0.35">
      <c r="A2495">
        <v>3493</v>
      </c>
      <c r="B2495" s="4" t="s">
        <v>128</v>
      </c>
      <c r="C2495" s="4" t="s">
        <v>258</v>
      </c>
      <c r="D2495" s="4" t="s">
        <v>17</v>
      </c>
      <c r="E2495">
        <v>5</v>
      </c>
      <c r="F2495" s="3">
        <v>2935.56</v>
      </c>
      <c r="G2495" s="2">
        <v>1.06</v>
      </c>
      <c r="H2495" s="3">
        <v>0</v>
      </c>
      <c r="I2495" s="1">
        <v>45678</v>
      </c>
      <c r="J2495" s="4" t="s">
        <v>7</v>
      </c>
      <c r="K2495" s="4" t="s">
        <v>40</v>
      </c>
      <c r="L2495" s="3">
        <v>-410.86</v>
      </c>
      <c r="M2495" s="4" t="s">
        <v>1255</v>
      </c>
      <c r="N2495" s="3">
        <v>14677.8</v>
      </c>
    </row>
    <row r="2496" spans="1:14" hidden="1" x14ac:dyDescent="0.35">
      <c r="A2496">
        <v>3494</v>
      </c>
      <c r="B2496" s="4" t="s">
        <v>116</v>
      </c>
      <c r="C2496" s="4" t="s">
        <v>1112</v>
      </c>
      <c r="D2496" s="4" t="s">
        <v>6</v>
      </c>
      <c r="E2496">
        <v>0</v>
      </c>
      <c r="F2496" s="3">
        <v>2451.5059999999999</v>
      </c>
      <c r="G2496" s="2">
        <v>1.06</v>
      </c>
      <c r="H2496" s="3">
        <v>0</v>
      </c>
      <c r="I2496" s="1">
        <v>45678</v>
      </c>
      <c r="J2496" s="4" t="s">
        <v>9</v>
      </c>
      <c r="K2496" s="4" t="s">
        <v>40</v>
      </c>
      <c r="L2496" s="3">
        <v>-219.82</v>
      </c>
      <c r="M2496" s="4" t="s">
        <v>1255</v>
      </c>
      <c r="N2496" s="3">
        <v>0</v>
      </c>
    </row>
    <row r="2497" spans="1:14" hidden="1" x14ac:dyDescent="0.35">
      <c r="A2497">
        <v>3495</v>
      </c>
      <c r="B2497" s="4" t="s">
        <v>307</v>
      </c>
      <c r="C2497" s="4" t="s">
        <v>61</v>
      </c>
      <c r="D2497" s="4" t="s">
        <v>37</v>
      </c>
      <c r="E2497">
        <v>0</v>
      </c>
      <c r="F2497" s="3">
        <v>848.79</v>
      </c>
      <c r="G2497" s="2">
        <v>1.06</v>
      </c>
      <c r="H2497" s="3">
        <v>0</v>
      </c>
      <c r="I2497" s="1">
        <v>45678</v>
      </c>
      <c r="J2497" s="4" t="s">
        <v>11</v>
      </c>
      <c r="K2497" s="4" t="s">
        <v>40</v>
      </c>
      <c r="L2497" s="3">
        <v>2259</v>
      </c>
      <c r="M2497" s="4" t="s">
        <v>1255</v>
      </c>
      <c r="N2497" s="3">
        <v>0</v>
      </c>
    </row>
    <row r="2498" spans="1:14" x14ac:dyDescent="0.35">
      <c r="A2498">
        <v>3496</v>
      </c>
      <c r="B2498" s="4" t="s">
        <v>130</v>
      </c>
      <c r="C2498" s="4" t="s">
        <v>889</v>
      </c>
      <c r="D2498" s="4" t="s">
        <v>13</v>
      </c>
      <c r="E2498">
        <v>4</v>
      </c>
      <c r="F2498" s="3">
        <v>2330.4924999999998</v>
      </c>
      <c r="G2498" s="2">
        <v>1.06</v>
      </c>
      <c r="H2498" s="3">
        <v>0</v>
      </c>
      <c r="I2498" s="1">
        <v>45361</v>
      </c>
      <c r="J2498" s="4" t="s">
        <v>23</v>
      </c>
      <c r="K2498" s="4" t="s">
        <v>12</v>
      </c>
      <c r="L2498" s="3">
        <v>2232.98</v>
      </c>
      <c r="M2498" s="4" t="s">
        <v>1255</v>
      </c>
      <c r="N2498" s="3">
        <v>9321.9699999999993</v>
      </c>
    </row>
    <row r="2499" spans="1:14" x14ac:dyDescent="0.35">
      <c r="A2499">
        <v>3497</v>
      </c>
      <c r="B2499" s="4" t="s">
        <v>148</v>
      </c>
      <c r="C2499" s="4" t="s">
        <v>1134</v>
      </c>
      <c r="D2499" s="4" t="s">
        <v>27</v>
      </c>
      <c r="E2499">
        <v>0</v>
      </c>
      <c r="F2499" s="3">
        <v>3389.24</v>
      </c>
      <c r="G2499" s="2">
        <v>1.06</v>
      </c>
      <c r="H2499" s="3">
        <v>0</v>
      </c>
      <c r="I2499" s="1">
        <v>45361</v>
      </c>
      <c r="J2499" s="4" t="s">
        <v>9</v>
      </c>
      <c r="K2499" s="4" t="s">
        <v>8</v>
      </c>
      <c r="L2499" s="3">
        <v>1955.31</v>
      </c>
      <c r="M2499" s="4" t="s">
        <v>1255</v>
      </c>
      <c r="N2499" s="3">
        <v>0</v>
      </c>
    </row>
    <row r="2500" spans="1:14" hidden="1" x14ac:dyDescent="0.35">
      <c r="A2500">
        <v>3498</v>
      </c>
      <c r="B2500" s="4" t="s">
        <v>274</v>
      </c>
      <c r="C2500" s="4" t="s">
        <v>907</v>
      </c>
      <c r="D2500" s="4" t="s">
        <v>21</v>
      </c>
      <c r="E2500">
        <v>5</v>
      </c>
      <c r="F2500" s="3">
        <v>3844.19</v>
      </c>
      <c r="G2500" s="2">
        <v>0.6</v>
      </c>
      <c r="H2500" s="3">
        <v>0</v>
      </c>
      <c r="I2500" s="1">
        <v>45497</v>
      </c>
      <c r="J2500" s="4" t="s">
        <v>23</v>
      </c>
      <c r="K2500" s="4" t="s">
        <v>40</v>
      </c>
      <c r="L2500" s="3">
        <v>2967</v>
      </c>
      <c r="M2500" s="4" t="s">
        <v>1255</v>
      </c>
      <c r="N2500" s="3">
        <v>19220.95</v>
      </c>
    </row>
    <row r="2501" spans="1:14" x14ac:dyDescent="0.35">
      <c r="A2501">
        <v>3499</v>
      </c>
      <c r="B2501" s="4" t="s">
        <v>284</v>
      </c>
      <c r="C2501" s="4" t="s">
        <v>1252</v>
      </c>
      <c r="D2501" s="4" t="s">
        <v>28</v>
      </c>
      <c r="E2501">
        <v>6</v>
      </c>
      <c r="F2501" s="3">
        <v>1239.75</v>
      </c>
      <c r="G2501" s="2">
        <v>0.6</v>
      </c>
      <c r="H2501" s="3">
        <v>0</v>
      </c>
      <c r="I2501" s="1">
        <v>45497</v>
      </c>
      <c r="J2501" s="4" t="s">
        <v>11</v>
      </c>
      <c r="K2501" s="4" t="s">
        <v>8</v>
      </c>
      <c r="L2501" s="3">
        <v>715.15</v>
      </c>
      <c r="M2501" s="4" t="s">
        <v>1255</v>
      </c>
      <c r="N2501" s="3">
        <v>7438.5</v>
      </c>
    </row>
  </sheetData>
  <scenarios current="0" show="0">
    <scenario name="BEST CASE" locked="1" count="21" user="Ramalakshmi" comment="Created by Ramalakshmi on 08-02-2026">
      <inputCells r="L2" val="2137.45" numFmtId="164"/>
      <inputCells r="L3" val="1588.15" numFmtId="164"/>
      <inputCells r="L4" val="2315.23" numFmtId="164"/>
      <inputCells r="L5" val="48.87" numFmtId="164"/>
      <inputCells r="L6" val="-519.87" numFmtId="164"/>
      <inputCells r="L7" val="-190.68" numFmtId="164"/>
      <inputCells r="L8" val="2513.75" numFmtId="164"/>
      <inputCells r="L9" val="-158.03" numFmtId="164"/>
      <inputCells r="L10" val="2296.5" numFmtId="164"/>
      <inputCells r="L11" val="2368.7" numFmtId="164"/>
      <inputCells r="L12" val="-298.61" numFmtId="164"/>
      <inputCells r="L13" val="2095.45" numFmtId="164"/>
      <inputCells r="L14" val="259.03" numFmtId="164"/>
      <inputCells r="L15" val="-756.14" numFmtId="164"/>
      <inputCells r="L16" val="63.66" numFmtId="164"/>
      <inputCells r="L17" val="-108.36" numFmtId="164"/>
      <inputCells r="L18" val="968.3" numFmtId="164"/>
      <inputCells r="L19" val="2702.46" numFmtId="164"/>
      <inputCells r="L20" val="1477.73" numFmtId="164"/>
      <inputCells r="L21" val="2728.03" numFmtId="164"/>
      <inputCells r="L22" val="-29.59" numFmtId="164"/>
    </scenario>
    <scenario name="WORST CASE" locked="1" count="21" user="Ramalakshmi" comment="Created by Ramalakshmi on 08-02-2026">
      <inputCells r="L2" val="200" numFmtId="164"/>
      <inputCells r="L3" val="1588.15" numFmtId="164"/>
      <inputCells r="L4" val="2315.23" numFmtId="164"/>
      <inputCells r="L5" val="48.87" numFmtId="164"/>
      <inputCells r="L6" val="-519.87" numFmtId="164"/>
      <inputCells r="L7" val="-190.68" numFmtId="164"/>
      <inputCells r="L8" val="2513.75" numFmtId="164"/>
      <inputCells r="L9" val="-158.03" numFmtId="164"/>
      <inputCells r="L10" val="2296.5" numFmtId="164"/>
      <inputCells r="L11" val="2368.7" numFmtId="164"/>
      <inputCells r="L12" val="-298.61" numFmtId="164"/>
      <inputCells r="L13" val="2095.45" numFmtId="164"/>
      <inputCells r="L14" val="259.03" numFmtId="164"/>
      <inputCells r="L15" val="-756.14" numFmtId="164"/>
      <inputCells r="L16" val="63.66" numFmtId="164"/>
      <inputCells r="L17" val="-108.36" numFmtId="164"/>
      <inputCells r="L18" val="968.3" numFmtId="164"/>
      <inputCells r="L19" val="2702.46" numFmtId="164"/>
      <inputCells r="L20" val="1477.73" numFmtId="164"/>
      <inputCells r="L21" val="2728.03" numFmtId="164"/>
      <inputCells r="L22" val="-29.59" numFmtId="164"/>
    </scenario>
  </scenarios>
  <phoneticPr fontId="20" type="noConversion"/>
  <conditionalFormatting sqref="K2:K2501">
    <cfRule type="containsText" dxfId="0" priority="1" operator="containsText" text="B2B">
      <formula>NOT(ISERROR(SEARCH("B2B",K2)))</formula>
    </cfRule>
  </conditionalFormatting>
  <conditionalFormatting sqref="N2:N2501">
    <cfRule type="colorScale" priority="3">
      <colorScale>
        <cfvo type="min"/>
        <cfvo type="percentile" val="50"/>
        <cfvo type="max"/>
        <color rgb="FF5A8AC6"/>
        <color rgb="FFFCFCFF"/>
        <color rgb="FFF8696B"/>
      </colorScale>
    </cfRule>
  </conditionalFormatting>
  <pageMargins left="0.7" right="0.7" top="0.75" bottom="0.75" header="0.3" footer="0.3"/>
  <drawing r:id="rId1"/>
  <tableParts count="1">
    <tablePart r:id="rId2"/>
  </tableParts>
  <extLst>
    <ext xmlns:x15="http://schemas.microsoft.com/office/spreadsheetml/2010/11/main" uri="{F7C9EE02-42E1-4005-9D12-6889AFFD525C}">
      <x15:webExtensions xmlns:xm="http://schemas.microsoft.com/office/excel/2006/main">
        <x15:webExtension appRef="{305F1943-A4FE-4680-B112-49692F7D9230}">
          <xm:f>SNITCH_FASHION!1:1048576</xm:f>
        </x15:webExtension>
        <x15:webExtension appRef="{B9CA6D4D-353B-4E3B-93DD-606FD67DA549}">
          <xm:f>'DESCRIPTIVE STATISTICS,XLOOKUP,'!N2:N2501</xm:f>
        </x15:webExtension>
      </x15:webExtens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FA161E8-EE6B-415D-80D2-967FFA8588C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FORECAST</vt:lpstr>
      <vt:lpstr>DASHBOARD</vt:lpstr>
      <vt:lpstr>DESCRIPTIVE STATISTICS,XLOOKUP,</vt:lpstr>
      <vt:lpstr>SNITCH_FASHION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Ramalakshmi</dc:creator>
  <cp:lastModifiedBy>N Ramalakshmi</cp:lastModifiedBy>
  <dcterms:created xsi:type="dcterms:W3CDTF">2026-02-07T16:45:43Z</dcterms:created>
  <dcterms:modified xsi:type="dcterms:W3CDTF">2026-02-09T11:19:57Z</dcterms:modified>
</cp:coreProperties>
</file>